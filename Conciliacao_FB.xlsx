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85" firstSheet="0" activeTab="0" autoFilterDateGrouping="1"/>
  </bookViews>
  <sheets>
    <sheet name="Conciliacao" sheetId="1" state="visible" r:id="rId1"/>
    <sheet name="df_extrato_zig" sheetId="2" state="visible" r:id="rId2"/>
    <sheet name="df_zig_faturam" sheetId="3" state="visible" r:id="rId3"/>
    <sheet name="view_parc_agrup" sheetId="4" state="visible" r:id="rId4"/>
    <sheet name="df_eventos" sheetId="5" state="visible" r:id="rId5"/>
    <sheet name="df_blueme_sem_parcelamento" sheetId="6" state="visible" r:id="rId6"/>
    <sheet name="df_blueme_com_parcelamento" sheetId="7" state="visible" r:id="rId7"/>
    <sheet name="df_extratos" sheetId="8" state="visible" r:id="rId8"/>
    <sheet name="df_mutuos" sheetId="9" state="visible" r:id="rId9"/>
    <sheet name="df_tesouraria_trans" sheetId="10" state="visible" r:id="rId10"/>
    <sheet name="df_ajustes_conciliaco" sheetId="11" state="visible" r:id="rId11"/>
    <sheet name="df_bloqueios_judiciais" sheetId="12" state="visible" r:id="rId12"/>
  </sheets>
  <definedNames>
    <definedName name="_xlnm._FilterDatabase" localSheetId="0" hidden="1">'Conciliacao'!$A$1:$Q$731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4" fontId="0" fillId="7" borderId="0" applyAlignment="1" pivotButton="0" quotePrefix="0" xfId="0">
      <alignment horizontal="center"/>
    </xf>
    <xf numFmtId="4" fontId="0" fillId="9" borderId="0" applyAlignment="1" pivotButton="0" quotePrefix="0" xfId="0">
      <alignment horizontal="center"/>
    </xf>
    <xf numFmtId="14" fontId="0" fillId="6" borderId="1" applyAlignment="1" pivotButton="0" quotePrefix="0" xfId="0">
      <alignment horizontal="center"/>
    </xf>
    <xf numFmtId="4" fontId="0" fillId="7" borderId="1" applyAlignment="1" pivotButton="0" quotePrefix="0" xfId="0">
      <alignment horizontal="center"/>
    </xf>
    <xf numFmtId="4" fontId="0" fillId="6" borderId="1" applyAlignment="1" pivotButton="0" quotePrefix="0" xfId="0">
      <alignment horizontal="center"/>
    </xf>
    <xf numFmtId="4" fontId="0" fillId="9" borderId="1" applyAlignment="1" pivotButton="0" quotePrefix="0" xfId="0">
      <alignment horizontal="center"/>
    </xf>
    <xf numFmtId="4" fontId="0" fillId="8" borderId="2" applyAlignment="1" pivotButton="0" quotePrefix="0" xfId="0">
      <alignment horizontal="center"/>
    </xf>
    <xf numFmtId="4" fontId="0" fillId="6" borderId="4" applyAlignment="1" pivotButton="0" quotePrefix="0" xfId="0">
      <alignment horizontal="center"/>
    </xf>
    <xf numFmtId="4" fontId="0" fillId="8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4" fontId="1" fillId="3" borderId="0" applyAlignment="1" pivotButton="0" quotePrefix="0" xfId="0">
      <alignment horizontal="center" vertical="center" wrapText="1"/>
    </xf>
    <xf numFmtId="4" fontId="1" fillId="3" borderId="1" applyAlignment="1" pivotButton="0" quotePrefix="0" xfId="0">
      <alignment horizontal="center" vertical="center" wrapText="1"/>
    </xf>
    <xf numFmtId="4" fontId="1" fillId="4" borderId="2" applyAlignment="1" pivotButton="0" quotePrefix="0" xfId="0">
      <alignment horizontal="center" vertical="center" wrapText="1"/>
    </xf>
    <xf numFmtId="4" fontId="1" fillId="5" borderId="0" applyAlignment="1" pivotButton="0" quotePrefix="0" xfId="0">
      <alignment horizontal="center" vertical="center" wrapText="1"/>
    </xf>
    <xf numFmtId="4" fontId="1" fillId="5" borderId="1" applyAlignment="1" pivotButton="0" quotePrefix="0" xfId="0">
      <alignment horizontal="center" vertical="center" wrapText="1"/>
    </xf>
    <xf numFmtId="4" fontId="1" fillId="4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  <xf numFmtId="0" fontId="1" fillId="10" borderId="5" applyAlignment="1" pivotButton="0" quotePrefix="0" xfId="0">
      <alignment horizontal="center" vertical="center" wrapText="1"/>
    </xf>
    <xf numFmtId="4" fontId="0" fillId="6" borderId="6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4" fontId="0" fillId="11" borderId="2" applyAlignment="1" pivotButton="0" quotePrefix="0" xfId="0">
      <alignment horizontal="center"/>
    </xf>
    <xf numFmtId="4" fontId="1" fillId="12" borderId="2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731"/>
  <sheetViews>
    <sheetView tabSelected="1" workbookViewId="0">
      <pane ySplit="1" topLeftCell="A2" activePane="bottomLeft" state="frozen"/>
      <selection pane="bottomLeft" activeCell="A380" sqref="A380"/>
    </sheetView>
  </sheetViews>
  <sheetFormatPr baseColWidth="8" defaultRowHeight="14.4"/>
  <cols>
    <col width="20.21875" customWidth="1" style="1" min="1" max="1"/>
    <col width="20.21875" customWidth="1" style="2" min="2" max="3"/>
    <col width="17.109375" customWidth="1" style="2" min="4" max="6"/>
    <col width="19.88671875" customWidth="1" style="2" min="7" max="7"/>
    <col width="19.33203125" bestFit="1" customWidth="1" style="2" min="8" max="8"/>
    <col width="22.77734375" bestFit="1" customWidth="1" style="2" min="9" max="9"/>
    <col width="20.21875" customWidth="1" style="2" min="10" max="12"/>
    <col width="17.77734375" bestFit="1" customWidth="1" style="2" min="13" max="13"/>
    <col width="19.33203125" bestFit="1" customWidth="1" style="2" min="14" max="14"/>
    <col width="22.77734375" bestFit="1" customWidth="1" style="2" min="15" max="15"/>
    <col width="22.77734375" customWidth="1" style="2" min="16" max="16"/>
    <col width="18.77734375" customWidth="1" style="1" min="17" max="17"/>
    <col width="18.109375" bestFit="1" customWidth="1" min="57" max="60"/>
  </cols>
  <sheetData>
    <row r="1" ht="28.95" customFormat="1" customHeight="1" s="19">
      <c r="A1" s="12" t="inlineStr">
        <is>
          <t>Data</t>
        </is>
      </c>
      <c r="B1" s="13" t="inlineStr">
        <is>
          <t>Extrato Zig (Saques)</t>
        </is>
      </c>
      <c r="C1" s="13" t="inlineStr">
        <is>
          <t>Faturam Dinheiro</t>
        </is>
      </c>
      <c r="D1" s="13" t="inlineStr">
        <is>
          <t>Receitas Extraord</t>
        </is>
      </c>
      <c r="E1" s="13" t="inlineStr">
        <is>
          <t>Eventos</t>
        </is>
      </c>
      <c r="F1" s="13" t="inlineStr">
        <is>
          <t>Entradas Mútuos</t>
        </is>
      </c>
      <c r="G1" s="14" t="inlineStr">
        <is>
          <t>Desbloqueios Judiciais</t>
        </is>
      </c>
      <c r="H1" s="12" t="inlineStr">
        <is>
          <t>Extrato Bancário (Crédito)</t>
        </is>
      </c>
      <c r="I1" s="15" t="inlineStr">
        <is>
          <t>Diferenças (Contas a Receber)</t>
        </is>
      </c>
      <c r="J1" s="16" t="inlineStr">
        <is>
          <t>Custos Sem Parcelamento</t>
        </is>
      </c>
      <c r="K1" s="16" t="inlineStr">
        <is>
          <t>Custos Com Parcelamento</t>
        </is>
      </c>
      <c r="L1" s="16" t="inlineStr">
        <is>
          <t>Saídas Mútuos</t>
        </is>
      </c>
      <c r="M1" s="17" t="inlineStr">
        <is>
          <t>Bloqueios Judiciais</t>
        </is>
      </c>
      <c r="N1" s="12" t="inlineStr">
        <is>
          <t>Extrato Bancário (Débito)</t>
        </is>
      </c>
      <c r="O1" s="18" t="inlineStr">
        <is>
          <t>Diferenças (Contas a Pagar)</t>
        </is>
      </c>
      <c r="P1" s="26" t="inlineStr">
        <is>
          <t>Ajustes Conciliação</t>
        </is>
      </c>
      <c r="Q1" s="21" t="inlineStr">
        <is>
          <t>Conciliação</t>
        </is>
      </c>
      <c r="AC1" s="23" t="n"/>
      <c r="BE1" s="24" t="inlineStr">
        <is>
          <t>Coluna Auxiliar Data</t>
        </is>
      </c>
      <c r="BF1" s="24" t="inlineStr">
        <is>
          <t>Coluna Auxiliar Data 2</t>
        </is>
      </c>
      <c r="BG1" s="24" t="inlineStr">
        <is>
          <t>Coluna Auxiliar Data 3</t>
        </is>
      </c>
      <c r="BH1" s="24" t="inlineStr">
        <is>
          <t>Coluna Auxiliar Data 4</t>
        </is>
      </c>
    </row>
    <row r="2">
      <c r="A2" s="5" t="n">
        <v>45658</v>
      </c>
      <c r="B2" s="3">
        <f>-SUMIFS(df_extrato_zig!G:G,df_extrato_zig!E:E,Conciliacao!A2,df_extrato_zig!D:D,"Saque")-SUMIFS(df_extrato_zig!G:G,df_extrato_zig!E:E,Conciliacao!A2,df_extrato_zig!D:D,"Antecipação")</f>
        <v/>
      </c>
      <c r="C2" s="3">
        <f>SUMIFS(df_extrato_zig!E:E,df_extrato_zig!L:L,Conciliacao!A2,df_extrato_zig!F:F,"DINHEIRO")</f>
        <v/>
      </c>
      <c r="D2" s="3">
        <f>SUMIFS(view_parc_agrup!H:H,view_parc_agrup!G:G,Conciliacao!A2)</f>
        <v/>
      </c>
      <c r="E2" s="3">
        <f>SUMIFS(df_eventos!F:F,df_eventos!H:H,Conciliacao!A2)</f>
        <v/>
      </c>
      <c r="F2" s="3">
        <f>SUMIFS(df_mutuos!M:M,df_mutuos!B:B,Conciliacao!A2)</f>
        <v/>
      </c>
      <c r="G2" s="6">
        <f>SUMIFS(df_bloqueios_judiciais!G:G,df_bloqueios_judiciais!D:D,Conciliacao!A2,df_bloqueios_judiciais!G:G,"&gt;0")</f>
        <v/>
      </c>
      <c r="H2" s="7">
        <f>SUMIFS(df_extratos!I:I,df_extratos!F:F,"&gt;="&amp;Conciliacao!BE2,df_extratos!F:F,"&lt;"&amp;Conciliacao!BE2+1,df_extratos!G:G,"CREDITO")
+SUMIFS(df_extratos!I:I,df_extratos!F:F,"&gt;="&amp;Conciliacao!A2, df_extratos!F:F,"&lt;"&amp;Conciliacao!A2+1, df_extratos!G:G,"CREDITO")
+SUMIFS(df_extratos!I:I,df_extratos!F:F,"&gt;="&amp;Conciliacao!BF2,df_extratos!F:F,"&lt;"&amp;Conciliacao!BF2+1,df_extratos!G:G,"CREDITO")
+SUMIFS(df_extratos!I:I,df_extratos!F:F,"&gt;="&amp;Conciliacao!BG2,df_extratos!F:F,"&lt;"&amp;Conciliacao!BG2+1,df_extratos!G:G,"CREDITO")
+SUMIFS(df_extratos!I:I,df_extratos!F:F,"&gt;="&amp;Conciliacao!BH2,df_extratos!F:F,"&lt;"&amp;Conciliacao!BH2+1,df_extratos!G:G,"CREDITO")</f>
        <v/>
      </c>
      <c r="I2" s="9">
        <f>H2-SUM(B2:G2)</f>
        <v/>
      </c>
      <c r="J2" s="4">
        <f>SUMIFS(df_blueme_sem_parcelamento!E:E,df_blueme_sem_parcelamento!H:H,Conciliacao!A2)*(-1)</f>
        <v/>
      </c>
      <c r="K2" s="4">
        <f>SUMIFS(df_blueme_com_parcelamento!J:J,df_blueme_com_parcelamento!M:M,Conciliacao!A2)*(-1)</f>
        <v/>
      </c>
      <c r="L2" s="4">
        <f>SUMIFS(df_mutuos!N:N,df_mutuos!B:B,Conciliacao!A2)*(-1)</f>
        <v/>
      </c>
      <c r="M2" s="8">
        <f>SUMIFS(df_bloqueios_judiciais!E:E,df_bloqueios_judiciais!D:D,Conciliacao!A2,df_bloqueios_judiciais!E:E,"&lt;0")</f>
        <v/>
      </c>
      <c r="N2" s="10">
        <f>SUMIFS(df_extratos!I:I,df_extratos!F:F,"&gt;="&amp;Conciliacao!BE2,df_extratos!F:F,"&lt;"&amp;Conciliacao!BE2+1,df_extratos!G:G,"DEBITO")
+SUMIFS(df_extratos!I:I,df_extratos!F:F,"&gt;="&amp;Conciliacao!A2, df_extratos!F:F,"&lt;"&amp;Conciliacao!A2+1, df_extratos!G:G,"DEBITO")
+SUMIFS(df_extratos!I:I,df_extratos!F:F,"&gt;="&amp;Conciliacao!BF2,df_extratos!F:F,"&lt;"&amp;Conciliacao!BF2+1,df_extratos!G:G,"DEBITO")
+SUMIFS(df_extratos!I:I,df_extratos!F:F,"&gt;="&amp;Conciliacao!BG2,df_extratos!F:F,"&lt;"&amp;Conciliacao!BG2+1,df_extratos!G:G,"DEBITO")
+SUMIFS(df_extratos!I:I,df_extratos!F:F,"&gt;="&amp;Conciliacao!BH2,df_extratos!F:F,"&lt;"&amp;Conciliacao!BH2+1,df_extratos!G:G,"DEBITO")</f>
        <v/>
      </c>
      <c r="O2" s="11">
        <f>N2-SUM(J2:M2)</f>
        <v/>
      </c>
      <c r="P2" s="25">
        <f>SUMIFS(df_ajustes_conciliaco!D:D,df_ajustes_conciliaco!C:C,Conciliacao!A2)</f>
        <v/>
      </c>
      <c r="Q2" s="22">
        <f>O2+I2-P2</f>
        <v/>
      </c>
      <c r="BE2" s="20" t="n">
        <v>45658.5</v>
      </c>
      <c r="BF2" s="20" t="n">
        <v>45658.125</v>
      </c>
      <c r="BG2" s="20" t="n">
        <v>45658.54166666666</v>
      </c>
      <c r="BH2" s="20" t="n">
        <v>45658.625</v>
      </c>
    </row>
    <row r="3">
      <c r="A3" s="5">
        <f>A2+1</f>
        <v/>
      </c>
      <c r="B3" s="3">
        <f>-SUMIFS(df_extrato_zig!G:G,df_extrato_zig!E:E,Conciliacao!A3,df_extrato_zig!D:D,"Saque")-SUMIFS(df_extrato_zig!G:G,df_extrato_zig!E:E,Conciliacao!A3,df_extrato_zig!D:D,"Antecipação")</f>
        <v/>
      </c>
      <c r="C3" s="3">
        <f>SUMIFS(df_extrato_zig!E:E,df_extrato_zig!L:L,Conciliacao!A3,df_extrato_zig!F:F,"DINHEIRO")</f>
        <v/>
      </c>
      <c r="D3" s="3">
        <f>SUMIFS(view_parc_agrup!H:H,view_parc_agrup!G:G,Conciliacao!A3)</f>
        <v/>
      </c>
      <c r="E3" s="3">
        <f>SUMIFS(df_eventos!F:F,df_eventos!H:H,Conciliacao!A3)</f>
        <v/>
      </c>
      <c r="F3" s="3">
        <f>SUMIFS(df_mutuos!M:M,df_mutuos!B:B,Conciliacao!A3)</f>
        <v/>
      </c>
      <c r="G3" s="6">
        <f>SUMIFS(df_bloqueios_judiciais!G:G,df_bloqueios_judiciais!D:D,Conciliacao!A3,df_bloqueios_judiciais!G:G,"&gt;0")</f>
        <v/>
      </c>
      <c r="H3" s="7">
        <f>SUMIFS(df_extratos!I:I,df_extratos!F:F,"&gt;="&amp;Conciliacao!BE3,df_extratos!F:F,"&lt;"&amp;Conciliacao!BE3+1,df_extratos!G:G,"CREDITO")
+SUMIFS(df_extratos!I:I,df_extratos!F:F,"&gt;="&amp;Conciliacao!A3, df_extratos!F:F,"&lt;"&amp;Conciliacao!A3+1, df_extratos!G:G,"CREDITO")
+SUMIFS(df_extratos!I:I,df_extratos!F:F,"&gt;="&amp;Conciliacao!BF3,df_extratos!F:F,"&lt;"&amp;Conciliacao!BF3+1,df_extratos!G:G,"CREDITO")
+SUMIFS(df_extratos!I:I,df_extratos!F:F,"&gt;="&amp;Conciliacao!BG3,df_extratos!F:F,"&lt;"&amp;Conciliacao!BG3+1,df_extratos!G:G,"CREDITO")
+SUMIFS(df_extratos!I:I,df_extratos!F:F,"&gt;="&amp;Conciliacao!BH3,df_extratos!F:F,"&lt;"&amp;Conciliacao!BH3+1,df_extratos!G:G,"CREDITO")</f>
        <v/>
      </c>
      <c r="I3" s="9">
        <f>H3-SUM(B3:G3)</f>
        <v/>
      </c>
      <c r="J3" s="4">
        <f>SUMIFS(df_blueme_sem_parcelamento!E:E,df_blueme_sem_parcelamento!H:H,Conciliacao!A3)*(-1)</f>
        <v/>
      </c>
      <c r="K3" s="4">
        <f>SUMIFS(df_blueme_com_parcelamento!J:J,df_blueme_com_parcelamento!M:M,Conciliacao!A3)*(-1)</f>
        <v/>
      </c>
      <c r="L3" s="4">
        <f>SUMIFS(df_mutuos!N:N,df_mutuos!B:B,Conciliacao!A3)*(-1)</f>
        <v/>
      </c>
      <c r="M3" s="8">
        <f>SUMIFS(df_bloqueios_judiciais!E:E,df_bloqueios_judiciais!D:D,Conciliacao!A3,df_bloqueios_judiciais!E:E,"&lt;0")</f>
        <v/>
      </c>
      <c r="N3" s="10">
        <f>SUMIFS(df_extratos!I:I,df_extratos!F:F,"&gt;="&amp;Conciliacao!BE3,df_extratos!F:F,"&lt;"&amp;Conciliacao!BE3+1,df_extratos!G:G,"DEBITO")
+SUMIFS(df_extratos!I:I,df_extratos!F:F,"&gt;="&amp;Conciliacao!A3, df_extratos!F:F,"&lt;"&amp;Conciliacao!A3+1, df_extratos!G:G,"DEBITO")
+SUMIFS(df_extratos!I:I,df_extratos!F:F,"&gt;="&amp;Conciliacao!BF3,df_extratos!F:F,"&lt;"&amp;Conciliacao!BF3+1,df_extratos!G:G,"DEBITO")
+SUMIFS(df_extratos!I:I,df_extratos!F:F,"&gt;="&amp;Conciliacao!BG3,df_extratos!F:F,"&lt;"&amp;Conciliacao!BG3+1,df_extratos!G:G,"DEBITO")
+SUMIFS(df_extratos!I:I,df_extratos!F:F,"&gt;="&amp;Conciliacao!BH3,df_extratos!F:F,"&lt;"&amp;Conciliacao!BH3+1,df_extratos!G:G,"DEBITO")</f>
        <v/>
      </c>
      <c r="O3" s="11">
        <f>N3-SUM(J3:M3)</f>
        <v/>
      </c>
      <c r="P3" s="25">
        <f>SUMIFS(df_ajustes_conciliaco!D:D,df_ajustes_conciliaco!C:C,Conciliacao!A3)</f>
        <v/>
      </c>
      <c r="Q3" s="22">
        <f>O3+I3-P3</f>
        <v/>
      </c>
      <c r="BE3" s="20" t="n">
        <v>45659.5</v>
      </c>
      <c r="BF3" s="20" t="n">
        <v>45659.125</v>
      </c>
      <c r="BG3" s="20" t="n">
        <v>45659.54166666666</v>
      </c>
      <c r="BH3" s="20" t="n">
        <v>45659.625</v>
      </c>
    </row>
    <row r="4">
      <c r="A4" s="5">
        <f>A3+1</f>
        <v/>
      </c>
      <c r="B4" s="3">
        <f>-SUMIFS(df_extrato_zig!G:G,df_extrato_zig!E:E,Conciliacao!A4,df_extrato_zig!D:D,"Saque")-SUMIFS(df_extrato_zig!G:G,df_extrato_zig!E:E,Conciliacao!A4,df_extrato_zig!D:D,"Antecipação")</f>
        <v/>
      </c>
      <c r="C4" s="3">
        <f>SUMIFS(df_extrato_zig!E:E,df_extrato_zig!L:L,Conciliacao!A4,df_extrato_zig!F:F,"DINHEIRO")</f>
        <v/>
      </c>
      <c r="D4" s="3">
        <f>SUMIFS(view_parc_agrup!H:H,view_parc_agrup!G:G,Conciliacao!A4)</f>
        <v/>
      </c>
      <c r="E4" s="3">
        <f>SUMIFS(df_eventos!F:F,df_eventos!H:H,Conciliacao!A4)</f>
        <v/>
      </c>
      <c r="F4" s="3">
        <f>SUMIFS(df_mutuos!M:M,df_mutuos!B:B,Conciliacao!A4)</f>
        <v/>
      </c>
      <c r="G4" s="6">
        <f>SUMIFS(df_bloqueios_judiciais!G:G,df_bloqueios_judiciais!D:D,Conciliacao!A4,df_bloqueios_judiciais!G:G,"&gt;0")</f>
        <v/>
      </c>
      <c r="H4" s="7">
        <f>SUMIFS(df_extratos!I:I,df_extratos!F:F,"&gt;="&amp;Conciliacao!BE4,df_extratos!F:F,"&lt;"&amp;Conciliacao!BE4+1,df_extratos!G:G,"CREDITO")
+SUMIFS(df_extratos!I:I,df_extratos!F:F,"&gt;="&amp;Conciliacao!A4, df_extratos!F:F,"&lt;"&amp;Conciliacao!A4+1, df_extratos!G:G,"CREDITO")
+SUMIFS(df_extratos!I:I,df_extratos!F:F,"&gt;="&amp;Conciliacao!BF4,df_extratos!F:F,"&lt;"&amp;Conciliacao!BF4+1,df_extratos!G:G,"CREDITO")
+SUMIFS(df_extratos!I:I,df_extratos!F:F,"&gt;="&amp;Conciliacao!BG4,df_extratos!F:F,"&lt;"&amp;Conciliacao!BG4+1,df_extratos!G:G,"CREDITO")
+SUMIFS(df_extratos!I:I,df_extratos!F:F,"&gt;="&amp;Conciliacao!BH4,df_extratos!F:F,"&lt;"&amp;Conciliacao!BH4+1,df_extratos!G:G,"CREDITO")</f>
        <v/>
      </c>
      <c r="I4" s="9">
        <f>H4-SUM(B4:G4)</f>
        <v/>
      </c>
      <c r="J4" s="4">
        <f>SUMIFS(df_blueme_sem_parcelamento!E:E,df_blueme_sem_parcelamento!H:H,Conciliacao!A4)*(-1)</f>
        <v/>
      </c>
      <c r="K4" s="4">
        <f>SUMIFS(df_blueme_com_parcelamento!J:J,df_blueme_com_parcelamento!M:M,Conciliacao!A4)*(-1)</f>
        <v/>
      </c>
      <c r="L4" s="4">
        <f>SUMIFS(df_mutuos!N:N,df_mutuos!B:B,Conciliacao!A4)*(-1)</f>
        <v/>
      </c>
      <c r="M4" s="8">
        <f>SUMIFS(df_bloqueios_judiciais!E:E,df_bloqueios_judiciais!D:D,Conciliacao!A4,df_bloqueios_judiciais!E:E,"&lt;0")</f>
        <v/>
      </c>
      <c r="N4" s="10">
        <f>SUMIFS(df_extratos!I:I,df_extratos!F:F,"&gt;="&amp;Conciliacao!BE4,df_extratos!F:F,"&lt;"&amp;Conciliacao!BE4+1,df_extratos!G:G,"DEBITO")
+SUMIFS(df_extratos!I:I,df_extratos!F:F,"&gt;="&amp;Conciliacao!A4, df_extratos!F:F,"&lt;"&amp;Conciliacao!A4+1, df_extratos!G:G,"DEBITO")
+SUMIFS(df_extratos!I:I,df_extratos!F:F,"&gt;="&amp;Conciliacao!BF4,df_extratos!F:F,"&lt;"&amp;Conciliacao!BF4+1,df_extratos!G:G,"DEBITO")
+SUMIFS(df_extratos!I:I,df_extratos!F:F,"&gt;="&amp;Conciliacao!BG4,df_extratos!F:F,"&lt;"&amp;Conciliacao!BG4+1,df_extratos!G:G,"DEBITO")
+SUMIFS(df_extratos!I:I,df_extratos!F:F,"&gt;="&amp;Conciliacao!BH4,df_extratos!F:F,"&lt;"&amp;Conciliacao!BH4+1,df_extratos!G:G,"DEBITO")</f>
        <v/>
      </c>
      <c r="O4" s="11">
        <f>N4-SUM(J4:M4)</f>
        <v/>
      </c>
      <c r="P4" s="25">
        <f>SUMIFS(df_ajustes_conciliaco!D:D,df_ajustes_conciliaco!C:C,Conciliacao!A4)</f>
        <v/>
      </c>
      <c r="Q4" s="22">
        <f>O4+I4-P4</f>
        <v/>
      </c>
      <c r="BE4" s="20" t="n">
        <v>45660.5</v>
      </c>
      <c r="BF4" s="20" t="n">
        <v>45660.125</v>
      </c>
      <c r="BG4" s="20" t="n">
        <v>45660.54166666666</v>
      </c>
      <c r="BH4" s="20" t="n">
        <v>45660.625</v>
      </c>
    </row>
    <row r="5">
      <c r="A5" s="5">
        <f>A4+1</f>
        <v/>
      </c>
      <c r="B5" s="3">
        <f>-SUMIFS(df_extrato_zig!G:G,df_extrato_zig!E:E,Conciliacao!A5,df_extrato_zig!D:D,"Saque")-SUMIFS(df_extrato_zig!G:G,df_extrato_zig!E:E,Conciliacao!A5,df_extrato_zig!D:D,"Antecipação")</f>
        <v/>
      </c>
      <c r="C5" s="3">
        <f>SUMIFS(df_extrato_zig!E:E,df_extrato_zig!L:L,Conciliacao!A5,df_extrato_zig!F:F,"DINHEIRO")</f>
        <v/>
      </c>
      <c r="D5" s="3">
        <f>SUMIFS(view_parc_agrup!H:H,view_parc_agrup!G:G,Conciliacao!A5)</f>
        <v/>
      </c>
      <c r="E5" s="3">
        <f>SUMIFS(df_eventos!F:F,df_eventos!H:H,Conciliacao!A5)</f>
        <v/>
      </c>
      <c r="F5" s="3">
        <f>SUMIFS(df_mutuos!M:M,df_mutuos!B:B,Conciliacao!A5)</f>
        <v/>
      </c>
      <c r="G5" s="6">
        <f>SUMIFS(df_bloqueios_judiciais!G:G,df_bloqueios_judiciais!D:D,Conciliacao!A5,df_bloqueios_judiciais!G:G,"&gt;0")</f>
        <v/>
      </c>
      <c r="H5" s="7">
        <f>SUMIFS(df_extratos!I:I,df_extratos!F:F,"&gt;="&amp;Conciliacao!BE5,df_extratos!F:F,"&lt;"&amp;Conciliacao!BE5+1,df_extratos!G:G,"CREDITO")
+SUMIFS(df_extratos!I:I,df_extratos!F:F,"&gt;="&amp;Conciliacao!A5, df_extratos!F:F,"&lt;"&amp;Conciliacao!A5+1, df_extratos!G:G,"CREDITO")
+SUMIFS(df_extratos!I:I,df_extratos!F:F,"&gt;="&amp;Conciliacao!BF5,df_extratos!F:F,"&lt;"&amp;Conciliacao!BF5+1,df_extratos!G:G,"CREDITO")
+SUMIFS(df_extratos!I:I,df_extratos!F:F,"&gt;="&amp;Conciliacao!BG5,df_extratos!F:F,"&lt;"&amp;Conciliacao!BG5+1,df_extratos!G:G,"CREDITO")
+SUMIFS(df_extratos!I:I,df_extratos!F:F,"&gt;="&amp;Conciliacao!BH5,df_extratos!F:F,"&lt;"&amp;Conciliacao!BH5+1,df_extratos!G:G,"CREDITO")</f>
        <v/>
      </c>
      <c r="I5" s="9">
        <f>H5-SUM(B5:G5)</f>
        <v/>
      </c>
      <c r="J5" s="4">
        <f>SUMIFS(df_blueme_sem_parcelamento!E:E,df_blueme_sem_parcelamento!H:H,Conciliacao!A5)*(-1)</f>
        <v/>
      </c>
      <c r="K5" s="4">
        <f>SUMIFS(df_blueme_com_parcelamento!J:J,df_blueme_com_parcelamento!M:M,Conciliacao!A5)*(-1)</f>
        <v/>
      </c>
      <c r="L5" s="4">
        <f>SUMIFS(df_mutuos!N:N,df_mutuos!B:B,Conciliacao!A5)*(-1)</f>
        <v/>
      </c>
      <c r="M5" s="8">
        <f>SUMIFS(df_bloqueios_judiciais!E:E,df_bloqueios_judiciais!D:D,Conciliacao!A5,df_bloqueios_judiciais!E:E,"&lt;0")</f>
        <v/>
      </c>
      <c r="N5" s="10">
        <f>SUMIFS(df_extratos!I:I,df_extratos!F:F,"&gt;="&amp;Conciliacao!BE5,df_extratos!F:F,"&lt;"&amp;Conciliacao!BE5+1,df_extratos!G:G,"DEBITO")
+SUMIFS(df_extratos!I:I,df_extratos!F:F,"&gt;="&amp;Conciliacao!A5, df_extratos!F:F,"&lt;"&amp;Conciliacao!A5+1, df_extratos!G:G,"DEBITO")
+SUMIFS(df_extratos!I:I,df_extratos!F:F,"&gt;="&amp;Conciliacao!BF5,df_extratos!F:F,"&lt;"&amp;Conciliacao!BF5+1,df_extratos!G:G,"DEBITO")
+SUMIFS(df_extratos!I:I,df_extratos!F:F,"&gt;="&amp;Conciliacao!BG5,df_extratos!F:F,"&lt;"&amp;Conciliacao!BG5+1,df_extratos!G:G,"DEBITO")
+SUMIFS(df_extratos!I:I,df_extratos!F:F,"&gt;="&amp;Conciliacao!BH5,df_extratos!F:F,"&lt;"&amp;Conciliacao!BH5+1,df_extratos!G:G,"DEBITO")</f>
        <v/>
      </c>
      <c r="O5" s="11">
        <f>N5-SUM(J5:M5)</f>
        <v/>
      </c>
      <c r="P5" s="25">
        <f>SUMIFS(df_ajustes_conciliaco!D:D,df_ajustes_conciliaco!C:C,Conciliacao!A5)</f>
        <v/>
      </c>
      <c r="Q5" s="22">
        <f>O5+I5-P5</f>
        <v/>
      </c>
      <c r="BE5" s="20" t="n">
        <v>45661.5</v>
      </c>
      <c r="BF5" s="20" t="n">
        <v>45661.125</v>
      </c>
      <c r="BG5" s="20" t="n">
        <v>45661.54166666666</v>
      </c>
      <c r="BH5" s="20" t="n">
        <v>45661.625</v>
      </c>
    </row>
    <row r="6">
      <c r="A6" s="5">
        <f>A5+1</f>
        <v/>
      </c>
      <c r="B6" s="3">
        <f>-SUMIFS(df_extrato_zig!G:G,df_extrato_zig!E:E,Conciliacao!A6,df_extrato_zig!D:D,"Saque")-SUMIFS(df_extrato_zig!G:G,df_extrato_zig!E:E,Conciliacao!A6,df_extrato_zig!D:D,"Antecipação")</f>
        <v/>
      </c>
      <c r="C6" s="3">
        <f>SUMIFS(df_extrato_zig!E:E,df_extrato_zig!L:L,Conciliacao!A6,df_extrato_zig!F:F,"DINHEIRO")</f>
        <v/>
      </c>
      <c r="D6" s="3">
        <f>SUMIFS(view_parc_agrup!H:H,view_parc_agrup!G:G,Conciliacao!A6)</f>
        <v/>
      </c>
      <c r="E6" s="3">
        <f>SUMIFS(df_eventos!F:F,df_eventos!H:H,Conciliacao!A6)</f>
        <v/>
      </c>
      <c r="F6" s="3">
        <f>SUMIFS(df_mutuos!M:M,df_mutuos!B:B,Conciliacao!A6)</f>
        <v/>
      </c>
      <c r="G6" s="6">
        <f>SUMIFS(df_bloqueios_judiciais!G:G,df_bloqueios_judiciais!D:D,Conciliacao!A6,df_bloqueios_judiciais!G:G,"&gt;0")</f>
        <v/>
      </c>
      <c r="H6" s="7">
        <f>SUMIFS(df_extratos!I:I,df_extratos!F:F,"&gt;="&amp;Conciliacao!BE6,df_extratos!F:F,"&lt;"&amp;Conciliacao!BE6+1,df_extratos!G:G,"CREDITO")
+SUMIFS(df_extratos!I:I,df_extratos!F:F,"&gt;="&amp;Conciliacao!A6, df_extratos!F:F,"&lt;"&amp;Conciliacao!A6+1, df_extratos!G:G,"CREDITO")
+SUMIFS(df_extratos!I:I,df_extratos!F:F,"&gt;="&amp;Conciliacao!BF6,df_extratos!F:F,"&lt;"&amp;Conciliacao!BF6+1,df_extratos!G:G,"CREDITO")
+SUMIFS(df_extratos!I:I,df_extratos!F:F,"&gt;="&amp;Conciliacao!BG6,df_extratos!F:F,"&lt;"&amp;Conciliacao!BG6+1,df_extratos!G:G,"CREDITO")
+SUMIFS(df_extratos!I:I,df_extratos!F:F,"&gt;="&amp;Conciliacao!BH6,df_extratos!F:F,"&lt;"&amp;Conciliacao!BH6+1,df_extratos!G:G,"CREDITO")</f>
        <v/>
      </c>
      <c r="I6" s="9">
        <f>H6-SUM(B6:G6)</f>
        <v/>
      </c>
      <c r="J6" s="4">
        <f>SUMIFS(df_blueme_sem_parcelamento!E:E,df_blueme_sem_parcelamento!H:H,Conciliacao!A6)*(-1)</f>
        <v/>
      </c>
      <c r="K6" s="4">
        <f>SUMIFS(df_blueme_com_parcelamento!J:J,df_blueme_com_parcelamento!M:M,Conciliacao!A6)*(-1)</f>
        <v/>
      </c>
      <c r="L6" s="4">
        <f>SUMIFS(df_mutuos!N:N,df_mutuos!B:B,Conciliacao!A6)*(-1)</f>
        <v/>
      </c>
      <c r="M6" s="8">
        <f>SUMIFS(df_bloqueios_judiciais!E:E,df_bloqueios_judiciais!D:D,Conciliacao!A6,df_bloqueios_judiciais!E:E,"&lt;0")</f>
        <v/>
      </c>
      <c r="N6" s="10">
        <f>SUMIFS(df_extratos!I:I,df_extratos!F:F,"&gt;="&amp;Conciliacao!BE6,df_extratos!F:F,"&lt;"&amp;Conciliacao!BE6+1,df_extratos!G:G,"DEBITO")
+SUMIFS(df_extratos!I:I,df_extratos!F:F,"&gt;="&amp;Conciliacao!A6, df_extratos!F:F,"&lt;"&amp;Conciliacao!A6+1, df_extratos!G:G,"DEBITO")
+SUMIFS(df_extratos!I:I,df_extratos!F:F,"&gt;="&amp;Conciliacao!BF6,df_extratos!F:F,"&lt;"&amp;Conciliacao!BF6+1,df_extratos!G:G,"DEBITO")
+SUMIFS(df_extratos!I:I,df_extratos!F:F,"&gt;="&amp;Conciliacao!BG6,df_extratos!F:F,"&lt;"&amp;Conciliacao!BG6+1,df_extratos!G:G,"DEBITO")
+SUMIFS(df_extratos!I:I,df_extratos!F:F,"&gt;="&amp;Conciliacao!BH6,df_extratos!F:F,"&lt;"&amp;Conciliacao!BH6+1,df_extratos!G:G,"DEBITO")</f>
        <v/>
      </c>
      <c r="O6" s="11">
        <f>N6-SUM(J6:M6)</f>
        <v/>
      </c>
      <c r="P6" s="25">
        <f>SUMIFS(df_ajustes_conciliaco!D:D,df_ajustes_conciliaco!C:C,Conciliacao!A6)</f>
        <v/>
      </c>
      <c r="Q6" s="22">
        <f>O6+I6-P6</f>
        <v/>
      </c>
      <c r="BE6" s="20" t="n">
        <v>45662.5</v>
      </c>
      <c r="BF6" s="20" t="n">
        <v>45662.125</v>
      </c>
      <c r="BG6" s="20" t="n">
        <v>45662.54166666666</v>
      </c>
      <c r="BH6" s="20" t="n">
        <v>45662.625</v>
      </c>
    </row>
    <row r="7">
      <c r="A7" s="5">
        <f>A6+1</f>
        <v/>
      </c>
      <c r="B7" s="3">
        <f>-SUMIFS(df_extrato_zig!G:G,df_extrato_zig!E:E,Conciliacao!A7,df_extrato_zig!D:D,"Saque")-SUMIFS(df_extrato_zig!G:G,df_extrato_zig!E:E,Conciliacao!A7,df_extrato_zig!D:D,"Antecipação")</f>
        <v/>
      </c>
      <c r="C7" s="3">
        <f>SUMIFS(df_extrato_zig!E:E,df_extrato_zig!L:L,Conciliacao!A7,df_extrato_zig!F:F,"DINHEIRO")</f>
        <v/>
      </c>
      <c r="D7" s="3">
        <f>SUMIFS(view_parc_agrup!H:H,view_parc_agrup!G:G,Conciliacao!A7)</f>
        <v/>
      </c>
      <c r="E7" s="3">
        <f>SUMIFS(df_eventos!F:F,df_eventos!H:H,Conciliacao!A7)</f>
        <v/>
      </c>
      <c r="F7" s="3">
        <f>SUMIFS(df_mutuos!M:M,df_mutuos!B:B,Conciliacao!A7)</f>
        <v/>
      </c>
      <c r="G7" s="6">
        <f>SUMIFS(df_bloqueios_judiciais!G:G,df_bloqueios_judiciais!D:D,Conciliacao!A7,df_bloqueios_judiciais!G:G,"&gt;0")</f>
        <v/>
      </c>
      <c r="H7" s="7">
        <f>SUMIFS(df_extratos!I:I,df_extratos!F:F,"&gt;="&amp;Conciliacao!BE7,df_extratos!F:F,"&lt;"&amp;Conciliacao!BE7+1,df_extratos!G:G,"CREDITO")
+SUMIFS(df_extratos!I:I,df_extratos!F:F,"&gt;="&amp;Conciliacao!A7, df_extratos!F:F,"&lt;"&amp;Conciliacao!A7+1, df_extratos!G:G,"CREDITO")
+SUMIFS(df_extratos!I:I,df_extratos!F:F,"&gt;="&amp;Conciliacao!BF7,df_extratos!F:F,"&lt;"&amp;Conciliacao!BF7+1,df_extratos!G:G,"CREDITO")
+SUMIFS(df_extratos!I:I,df_extratos!F:F,"&gt;="&amp;Conciliacao!BG7,df_extratos!F:F,"&lt;"&amp;Conciliacao!BG7+1,df_extratos!G:G,"CREDITO")
+SUMIFS(df_extratos!I:I,df_extratos!F:F,"&gt;="&amp;Conciliacao!BH7,df_extratos!F:F,"&lt;"&amp;Conciliacao!BH7+1,df_extratos!G:G,"CREDITO")</f>
        <v/>
      </c>
      <c r="I7" s="9">
        <f>H7-SUM(B7:G7)</f>
        <v/>
      </c>
      <c r="J7" s="4">
        <f>SUMIFS(df_blueme_sem_parcelamento!E:E,df_blueme_sem_parcelamento!H:H,Conciliacao!A7)*(-1)</f>
        <v/>
      </c>
      <c r="K7" s="4">
        <f>SUMIFS(df_blueme_com_parcelamento!J:J,df_blueme_com_parcelamento!M:M,Conciliacao!A7)*(-1)</f>
        <v/>
      </c>
      <c r="L7" s="4">
        <f>SUMIFS(df_mutuos!N:N,df_mutuos!B:B,Conciliacao!A7)*(-1)</f>
        <v/>
      </c>
      <c r="M7" s="8">
        <f>SUMIFS(df_bloqueios_judiciais!E:E,df_bloqueios_judiciais!D:D,Conciliacao!A7,df_bloqueios_judiciais!E:E,"&lt;0")</f>
        <v/>
      </c>
      <c r="N7" s="10">
        <f>SUMIFS(df_extratos!I:I,df_extratos!F:F,"&gt;="&amp;Conciliacao!BE7,df_extratos!F:F,"&lt;"&amp;Conciliacao!BE7+1,df_extratos!G:G,"DEBITO")
+SUMIFS(df_extratos!I:I,df_extratos!F:F,"&gt;="&amp;Conciliacao!A7, df_extratos!F:F,"&lt;"&amp;Conciliacao!A7+1, df_extratos!G:G,"DEBITO")
+SUMIFS(df_extratos!I:I,df_extratos!F:F,"&gt;="&amp;Conciliacao!BF7,df_extratos!F:F,"&lt;"&amp;Conciliacao!BF7+1,df_extratos!G:G,"DEBITO")
+SUMIFS(df_extratos!I:I,df_extratos!F:F,"&gt;="&amp;Conciliacao!BG7,df_extratos!F:F,"&lt;"&amp;Conciliacao!BG7+1,df_extratos!G:G,"DEBITO")
+SUMIFS(df_extratos!I:I,df_extratos!F:F,"&gt;="&amp;Conciliacao!BH7,df_extratos!F:F,"&lt;"&amp;Conciliacao!BH7+1,df_extratos!G:G,"DEBITO")</f>
        <v/>
      </c>
      <c r="O7" s="11">
        <f>N7-SUM(J7:M7)</f>
        <v/>
      </c>
      <c r="P7" s="25">
        <f>SUMIFS(df_ajustes_conciliaco!D:D,df_ajustes_conciliaco!C:C,Conciliacao!A7)</f>
        <v/>
      </c>
      <c r="Q7" s="22">
        <f>O7+I7-P7</f>
        <v/>
      </c>
      <c r="BE7" s="20" t="n">
        <v>45663.5</v>
      </c>
      <c r="BF7" s="20" t="n">
        <v>45663.125</v>
      </c>
      <c r="BG7" s="20" t="n">
        <v>45663.54166666666</v>
      </c>
      <c r="BH7" s="20" t="n">
        <v>45663.625</v>
      </c>
    </row>
    <row r="8">
      <c r="A8" s="5">
        <f>A7+1</f>
        <v/>
      </c>
      <c r="B8" s="3">
        <f>-SUMIFS(df_extrato_zig!G:G,df_extrato_zig!E:E,Conciliacao!A8,df_extrato_zig!D:D,"Saque")-SUMIFS(df_extrato_zig!G:G,df_extrato_zig!E:E,Conciliacao!A8,df_extrato_zig!D:D,"Antecipação")</f>
        <v/>
      </c>
      <c r="C8" s="3">
        <f>SUMIFS(df_extrato_zig!E:E,df_extrato_zig!L:L,Conciliacao!A8,df_extrato_zig!F:F,"DINHEIRO")</f>
        <v/>
      </c>
      <c r="D8" s="3">
        <f>SUMIFS(view_parc_agrup!H:H,view_parc_agrup!G:G,Conciliacao!A8)</f>
        <v/>
      </c>
      <c r="E8" s="3">
        <f>SUMIFS(df_eventos!F:F,df_eventos!H:H,Conciliacao!A8)</f>
        <v/>
      </c>
      <c r="F8" s="3">
        <f>SUMIFS(df_mutuos!M:M,df_mutuos!B:B,Conciliacao!A8)</f>
        <v/>
      </c>
      <c r="G8" s="6">
        <f>SUMIFS(df_bloqueios_judiciais!G:G,df_bloqueios_judiciais!D:D,Conciliacao!A8,df_bloqueios_judiciais!G:G,"&gt;0")</f>
        <v/>
      </c>
      <c r="H8" s="7">
        <f>SUMIFS(df_extratos!I:I,df_extratos!F:F,"&gt;="&amp;Conciliacao!BE8,df_extratos!F:F,"&lt;"&amp;Conciliacao!BE8+1,df_extratos!G:G,"CREDITO")
+SUMIFS(df_extratos!I:I,df_extratos!F:F,"&gt;="&amp;Conciliacao!A8, df_extratos!F:F,"&lt;"&amp;Conciliacao!A8+1, df_extratos!G:G,"CREDITO")
+SUMIFS(df_extratos!I:I,df_extratos!F:F,"&gt;="&amp;Conciliacao!BF8,df_extratos!F:F,"&lt;"&amp;Conciliacao!BF8+1,df_extratos!G:G,"CREDITO")
+SUMIFS(df_extratos!I:I,df_extratos!F:F,"&gt;="&amp;Conciliacao!BG8,df_extratos!F:F,"&lt;"&amp;Conciliacao!BG8+1,df_extratos!G:G,"CREDITO")
+SUMIFS(df_extratos!I:I,df_extratos!F:F,"&gt;="&amp;Conciliacao!BH8,df_extratos!F:F,"&lt;"&amp;Conciliacao!BH8+1,df_extratos!G:G,"CREDITO")</f>
        <v/>
      </c>
      <c r="I8" s="9">
        <f>H8-SUM(B8:G8)</f>
        <v/>
      </c>
      <c r="J8" s="4">
        <f>SUMIFS(df_blueme_sem_parcelamento!E:E,df_blueme_sem_parcelamento!H:H,Conciliacao!A8)*(-1)</f>
        <v/>
      </c>
      <c r="K8" s="4">
        <f>SUMIFS(df_blueme_com_parcelamento!J:J,df_blueme_com_parcelamento!M:M,Conciliacao!A8)*(-1)</f>
        <v/>
      </c>
      <c r="L8" s="4">
        <f>SUMIFS(df_mutuos!N:N,df_mutuos!B:B,Conciliacao!A8)*(-1)</f>
        <v/>
      </c>
      <c r="M8" s="8">
        <f>SUMIFS(df_bloqueios_judiciais!E:E,df_bloqueios_judiciais!D:D,Conciliacao!A8,df_bloqueios_judiciais!E:E,"&lt;0")</f>
        <v/>
      </c>
      <c r="N8" s="10">
        <f>SUMIFS(df_extratos!I:I,df_extratos!F:F,"&gt;="&amp;Conciliacao!BE8,df_extratos!F:F,"&lt;"&amp;Conciliacao!BE8+1,df_extratos!G:G,"DEBITO")
+SUMIFS(df_extratos!I:I,df_extratos!F:F,"&gt;="&amp;Conciliacao!A8, df_extratos!F:F,"&lt;"&amp;Conciliacao!A8+1, df_extratos!G:G,"DEBITO")
+SUMIFS(df_extratos!I:I,df_extratos!F:F,"&gt;="&amp;Conciliacao!BF8,df_extratos!F:F,"&lt;"&amp;Conciliacao!BF8+1,df_extratos!G:G,"DEBITO")
+SUMIFS(df_extratos!I:I,df_extratos!F:F,"&gt;="&amp;Conciliacao!BG8,df_extratos!F:F,"&lt;"&amp;Conciliacao!BG8+1,df_extratos!G:G,"DEBITO")
+SUMIFS(df_extratos!I:I,df_extratos!F:F,"&gt;="&amp;Conciliacao!BH8,df_extratos!F:F,"&lt;"&amp;Conciliacao!BH8+1,df_extratos!G:G,"DEBITO")</f>
        <v/>
      </c>
      <c r="O8" s="11">
        <f>N8-SUM(J8:M8)</f>
        <v/>
      </c>
      <c r="P8" s="25">
        <f>SUMIFS(df_ajustes_conciliaco!D:D,df_ajustes_conciliaco!C:C,Conciliacao!A8)</f>
        <v/>
      </c>
      <c r="Q8" s="22">
        <f>O8+I8-P8</f>
        <v/>
      </c>
      <c r="BE8" s="20" t="n">
        <v>45664.5</v>
      </c>
      <c r="BF8" s="20" t="n">
        <v>45664.125</v>
      </c>
      <c r="BG8" s="20" t="n">
        <v>45664.54166666666</v>
      </c>
      <c r="BH8" s="20" t="n">
        <v>45664.625</v>
      </c>
    </row>
    <row r="9">
      <c r="A9" s="5">
        <f>A8+1</f>
        <v/>
      </c>
      <c r="B9" s="3">
        <f>-SUMIFS(df_extrato_zig!G:G,df_extrato_zig!E:E,Conciliacao!A9,df_extrato_zig!D:D,"Saque")-SUMIFS(df_extrato_zig!G:G,df_extrato_zig!E:E,Conciliacao!A9,df_extrato_zig!D:D,"Antecipação")</f>
        <v/>
      </c>
      <c r="C9" s="3">
        <f>SUMIFS(df_extrato_zig!E:E,df_extrato_zig!L:L,Conciliacao!A9,df_extrato_zig!F:F,"DINHEIRO")</f>
        <v/>
      </c>
      <c r="D9" s="3">
        <f>SUMIFS(view_parc_agrup!H:H,view_parc_agrup!G:G,Conciliacao!A9)</f>
        <v/>
      </c>
      <c r="E9" s="3">
        <f>SUMIFS(df_eventos!F:F,df_eventos!H:H,Conciliacao!A9)</f>
        <v/>
      </c>
      <c r="F9" s="3">
        <f>SUMIFS(df_mutuos!M:M,df_mutuos!B:B,Conciliacao!A9)</f>
        <v/>
      </c>
      <c r="G9" s="6">
        <f>SUMIFS(df_bloqueios_judiciais!G:G,df_bloqueios_judiciais!D:D,Conciliacao!A9,df_bloqueios_judiciais!G:G,"&gt;0")</f>
        <v/>
      </c>
      <c r="H9" s="7">
        <f>SUMIFS(df_extratos!I:I,df_extratos!F:F,"&gt;="&amp;Conciliacao!BE9,df_extratos!F:F,"&lt;"&amp;Conciliacao!BE9+1,df_extratos!G:G,"CREDITO")
+SUMIFS(df_extratos!I:I,df_extratos!F:F,"&gt;="&amp;Conciliacao!A9, df_extratos!F:F,"&lt;"&amp;Conciliacao!A9+1, df_extratos!G:G,"CREDITO")
+SUMIFS(df_extratos!I:I,df_extratos!F:F,"&gt;="&amp;Conciliacao!BF9,df_extratos!F:F,"&lt;"&amp;Conciliacao!BF9+1,df_extratos!G:G,"CREDITO")
+SUMIFS(df_extratos!I:I,df_extratos!F:F,"&gt;="&amp;Conciliacao!BG9,df_extratos!F:F,"&lt;"&amp;Conciliacao!BG9+1,df_extratos!G:G,"CREDITO")
+SUMIFS(df_extratos!I:I,df_extratos!F:F,"&gt;="&amp;Conciliacao!BH9,df_extratos!F:F,"&lt;"&amp;Conciliacao!BH9+1,df_extratos!G:G,"CREDITO")</f>
        <v/>
      </c>
      <c r="I9" s="9">
        <f>H9-SUM(B9:G9)</f>
        <v/>
      </c>
      <c r="J9" s="4">
        <f>SUMIFS(df_blueme_sem_parcelamento!E:E,df_blueme_sem_parcelamento!H:H,Conciliacao!A9)*(-1)</f>
        <v/>
      </c>
      <c r="K9" s="4">
        <f>SUMIFS(df_blueme_com_parcelamento!J:J,df_blueme_com_parcelamento!M:M,Conciliacao!A9)*(-1)</f>
        <v/>
      </c>
      <c r="L9" s="4">
        <f>SUMIFS(df_mutuos!N:N,df_mutuos!B:B,Conciliacao!A9)*(-1)</f>
        <v/>
      </c>
      <c r="M9" s="8">
        <f>SUMIFS(df_bloqueios_judiciais!E:E,df_bloqueios_judiciais!D:D,Conciliacao!A9,df_bloqueios_judiciais!E:E,"&lt;0")</f>
        <v/>
      </c>
      <c r="N9" s="10">
        <f>SUMIFS(df_extratos!I:I,df_extratos!F:F,"&gt;="&amp;Conciliacao!BE9,df_extratos!F:F,"&lt;"&amp;Conciliacao!BE9+1,df_extratos!G:G,"DEBITO")
+SUMIFS(df_extratos!I:I,df_extratos!F:F,"&gt;="&amp;Conciliacao!A9, df_extratos!F:F,"&lt;"&amp;Conciliacao!A9+1, df_extratos!G:G,"DEBITO")
+SUMIFS(df_extratos!I:I,df_extratos!F:F,"&gt;="&amp;Conciliacao!BF9,df_extratos!F:F,"&lt;"&amp;Conciliacao!BF9+1,df_extratos!G:G,"DEBITO")
+SUMIFS(df_extratos!I:I,df_extratos!F:F,"&gt;="&amp;Conciliacao!BG9,df_extratos!F:F,"&lt;"&amp;Conciliacao!BG9+1,df_extratos!G:G,"DEBITO")
+SUMIFS(df_extratos!I:I,df_extratos!F:F,"&gt;="&amp;Conciliacao!BH9,df_extratos!F:F,"&lt;"&amp;Conciliacao!BH9+1,df_extratos!G:G,"DEBITO")</f>
        <v/>
      </c>
      <c r="O9" s="11">
        <f>N9-SUM(J9:M9)</f>
        <v/>
      </c>
      <c r="P9" s="25">
        <f>SUMIFS(df_ajustes_conciliaco!D:D,df_ajustes_conciliaco!C:C,Conciliacao!A9)</f>
        <v/>
      </c>
      <c r="Q9" s="22">
        <f>O9+I9-P9</f>
        <v/>
      </c>
      <c r="BE9" s="20" t="n">
        <v>45665.5</v>
      </c>
      <c r="BF9" s="20" t="n">
        <v>45665.125</v>
      </c>
      <c r="BG9" s="20" t="n">
        <v>45665.54166666666</v>
      </c>
      <c r="BH9" s="20" t="n">
        <v>45665.625</v>
      </c>
    </row>
    <row r="10">
      <c r="A10" s="5">
        <f>A9+1</f>
        <v/>
      </c>
      <c r="B10" s="3">
        <f>-SUMIFS(df_extrato_zig!G:G,df_extrato_zig!E:E,Conciliacao!A10,df_extrato_zig!D:D,"Saque")-SUMIFS(df_extrato_zig!G:G,df_extrato_zig!E:E,Conciliacao!A10,df_extrato_zig!D:D,"Antecipação")</f>
        <v/>
      </c>
      <c r="C10" s="3">
        <f>SUMIFS(df_extrato_zig!E:E,df_extrato_zig!L:L,Conciliacao!A10,df_extrato_zig!F:F,"DINHEIRO")</f>
        <v/>
      </c>
      <c r="D10" s="3">
        <f>SUMIFS(view_parc_agrup!H:H,view_parc_agrup!G:G,Conciliacao!A10)</f>
        <v/>
      </c>
      <c r="E10" s="3">
        <f>SUMIFS(df_eventos!F:F,df_eventos!H:H,Conciliacao!A10)</f>
        <v/>
      </c>
      <c r="F10" s="3">
        <f>SUMIFS(df_mutuos!M:M,df_mutuos!B:B,Conciliacao!A10)</f>
        <v/>
      </c>
      <c r="G10" s="6">
        <f>SUMIFS(df_bloqueios_judiciais!G:G,df_bloqueios_judiciais!D:D,Conciliacao!A10,df_bloqueios_judiciais!G:G,"&gt;0")</f>
        <v/>
      </c>
      <c r="H10" s="7">
        <f>SUMIFS(df_extratos!I:I,df_extratos!F:F,"&gt;="&amp;Conciliacao!BE10,df_extratos!F:F,"&lt;"&amp;Conciliacao!BE10+1,df_extratos!G:G,"CREDITO")
+SUMIFS(df_extratos!I:I,df_extratos!F:F,"&gt;="&amp;Conciliacao!A10, df_extratos!F:F,"&lt;"&amp;Conciliacao!A10+1, df_extratos!G:G,"CREDITO")
+SUMIFS(df_extratos!I:I,df_extratos!F:F,"&gt;="&amp;Conciliacao!BF10,df_extratos!F:F,"&lt;"&amp;Conciliacao!BF10+1,df_extratos!G:G,"CREDITO")
+SUMIFS(df_extratos!I:I,df_extratos!F:F,"&gt;="&amp;Conciliacao!BG10,df_extratos!F:F,"&lt;"&amp;Conciliacao!BG10+1,df_extratos!G:G,"CREDITO")
+SUMIFS(df_extratos!I:I,df_extratos!F:F,"&gt;="&amp;Conciliacao!BH10,df_extratos!F:F,"&lt;"&amp;Conciliacao!BH10+1,df_extratos!G:G,"CREDITO")</f>
        <v/>
      </c>
      <c r="I10" s="9">
        <f>H10-SUM(B10:G10)</f>
        <v/>
      </c>
      <c r="J10" s="4">
        <f>SUMIFS(df_blueme_sem_parcelamento!E:E,df_blueme_sem_parcelamento!H:H,Conciliacao!A10)*(-1)</f>
        <v/>
      </c>
      <c r="K10" s="4">
        <f>SUMIFS(df_blueme_com_parcelamento!J:J,df_blueme_com_parcelamento!M:M,Conciliacao!A10)*(-1)</f>
        <v/>
      </c>
      <c r="L10" s="4">
        <f>SUMIFS(df_mutuos!N:N,df_mutuos!B:B,Conciliacao!A10)*(-1)</f>
        <v/>
      </c>
      <c r="M10" s="8">
        <f>SUMIFS(df_bloqueios_judiciais!E:E,df_bloqueios_judiciais!D:D,Conciliacao!A10,df_bloqueios_judiciais!E:E,"&lt;0")</f>
        <v/>
      </c>
      <c r="N10" s="10">
        <f>SUMIFS(df_extratos!I:I,df_extratos!F:F,"&gt;="&amp;Conciliacao!BE10,df_extratos!F:F,"&lt;"&amp;Conciliacao!BE10+1,df_extratos!G:G,"DEBITO")
+SUMIFS(df_extratos!I:I,df_extratos!F:F,"&gt;="&amp;Conciliacao!A10, df_extratos!F:F,"&lt;"&amp;Conciliacao!A10+1, df_extratos!G:G,"DEBITO")
+SUMIFS(df_extratos!I:I,df_extratos!F:F,"&gt;="&amp;Conciliacao!BF10,df_extratos!F:F,"&lt;"&amp;Conciliacao!BF10+1,df_extratos!G:G,"DEBITO")
+SUMIFS(df_extratos!I:I,df_extratos!F:F,"&gt;="&amp;Conciliacao!BG10,df_extratos!F:F,"&lt;"&amp;Conciliacao!BG10+1,df_extratos!G:G,"DEBITO")
+SUMIFS(df_extratos!I:I,df_extratos!F:F,"&gt;="&amp;Conciliacao!BH10,df_extratos!F:F,"&lt;"&amp;Conciliacao!BH10+1,df_extratos!G:G,"DEBITO")</f>
        <v/>
      </c>
      <c r="O10" s="11">
        <f>N10-SUM(J10:M10)</f>
        <v/>
      </c>
      <c r="P10" s="25">
        <f>SUMIFS(df_ajustes_conciliaco!D:D,df_ajustes_conciliaco!C:C,Conciliacao!A10)</f>
        <v/>
      </c>
      <c r="Q10" s="22">
        <f>O10+I10-P10</f>
        <v/>
      </c>
      <c r="BE10" s="20" t="n">
        <v>45666.5</v>
      </c>
      <c r="BF10" s="20" t="n">
        <v>45666.125</v>
      </c>
      <c r="BG10" s="20" t="n">
        <v>45666.54166666666</v>
      </c>
      <c r="BH10" s="20" t="n">
        <v>45666.625</v>
      </c>
    </row>
    <row r="11">
      <c r="A11" s="5">
        <f>A10+1</f>
        <v/>
      </c>
      <c r="B11" s="3">
        <f>-SUMIFS(df_extrato_zig!G:G,df_extrato_zig!E:E,Conciliacao!A11,df_extrato_zig!D:D,"Saque")-SUMIFS(df_extrato_zig!G:G,df_extrato_zig!E:E,Conciliacao!A11,df_extrato_zig!D:D,"Antecipação")</f>
        <v/>
      </c>
      <c r="C11" s="3">
        <f>SUMIFS(df_extrato_zig!E:E,df_extrato_zig!L:L,Conciliacao!A11,df_extrato_zig!F:F,"DINHEIRO")</f>
        <v/>
      </c>
      <c r="D11" s="3">
        <f>SUMIFS(view_parc_agrup!H:H,view_parc_agrup!G:G,Conciliacao!A11)</f>
        <v/>
      </c>
      <c r="E11" s="3">
        <f>SUMIFS(df_eventos!F:F,df_eventos!H:H,Conciliacao!A11)</f>
        <v/>
      </c>
      <c r="F11" s="3">
        <f>SUMIFS(df_mutuos!M:M,df_mutuos!B:B,Conciliacao!A11)</f>
        <v/>
      </c>
      <c r="G11" s="6">
        <f>SUMIFS(df_bloqueios_judiciais!G:G,df_bloqueios_judiciais!D:D,Conciliacao!A11,df_bloqueios_judiciais!G:G,"&gt;0")</f>
        <v/>
      </c>
      <c r="H11" s="7">
        <f>SUMIFS(df_extratos!I:I,df_extratos!F:F,"&gt;="&amp;Conciliacao!BE11,df_extratos!F:F,"&lt;"&amp;Conciliacao!BE11+1,df_extratos!G:G,"CREDITO")
+SUMIFS(df_extratos!I:I,df_extratos!F:F,"&gt;="&amp;Conciliacao!A11, df_extratos!F:F,"&lt;"&amp;Conciliacao!A11+1, df_extratos!G:G,"CREDITO")
+SUMIFS(df_extratos!I:I,df_extratos!F:F,"&gt;="&amp;Conciliacao!BF11,df_extratos!F:F,"&lt;"&amp;Conciliacao!BF11+1,df_extratos!G:G,"CREDITO")
+SUMIFS(df_extratos!I:I,df_extratos!F:F,"&gt;="&amp;Conciliacao!BG11,df_extratos!F:F,"&lt;"&amp;Conciliacao!BG11+1,df_extratos!G:G,"CREDITO")
+SUMIFS(df_extratos!I:I,df_extratos!F:F,"&gt;="&amp;Conciliacao!BH11,df_extratos!F:F,"&lt;"&amp;Conciliacao!BH11+1,df_extratos!G:G,"CREDITO")</f>
        <v/>
      </c>
      <c r="I11" s="9">
        <f>H11-SUM(B11:G11)</f>
        <v/>
      </c>
      <c r="J11" s="4">
        <f>SUMIFS(df_blueme_sem_parcelamento!E:E,df_blueme_sem_parcelamento!H:H,Conciliacao!A11)*(-1)</f>
        <v/>
      </c>
      <c r="K11" s="4">
        <f>SUMIFS(df_blueme_com_parcelamento!J:J,df_blueme_com_parcelamento!M:M,Conciliacao!A11)*(-1)</f>
        <v/>
      </c>
      <c r="L11" s="4">
        <f>SUMIFS(df_mutuos!N:N,df_mutuos!B:B,Conciliacao!A11)*(-1)</f>
        <v/>
      </c>
      <c r="M11" s="8">
        <f>SUMIFS(df_bloqueios_judiciais!E:E,df_bloqueios_judiciais!D:D,Conciliacao!A11,df_bloqueios_judiciais!E:E,"&lt;0")</f>
        <v/>
      </c>
      <c r="N11" s="10">
        <f>SUMIFS(df_extratos!I:I,df_extratos!F:F,"&gt;="&amp;Conciliacao!BE11,df_extratos!F:F,"&lt;"&amp;Conciliacao!BE11+1,df_extratos!G:G,"DEBITO")
+SUMIFS(df_extratos!I:I,df_extratos!F:F,"&gt;="&amp;Conciliacao!A11, df_extratos!F:F,"&lt;"&amp;Conciliacao!A11+1, df_extratos!G:G,"DEBITO")
+SUMIFS(df_extratos!I:I,df_extratos!F:F,"&gt;="&amp;Conciliacao!BF11,df_extratos!F:F,"&lt;"&amp;Conciliacao!BF11+1,df_extratos!G:G,"DEBITO")
+SUMIFS(df_extratos!I:I,df_extratos!F:F,"&gt;="&amp;Conciliacao!BG11,df_extratos!F:F,"&lt;"&amp;Conciliacao!BG11+1,df_extratos!G:G,"DEBITO")
+SUMIFS(df_extratos!I:I,df_extratos!F:F,"&gt;="&amp;Conciliacao!BH11,df_extratos!F:F,"&lt;"&amp;Conciliacao!BH11+1,df_extratos!G:G,"DEBITO")</f>
        <v/>
      </c>
      <c r="O11" s="11">
        <f>N11-SUM(J11:M11)</f>
        <v/>
      </c>
      <c r="P11" s="25">
        <f>SUMIFS(df_ajustes_conciliaco!D:D,df_ajustes_conciliaco!C:C,Conciliacao!A11)</f>
        <v/>
      </c>
      <c r="Q11" s="22">
        <f>O11+I11-P11</f>
        <v/>
      </c>
      <c r="BE11" s="20" t="n">
        <v>45667.5</v>
      </c>
      <c r="BF11" s="20" t="n">
        <v>45667.125</v>
      </c>
      <c r="BG11" s="20" t="n">
        <v>45667.54166666666</v>
      </c>
      <c r="BH11" s="20" t="n">
        <v>45667.625</v>
      </c>
    </row>
    <row r="12">
      <c r="A12" s="5">
        <f>A11+1</f>
        <v/>
      </c>
      <c r="B12" s="3">
        <f>-SUMIFS(df_extrato_zig!G:G,df_extrato_zig!E:E,Conciliacao!A12,df_extrato_zig!D:D,"Saque")-SUMIFS(df_extrato_zig!G:G,df_extrato_zig!E:E,Conciliacao!A12,df_extrato_zig!D:D,"Antecipação")</f>
        <v/>
      </c>
      <c r="C12" s="3">
        <f>SUMIFS(df_extrato_zig!E:E,df_extrato_zig!L:L,Conciliacao!A12,df_extrato_zig!F:F,"DINHEIRO")</f>
        <v/>
      </c>
      <c r="D12" s="3">
        <f>SUMIFS(view_parc_agrup!H:H,view_parc_agrup!G:G,Conciliacao!A12)</f>
        <v/>
      </c>
      <c r="E12" s="3">
        <f>SUMIFS(df_eventos!F:F,df_eventos!H:H,Conciliacao!A12)</f>
        <v/>
      </c>
      <c r="F12" s="3">
        <f>SUMIFS(df_mutuos!M:M,df_mutuos!B:B,Conciliacao!A12)</f>
        <v/>
      </c>
      <c r="G12" s="6">
        <f>SUMIFS(df_bloqueios_judiciais!G:G,df_bloqueios_judiciais!D:D,Conciliacao!A12,df_bloqueios_judiciais!G:G,"&gt;0")</f>
        <v/>
      </c>
      <c r="H12" s="7">
        <f>SUMIFS(df_extratos!I:I,df_extratos!F:F,"&gt;="&amp;Conciliacao!BE12,df_extratos!F:F,"&lt;"&amp;Conciliacao!BE12+1,df_extratos!G:G,"CREDITO")
+SUMIFS(df_extratos!I:I,df_extratos!F:F,"&gt;="&amp;Conciliacao!A12, df_extratos!F:F,"&lt;"&amp;Conciliacao!A12+1, df_extratos!G:G,"CREDITO")
+SUMIFS(df_extratos!I:I,df_extratos!F:F,"&gt;="&amp;Conciliacao!BF12,df_extratos!F:F,"&lt;"&amp;Conciliacao!BF12+1,df_extratos!G:G,"CREDITO")
+SUMIFS(df_extratos!I:I,df_extratos!F:F,"&gt;="&amp;Conciliacao!BG12,df_extratos!F:F,"&lt;"&amp;Conciliacao!BG12+1,df_extratos!G:G,"CREDITO")
+SUMIFS(df_extratos!I:I,df_extratos!F:F,"&gt;="&amp;Conciliacao!BH12,df_extratos!F:F,"&lt;"&amp;Conciliacao!BH12+1,df_extratos!G:G,"CREDITO")</f>
        <v/>
      </c>
      <c r="I12" s="9">
        <f>H12-SUM(B12:G12)</f>
        <v/>
      </c>
      <c r="J12" s="4">
        <f>SUMIFS(df_blueme_sem_parcelamento!E:E,df_blueme_sem_parcelamento!H:H,Conciliacao!A12)*(-1)</f>
        <v/>
      </c>
      <c r="K12" s="4">
        <f>SUMIFS(df_blueme_com_parcelamento!J:J,df_blueme_com_parcelamento!M:M,Conciliacao!A12)*(-1)</f>
        <v/>
      </c>
      <c r="L12" s="4">
        <f>SUMIFS(df_mutuos!N:N,df_mutuos!B:B,Conciliacao!A12)*(-1)</f>
        <v/>
      </c>
      <c r="M12" s="8">
        <f>SUMIFS(df_bloqueios_judiciais!E:E,df_bloqueios_judiciais!D:D,Conciliacao!A12,df_bloqueios_judiciais!E:E,"&lt;0")</f>
        <v/>
      </c>
      <c r="N12" s="10">
        <f>SUMIFS(df_extratos!I:I,df_extratos!F:F,"&gt;="&amp;Conciliacao!BE12,df_extratos!F:F,"&lt;"&amp;Conciliacao!BE12+1,df_extratos!G:G,"DEBITO")
+SUMIFS(df_extratos!I:I,df_extratos!F:F,"&gt;="&amp;Conciliacao!A12, df_extratos!F:F,"&lt;"&amp;Conciliacao!A12+1, df_extratos!G:G,"DEBITO")
+SUMIFS(df_extratos!I:I,df_extratos!F:F,"&gt;="&amp;Conciliacao!BF12,df_extratos!F:F,"&lt;"&amp;Conciliacao!BF12+1,df_extratos!G:G,"DEBITO")
+SUMIFS(df_extratos!I:I,df_extratos!F:F,"&gt;="&amp;Conciliacao!BG12,df_extratos!F:F,"&lt;"&amp;Conciliacao!BG12+1,df_extratos!G:G,"DEBITO")
+SUMIFS(df_extratos!I:I,df_extratos!F:F,"&gt;="&amp;Conciliacao!BH12,df_extratos!F:F,"&lt;"&amp;Conciliacao!BH12+1,df_extratos!G:G,"DEBITO")</f>
        <v/>
      </c>
      <c r="O12" s="11">
        <f>N12-SUM(J12:M12)</f>
        <v/>
      </c>
      <c r="P12" s="25">
        <f>SUMIFS(df_ajustes_conciliaco!D:D,df_ajustes_conciliaco!C:C,Conciliacao!A12)</f>
        <v/>
      </c>
      <c r="Q12" s="22">
        <f>O12+I12-P12</f>
        <v/>
      </c>
      <c r="BE12" s="20" t="n">
        <v>45668.5</v>
      </c>
      <c r="BF12" s="20" t="n">
        <v>45668.125</v>
      </c>
      <c r="BG12" s="20" t="n">
        <v>45668.54166666666</v>
      </c>
      <c r="BH12" s="20" t="n">
        <v>45668.625</v>
      </c>
    </row>
    <row r="13">
      <c r="A13" s="5">
        <f>A12+1</f>
        <v/>
      </c>
      <c r="B13" s="3">
        <f>-SUMIFS(df_extrato_zig!G:G,df_extrato_zig!E:E,Conciliacao!A13,df_extrato_zig!D:D,"Saque")-SUMIFS(df_extrato_zig!G:G,df_extrato_zig!E:E,Conciliacao!A13,df_extrato_zig!D:D,"Antecipação")</f>
        <v/>
      </c>
      <c r="C13" s="3">
        <f>SUMIFS(df_extrato_zig!E:E,df_extrato_zig!L:L,Conciliacao!A13,df_extrato_zig!F:F,"DINHEIRO")</f>
        <v/>
      </c>
      <c r="D13" s="3">
        <f>SUMIFS(view_parc_agrup!H:H,view_parc_agrup!G:G,Conciliacao!A13)</f>
        <v/>
      </c>
      <c r="E13" s="3">
        <f>SUMIFS(df_eventos!F:F,df_eventos!H:H,Conciliacao!A13)</f>
        <v/>
      </c>
      <c r="F13" s="3">
        <f>SUMIFS(df_mutuos!M:M,df_mutuos!B:B,Conciliacao!A13)</f>
        <v/>
      </c>
      <c r="G13" s="6">
        <f>SUMIFS(df_bloqueios_judiciais!G:G,df_bloqueios_judiciais!D:D,Conciliacao!A13,df_bloqueios_judiciais!G:G,"&gt;0")</f>
        <v/>
      </c>
      <c r="H13" s="7">
        <f>SUMIFS(df_extratos!I:I,df_extratos!F:F,"&gt;="&amp;Conciliacao!BE13,df_extratos!F:F,"&lt;"&amp;Conciliacao!BE13+1,df_extratos!G:G,"CREDITO")
+SUMIFS(df_extratos!I:I,df_extratos!F:F,"&gt;="&amp;Conciliacao!A13, df_extratos!F:F,"&lt;"&amp;Conciliacao!A13+1, df_extratos!G:G,"CREDITO")
+SUMIFS(df_extratos!I:I,df_extratos!F:F,"&gt;="&amp;Conciliacao!BF13,df_extratos!F:F,"&lt;"&amp;Conciliacao!BF13+1,df_extratos!G:G,"CREDITO")
+SUMIFS(df_extratos!I:I,df_extratos!F:F,"&gt;="&amp;Conciliacao!BG13,df_extratos!F:F,"&lt;"&amp;Conciliacao!BG13+1,df_extratos!G:G,"CREDITO")
+SUMIFS(df_extratos!I:I,df_extratos!F:F,"&gt;="&amp;Conciliacao!BH13,df_extratos!F:F,"&lt;"&amp;Conciliacao!BH13+1,df_extratos!G:G,"CREDITO")</f>
        <v/>
      </c>
      <c r="I13" s="9">
        <f>H13-SUM(B13:G13)</f>
        <v/>
      </c>
      <c r="J13" s="4">
        <f>SUMIFS(df_blueme_sem_parcelamento!E:E,df_blueme_sem_parcelamento!H:H,Conciliacao!A13)*(-1)</f>
        <v/>
      </c>
      <c r="K13" s="4">
        <f>SUMIFS(df_blueme_com_parcelamento!J:J,df_blueme_com_parcelamento!M:M,Conciliacao!A13)*(-1)</f>
        <v/>
      </c>
      <c r="L13" s="4">
        <f>SUMIFS(df_mutuos!N:N,df_mutuos!B:B,Conciliacao!A13)*(-1)</f>
        <v/>
      </c>
      <c r="M13" s="8">
        <f>SUMIFS(df_bloqueios_judiciais!E:E,df_bloqueios_judiciais!D:D,Conciliacao!A13,df_bloqueios_judiciais!E:E,"&lt;0")</f>
        <v/>
      </c>
      <c r="N13" s="10">
        <f>SUMIFS(df_extratos!I:I,df_extratos!F:F,"&gt;="&amp;Conciliacao!BE13,df_extratos!F:F,"&lt;"&amp;Conciliacao!BE13+1,df_extratos!G:G,"DEBITO")
+SUMIFS(df_extratos!I:I,df_extratos!F:F,"&gt;="&amp;Conciliacao!A13, df_extratos!F:F,"&lt;"&amp;Conciliacao!A13+1, df_extratos!G:G,"DEBITO")
+SUMIFS(df_extratos!I:I,df_extratos!F:F,"&gt;="&amp;Conciliacao!BF13,df_extratos!F:F,"&lt;"&amp;Conciliacao!BF13+1,df_extratos!G:G,"DEBITO")
+SUMIFS(df_extratos!I:I,df_extratos!F:F,"&gt;="&amp;Conciliacao!BG13,df_extratos!F:F,"&lt;"&amp;Conciliacao!BG13+1,df_extratos!G:G,"DEBITO")
+SUMIFS(df_extratos!I:I,df_extratos!F:F,"&gt;="&amp;Conciliacao!BH13,df_extratos!F:F,"&lt;"&amp;Conciliacao!BH13+1,df_extratos!G:G,"DEBITO")</f>
        <v/>
      </c>
      <c r="O13" s="11">
        <f>N13-SUM(J13:M13)</f>
        <v/>
      </c>
      <c r="P13" s="25">
        <f>SUMIFS(df_ajustes_conciliaco!D:D,df_ajustes_conciliaco!C:C,Conciliacao!A13)</f>
        <v/>
      </c>
      <c r="Q13" s="22">
        <f>O13+I13-P13</f>
        <v/>
      </c>
      <c r="BE13" s="20" t="n">
        <v>45669.5</v>
      </c>
      <c r="BF13" s="20" t="n">
        <v>45669.125</v>
      </c>
      <c r="BG13" s="20" t="n">
        <v>45669.54166666666</v>
      </c>
      <c r="BH13" s="20" t="n">
        <v>45669.625</v>
      </c>
    </row>
    <row r="14">
      <c r="A14" s="5">
        <f>A13+1</f>
        <v/>
      </c>
      <c r="B14" s="3">
        <f>-SUMIFS(df_extrato_zig!G:G,df_extrato_zig!E:E,Conciliacao!A14,df_extrato_zig!D:D,"Saque")-SUMIFS(df_extrato_zig!G:G,df_extrato_zig!E:E,Conciliacao!A14,df_extrato_zig!D:D,"Antecipação")</f>
        <v/>
      </c>
      <c r="C14" s="3">
        <f>SUMIFS(df_extrato_zig!E:E,df_extrato_zig!L:L,Conciliacao!A14,df_extrato_zig!F:F,"DINHEIRO")</f>
        <v/>
      </c>
      <c r="D14" s="3">
        <f>SUMIFS(view_parc_agrup!H:H,view_parc_agrup!G:G,Conciliacao!A14)</f>
        <v/>
      </c>
      <c r="E14" s="3">
        <f>SUMIFS(df_eventos!F:F,df_eventos!H:H,Conciliacao!A14)</f>
        <v/>
      </c>
      <c r="F14" s="3">
        <f>SUMIFS(df_mutuos!M:M,df_mutuos!B:B,Conciliacao!A14)</f>
        <v/>
      </c>
      <c r="G14" s="6">
        <f>SUMIFS(df_bloqueios_judiciais!G:G,df_bloqueios_judiciais!D:D,Conciliacao!A14,df_bloqueios_judiciais!G:G,"&gt;0")</f>
        <v/>
      </c>
      <c r="H14" s="7">
        <f>SUMIFS(df_extratos!I:I,df_extratos!F:F,"&gt;="&amp;Conciliacao!BE14,df_extratos!F:F,"&lt;"&amp;Conciliacao!BE14+1,df_extratos!G:G,"CREDITO")
+SUMIFS(df_extratos!I:I,df_extratos!F:F,"&gt;="&amp;Conciliacao!A14, df_extratos!F:F,"&lt;"&amp;Conciliacao!A14+1, df_extratos!G:G,"CREDITO")
+SUMIFS(df_extratos!I:I,df_extratos!F:F,"&gt;="&amp;Conciliacao!BF14,df_extratos!F:F,"&lt;"&amp;Conciliacao!BF14+1,df_extratos!G:G,"CREDITO")
+SUMIFS(df_extratos!I:I,df_extratos!F:F,"&gt;="&amp;Conciliacao!BG14,df_extratos!F:F,"&lt;"&amp;Conciliacao!BG14+1,df_extratos!G:G,"CREDITO")
+SUMIFS(df_extratos!I:I,df_extratos!F:F,"&gt;="&amp;Conciliacao!BH14,df_extratos!F:F,"&lt;"&amp;Conciliacao!BH14+1,df_extratos!G:G,"CREDITO")</f>
        <v/>
      </c>
      <c r="I14" s="9">
        <f>H14-SUM(B14:G14)</f>
        <v/>
      </c>
      <c r="J14" s="4">
        <f>SUMIFS(df_blueme_sem_parcelamento!E:E,df_blueme_sem_parcelamento!H:H,Conciliacao!A14)*(-1)</f>
        <v/>
      </c>
      <c r="K14" s="4">
        <f>SUMIFS(df_blueme_com_parcelamento!J:J,df_blueme_com_parcelamento!M:M,Conciliacao!A14)*(-1)</f>
        <v/>
      </c>
      <c r="L14" s="4">
        <f>SUMIFS(df_mutuos!N:N,df_mutuos!B:B,Conciliacao!A14)*(-1)</f>
        <v/>
      </c>
      <c r="M14" s="8">
        <f>SUMIFS(df_bloqueios_judiciais!E:E,df_bloqueios_judiciais!D:D,Conciliacao!A14,df_bloqueios_judiciais!E:E,"&lt;0")</f>
        <v/>
      </c>
      <c r="N14" s="10">
        <f>SUMIFS(df_extratos!I:I,df_extratos!F:F,"&gt;="&amp;Conciliacao!BE14,df_extratos!F:F,"&lt;"&amp;Conciliacao!BE14+1,df_extratos!G:G,"DEBITO")
+SUMIFS(df_extratos!I:I,df_extratos!F:F,"&gt;="&amp;Conciliacao!A14, df_extratos!F:F,"&lt;"&amp;Conciliacao!A14+1, df_extratos!G:G,"DEBITO")
+SUMIFS(df_extratos!I:I,df_extratos!F:F,"&gt;="&amp;Conciliacao!BF14,df_extratos!F:F,"&lt;"&amp;Conciliacao!BF14+1,df_extratos!G:G,"DEBITO")
+SUMIFS(df_extratos!I:I,df_extratos!F:F,"&gt;="&amp;Conciliacao!BG14,df_extratos!F:F,"&lt;"&amp;Conciliacao!BG14+1,df_extratos!G:G,"DEBITO")
+SUMIFS(df_extratos!I:I,df_extratos!F:F,"&gt;="&amp;Conciliacao!BH14,df_extratos!F:F,"&lt;"&amp;Conciliacao!BH14+1,df_extratos!G:G,"DEBITO")</f>
        <v/>
      </c>
      <c r="O14" s="11">
        <f>N14-SUM(J14:M14)</f>
        <v/>
      </c>
      <c r="P14" s="25">
        <f>SUMIFS(df_ajustes_conciliaco!D:D,df_ajustes_conciliaco!C:C,Conciliacao!A14)</f>
        <v/>
      </c>
      <c r="Q14" s="22">
        <f>O14+I14-P14</f>
        <v/>
      </c>
      <c r="BE14" s="20" t="n">
        <v>45670.5</v>
      </c>
      <c r="BF14" s="20" t="n">
        <v>45670.125</v>
      </c>
      <c r="BG14" s="20" t="n">
        <v>45670.54166666666</v>
      </c>
      <c r="BH14" s="20" t="n">
        <v>45670.625</v>
      </c>
    </row>
    <row r="15">
      <c r="A15" s="5">
        <f>A14+1</f>
        <v/>
      </c>
      <c r="B15" s="3">
        <f>-SUMIFS(df_extrato_zig!G:G,df_extrato_zig!E:E,Conciliacao!A15,df_extrato_zig!D:D,"Saque")-SUMIFS(df_extrato_zig!G:G,df_extrato_zig!E:E,Conciliacao!A15,df_extrato_zig!D:D,"Antecipação")</f>
        <v/>
      </c>
      <c r="C15" s="3">
        <f>SUMIFS(df_extrato_zig!E:E,df_extrato_zig!L:L,Conciliacao!A15,df_extrato_zig!F:F,"DINHEIRO")</f>
        <v/>
      </c>
      <c r="D15" s="3">
        <f>SUMIFS(view_parc_agrup!H:H,view_parc_agrup!G:G,Conciliacao!A15)</f>
        <v/>
      </c>
      <c r="E15" s="3">
        <f>SUMIFS(df_eventos!F:F,df_eventos!H:H,Conciliacao!A15)</f>
        <v/>
      </c>
      <c r="F15" s="3">
        <f>SUMIFS(df_mutuos!M:M,df_mutuos!B:B,Conciliacao!A15)</f>
        <v/>
      </c>
      <c r="G15" s="6">
        <f>SUMIFS(df_bloqueios_judiciais!G:G,df_bloqueios_judiciais!D:D,Conciliacao!A15,df_bloqueios_judiciais!G:G,"&gt;0")</f>
        <v/>
      </c>
      <c r="H15" s="7">
        <f>SUMIFS(df_extratos!I:I,df_extratos!F:F,"&gt;="&amp;Conciliacao!BE15,df_extratos!F:F,"&lt;"&amp;Conciliacao!BE15+1,df_extratos!G:G,"CREDITO")
+SUMIFS(df_extratos!I:I,df_extratos!F:F,"&gt;="&amp;Conciliacao!A15, df_extratos!F:F,"&lt;"&amp;Conciliacao!A15+1, df_extratos!G:G,"CREDITO")
+SUMIFS(df_extratos!I:I,df_extratos!F:F,"&gt;="&amp;Conciliacao!BF15,df_extratos!F:F,"&lt;"&amp;Conciliacao!BF15+1,df_extratos!G:G,"CREDITO")
+SUMIFS(df_extratos!I:I,df_extratos!F:F,"&gt;="&amp;Conciliacao!BG15,df_extratos!F:F,"&lt;"&amp;Conciliacao!BG15+1,df_extratos!G:G,"CREDITO")
+SUMIFS(df_extratos!I:I,df_extratos!F:F,"&gt;="&amp;Conciliacao!BH15,df_extratos!F:F,"&lt;"&amp;Conciliacao!BH15+1,df_extratos!G:G,"CREDITO")</f>
        <v/>
      </c>
      <c r="I15" s="9">
        <f>H15-SUM(B15:G15)</f>
        <v/>
      </c>
      <c r="J15" s="4">
        <f>SUMIFS(df_blueme_sem_parcelamento!E:E,df_blueme_sem_parcelamento!H:H,Conciliacao!A15)*(-1)</f>
        <v/>
      </c>
      <c r="K15" s="4">
        <f>SUMIFS(df_blueme_com_parcelamento!J:J,df_blueme_com_parcelamento!M:M,Conciliacao!A15)*(-1)</f>
        <v/>
      </c>
      <c r="L15" s="4">
        <f>SUMIFS(df_mutuos!N:N,df_mutuos!B:B,Conciliacao!A15)*(-1)</f>
        <v/>
      </c>
      <c r="M15" s="8">
        <f>SUMIFS(df_bloqueios_judiciais!E:E,df_bloqueios_judiciais!D:D,Conciliacao!A15,df_bloqueios_judiciais!E:E,"&lt;0")</f>
        <v/>
      </c>
      <c r="N15" s="10">
        <f>SUMIFS(df_extratos!I:I,df_extratos!F:F,"&gt;="&amp;Conciliacao!BE15,df_extratos!F:F,"&lt;"&amp;Conciliacao!BE15+1,df_extratos!G:G,"DEBITO")
+SUMIFS(df_extratos!I:I,df_extratos!F:F,"&gt;="&amp;Conciliacao!A15, df_extratos!F:F,"&lt;"&amp;Conciliacao!A15+1, df_extratos!G:G,"DEBITO")
+SUMIFS(df_extratos!I:I,df_extratos!F:F,"&gt;="&amp;Conciliacao!BF15,df_extratos!F:F,"&lt;"&amp;Conciliacao!BF15+1,df_extratos!G:G,"DEBITO")
+SUMIFS(df_extratos!I:I,df_extratos!F:F,"&gt;="&amp;Conciliacao!BG15,df_extratos!F:F,"&lt;"&amp;Conciliacao!BG15+1,df_extratos!G:G,"DEBITO")
+SUMIFS(df_extratos!I:I,df_extratos!F:F,"&gt;="&amp;Conciliacao!BH15,df_extratos!F:F,"&lt;"&amp;Conciliacao!BH15+1,df_extratos!G:G,"DEBITO")</f>
        <v/>
      </c>
      <c r="O15" s="11">
        <f>N15-SUM(J15:M15)</f>
        <v/>
      </c>
      <c r="P15" s="25">
        <f>SUMIFS(df_ajustes_conciliaco!D:D,df_ajustes_conciliaco!C:C,Conciliacao!A15)</f>
        <v/>
      </c>
      <c r="Q15" s="22">
        <f>O15+I15-P15</f>
        <v/>
      </c>
      <c r="BE15" s="20" t="n">
        <v>45671.5</v>
      </c>
      <c r="BF15" s="20" t="n">
        <v>45671.125</v>
      </c>
      <c r="BG15" s="20" t="n">
        <v>45671.54166666666</v>
      </c>
      <c r="BH15" s="20" t="n">
        <v>45671.625</v>
      </c>
    </row>
    <row r="16">
      <c r="A16" s="5">
        <f>A15+1</f>
        <v/>
      </c>
      <c r="B16" s="3">
        <f>-SUMIFS(df_extrato_zig!G:G,df_extrato_zig!E:E,Conciliacao!A16,df_extrato_zig!D:D,"Saque")-SUMIFS(df_extrato_zig!G:G,df_extrato_zig!E:E,Conciliacao!A16,df_extrato_zig!D:D,"Antecipação")</f>
        <v/>
      </c>
      <c r="C16" s="3">
        <f>SUMIFS(df_extrato_zig!E:E,df_extrato_zig!L:L,Conciliacao!A16,df_extrato_zig!F:F,"DINHEIRO")</f>
        <v/>
      </c>
      <c r="D16" s="3">
        <f>SUMIFS(view_parc_agrup!H:H,view_parc_agrup!G:G,Conciliacao!A16)</f>
        <v/>
      </c>
      <c r="E16" s="3">
        <f>SUMIFS(df_eventos!F:F,df_eventos!H:H,Conciliacao!A16)</f>
        <v/>
      </c>
      <c r="F16" s="3">
        <f>SUMIFS(df_mutuos!M:M,df_mutuos!B:B,Conciliacao!A16)</f>
        <v/>
      </c>
      <c r="G16" s="6">
        <f>SUMIFS(df_bloqueios_judiciais!G:G,df_bloqueios_judiciais!D:D,Conciliacao!A16,df_bloqueios_judiciais!G:G,"&gt;0")</f>
        <v/>
      </c>
      <c r="H16" s="7">
        <f>SUMIFS(df_extratos!I:I,df_extratos!F:F,"&gt;="&amp;Conciliacao!BE16,df_extratos!F:F,"&lt;"&amp;Conciliacao!BE16+1,df_extratos!G:G,"CREDITO")
+SUMIFS(df_extratos!I:I,df_extratos!F:F,"&gt;="&amp;Conciliacao!A16, df_extratos!F:F,"&lt;"&amp;Conciliacao!A16+1, df_extratos!G:G,"CREDITO")
+SUMIFS(df_extratos!I:I,df_extratos!F:F,"&gt;="&amp;Conciliacao!BF16,df_extratos!F:F,"&lt;"&amp;Conciliacao!BF16+1,df_extratos!G:G,"CREDITO")
+SUMIFS(df_extratos!I:I,df_extratos!F:F,"&gt;="&amp;Conciliacao!BG16,df_extratos!F:F,"&lt;"&amp;Conciliacao!BG16+1,df_extratos!G:G,"CREDITO")
+SUMIFS(df_extratos!I:I,df_extratos!F:F,"&gt;="&amp;Conciliacao!BH16,df_extratos!F:F,"&lt;"&amp;Conciliacao!BH16+1,df_extratos!G:G,"CREDITO")</f>
        <v/>
      </c>
      <c r="I16" s="9">
        <f>H16-SUM(B16:G16)</f>
        <v/>
      </c>
      <c r="J16" s="4">
        <f>SUMIFS(df_blueme_sem_parcelamento!E:E,df_blueme_sem_parcelamento!H:H,Conciliacao!A16)*(-1)</f>
        <v/>
      </c>
      <c r="K16" s="4">
        <f>SUMIFS(df_blueme_com_parcelamento!J:J,df_blueme_com_parcelamento!M:M,Conciliacao!A16)*(-1)</f>
        <v/>
      </c>
      <c r="L16" s="4">
        <f>SUMIFS(df_mutuos!N:N,df_mutuos!B:B,Conciliacao!A16)*(-1)</f>
        <v/>
      </c>
      <c r="M16" s="8">
        <f>SUMIFS(df_bloqueios_judiciais!E:E,df_bloqueios_judiciais!D:D,Conciliacao!A16,df_bloqueios_judiciais!E:E,"&lt;0")</f>
        <v/>
      </c>
      <c r="N16" s="10">
        <f>SUMIFS(df_extratos!I:I,df_extratos!F:F,"&gt;="&amp;Conciliacao!BE16,df_extratos!F:F,"&lt;"&amp;Conciliacao!BE16+1,df_extratos!G:G,"DEBITO")
+SUMIFS(df_extratos!I:I,df_extratos!F:F,"&gt;="&amp;Conciliacao!A16, df_extratos!F:F,"&lt;"&amp;Conciliacao!A16+1, df_extratos!G:G,"DEBITO")
+SUMIFS(df_extratos!I:I,df_extratos!F:F,"&gt;="&amp;Conciliacao!BF16,df_extratos!F:F,"&lt;"&amp;Conciliacao!BF16+1,df_extratos!G:G,"DEBITO")
+SUMIFS(df_extratos!I:I,df_extratos!F:F,"&gt;="&amp;Conciliacao!BG16,df_extratos!F:F,"&lt;"&amp;Conciliacao!BG16+1,df_extratos!G:G,"DEBITO")
+SUMIFS(df_extratos!I:I,df_extratos!F:F,"&gt;="&amp;Conciliacao!BH16,df_extratos!F:F,"&lt;"&amp;Conciliacao!BH16+1,df_extratos!G:G,"DEBITO")</f>
        <v/>
      </c>
      <c r="O16" s="11">
        <f>N16-SUM(J16:M16)</f>
        <v/>
      </c>
      <c r="P16" s="25">
        <f>SUMIFS(df_ajustes_conciliaco!D:D,df_ajustes_conciliaco!C:C,Conciliacao!A16)</f>
        <v/>
      </c>
      <c r="Q16" s="22">
        <f>O16+I16-P16</f>
        <v/>
      </c>
      <c r="BE16" s="20" t="n">
        <v>45672.5</v>
      </c>
      <c r="BF16" s="20" t="n">
        <v>45672.125</v>
      </c>
      <c r="BG16" s="20" t="n">
        <v>45672.54166666666</v>
      </c>
      <c r="BH16" s="20" t="n">
        <v>45672.625</v>
      </c>
    </row>
    <row r="17">
      <c r="A17" s="5">
        <f>A16+1</f>
        <v/>
      </c>
      <c r="B17" s="3">
        <f>-SUMIFS(df_extrato_zig!G:G,df_extrato_zig!E:E,Conciliacao!A17,df_extrato_zig!D:D,"Saque")-SUMIFS(df_extrato_zig!G:G,df_extrato_zig!E:E,Conciliacao!A17,df_extrato_zig!D:D,"Antecipação")</f>
        <v/>
      </c>
      <c r="C17" s="3">
        <f>SUMIFS(df_extrato_zig!E:E,df_extrato_zig!L:L,Conciliacao!A17,df_extrato_zig!F:F,"DINHEIRO")</f>
        <v/>
      </c>
      <c r="D17" s="3">
        <f>SUMIFS(view_parc_agrup!H:H,view_parc_agrup!G:G,Conciliacao!A17)</f>
        <v/>
      </c>
      <c r="E17" s="3">
        <f>SUMIFS(df_eventos!F:F,df_eventos!H:H,Conciliacao!A17)</f>
        <v/>
      </c>
      <c r="F17" s="3">
        <f>SUMIFS(df_mutuos!M:M,df_mutuos!B:B,Conciliacao!A17)</f>
        <v/>
      </c>
      <c r="G17" s="6">
        <f>SUMIFS(df_bloqueios_judiciais!G:G,df_bloqueios_judiciais!D:D,Conciliacao!A17,df_bloqueios_judiciais!G:G,"&gt;0")</f>
        <v/>
      </c>
      <c r="H17" s="7">
        <f>SUMIFS(df_extratos!I:I,df_extratos!F:F,"&gt;="&amp;Conciliacao!BE17,df_extratos!F:F,"&lt;"&amp;Conciliacao!BE17+1,df_extratos!G:G,"CREDITO")
+SUMIFS(df_extratos!I:I,df_extratos!F:F,"&gt;="&amp;Conciliacao!A17, df_extratos!F:F,"&lt;"&amp;Conciliacao!A17+1, df_extratos!G:G,"CREDITO")
+SUMIFS(df_extratos!I:I,df_extratos!F:F,"&gt;="&amp;Conciliacao!BF17,df_extratos!F:F,"&lt;"&amp;Conciliacao!BF17+1,df_extratos!G:G,"CREDITO")
+SUMIFS(df_extratos!I:I,df_extratos!F:F,"&gt;="&amp;Conciliacao!BG17,df_extratos!F:F,"&lt;"&amp;Conciliacao!BG17+1,df_extratos!G:G,"CREDITO")
+SUMIFS(df_extratos!I:I,df_extratos!F:F,"&gt;="&amp;Conciliacao!BH17,df_extratos!F:F,"&lt;"&amp;Conciliacao!BH17+1,df_extratos!G:G,"CREDITO")</f>
        <v/>
      </c>
      <c r="I17" s="9">
        <f>H17-SUM(B17:G17)</f>
        <v/>
      </c>
      <c r="J17" s="4">
        <f>SUMIFS(df_blueme_sem_parcelamento!E:E,df_blueme_sem_parcelamento!H:H,Conciliacao!A17)*(-1)</f>
        <v/>
      </c>
      <c r="K17" s="4">
        <f>SUMIFS(df_blueme_com_parcelamento!J:J,df_blueme_com_parcelamento!M:M,Conciliacao!A17)*(-1)</f>
        <v/>
      </c>
      <c r="L17" s="4">
        <f>SUMIFS(df_mutuos!N:N,df_mutuos!B:B,Conciliacao!A17)*(-1)</f>
        <v/>
      </c>
      <c r="M17" s="8">
        <f>SUMIFS(df_bloqueios_judiciais!E:E,df_bloqueios_judiciais!D:D,Conciliacao!A17,df_bloqueios_judiciais!E:E,"&lt;0")</f>
        <v/>
      </c>
      <c r="N17" s="10">
        <f>SUMIFS(df_extratos!I:I,df_extratos!F:F,"&gt;="&amp;Conciliacao!BE17,df_extratos!F:F,"&lt;"&amp;Conciliacao!BE17+1,df_extratos!G:G,"DEBITO")
+SUMIFS(df_extratos!I:I,df_extratos!F:F,"&gt;="&amp;Conciliacao!A17, df_extratos!F:F,"&lt;"&amp;Conciliacao!A17+1, df_extratos!G:G,"DEBITO")
+SUMIFS(df_extratos!I:I,df_extratos!F:F,"&gt;="&amp;Conciliacao!BF17,df_extratos!F:F,"&lt;"&amp;Conciliacao!BF17+1,df_extratos!G:G,"DEBITO")
+SUMIFS(df_extratos!I:I,df_extratos!F:F,"&gt;="&amp;Conciliacao!BG17,df_extratos!F:F,"&lt;"&amp;Conciliacao!BG17+1,df_extratos!G:G,"DEBITO")
+SUMIFS(df_extratos!I:I,df_extratos!F:F,"&gt;="&amp;Conciliacao!BH17,df_extratos!F:F,"&lt;"&amp;Conciliacao!BH17+1,df_extratos!G:G,"DEBITO")</f>
        <v/>
      </c>
      <c r="O17" s="11">
        <f>N17-SUM(J17:M17)</f>
        <v/>
      </c>
      <c r="P17" s="25">
        <f>SUMIFS(df_ajustes_conciliaco!D:D,df_ajustes_conciliaco!C:C,Conciliacao!A17)</f>
        <v/>
      </c>
      <c r="Q17" s="22">
        <f>O17+I17-P17</f>
        <v/>
      </c>
      <c r="BE17" s="20" t="n">
        <v>45673.5</v>
      </c>
      <c r="BF17" s="20" t="n">
        <v>45673.125</v>
      </c>
      <c r="BG17" s="20" t="n">
        <v>45673.54166666666</v>
      </c>
      <c r="BH17" s="20" t="n">
        <v>45673.625</v>
      </c>
    </row>
    <row r="18">
      <c r="A18" s="5">
        <f>A17+1</f>
        <v/>
      </c>
      <c r="B18" s="3">
        <f>-SUMIFS(df_extrato_zig!G:G,df_extrato_zig!E:E,Conciliacao!A18,df_extrato_zig!D:D,"Saque")-SUMIFS(df_extrato_zig!G:G,df_extrato_zig!E:E,Conciliacao!A18,df_extrato_zig!D:D,"Antecipação")</f>
        <v/>
      </c>
      <c r="C18" s="3">
        <f>SUMIFS(df_extrato_zig!E:E,df_extrato_zig!L:L,Conciliacao!A18,df_extrato_zig!F:F,"DINHEIRO")</f>
        <v/>
      </c>
      <c r="D18" s="3">
        <f>SUMIFS(view_parc_agrup!H:H,view_parc_agrup!G:G,Conciliacao!A18)</f>
        <v/>
      </c>
      <c r="E18" s="3">
        <f>SUMIFS(df_eventos!F:F,df_eventos!H:H,Conciliacao!A18)</f>
        <v/>
      </c>
      <c r="F18" s="3">
        <f>SUMIFS(df_mutuos!M:M,df_mutuos!B:B,Conciliacao!A18)</f>
        <v/>
      </c>
      <c r="G18" s="6">
        <f>SUMIFS(df_bloqueios_judiciais!G:G,df_bloqueios_judiciais!D:D,Conciliacao!A18,df_bloqueios_judiciais!G:G,"&gt;0")</f>
        <v/>
      </c>
      <c r="H18" s="7">
        <f>SUMIFS(df_extratos!I:I,df_extratos!F:F,"&gt;="&amp;Conciliacao!BE18,df_extratos!F:F,"&lt;"&amp;Conciliacao!BE18+1,df_extratos!G:G,"CREDITO")
+SUMIFS(df_extratos!I:I,df_extratos!F:F,"&gt;="&amp;Conciliacao!A18, df_extratos!F:F,"&lt;"&amp;Conciliacao!A18+1, df_extratos!G:G,"CREDITO")
+SUMIFS(df_extratos!I:I,df_extratos!F:F,"&gt;="&amp;Conciliacao!BF18,df_extratos!F:F,"&lt;"&amp;Conciliacao!BF18+1,df_extratos!G:G,"CREDITO")
+SUMIFS(df_extratos!I:I,df_extratos!F:F,"&gt;="&amp;Conciliacao!BG18,df_extratos!F:F,"&lt;"&amp;Conciliacao!BG18+1,df_extratos!G:G,"CREDITO")
+SUMIFS(df_extratos!I:I,df_extratos!F:F,"&gt;="&amp;Conciliacao!BH18,df_extratos!F:F,"&lt;"&amp;Conciliacao!BH18+1,df_extratos!G:G,"CREDITO")</f>
        <v/>
      </c>
      <c r="I18" s="9">
        <f>H18-SUM(B18:G18)</f>
        <v/>
      </c>
      <c r="J18" s="4">
        <f>SUMIFS(df_blueme_sem_parcelamento!E:E,df_blueme_sem_parcelamento!H:H,Conciliacao!A18)*(-1)</f>
        <v/>
      </c>
      <c r="K18" s="4">
        <f>SUMIFS(df_blueme_com_parcelamento!J:J,df_blueme_com_parcelamento!M:M,Conciliacao!A18)*(-1)</f>
        <v/>
      </c>
      <c r="L18" s="4">
        <f>SUMIFS(df_mutuos!N:N,df_mutuos!B:B,Conciliacao!A18)*(-1)</f>
        <v/>
      </c>
      <c r="M18" s="8">
        <f>SUMIFS(df_bloqueios_judiciais!E:E,df_bloqueios_judiciais!D:D,Conciliacao!A18,df_bloqueios_judiciais!E:E,"&lt;0")</f>
        <v/>
      </c>
      <c r="N18" s="10">
        <f>SUMIFS(df_extratos!I:I,df_extratos!F:F,"&gt;="&amp;Conciliacao!BE18,df_extratos!F:F,"&lt;"&amp;Conciliacao!BE18+1,df_extratos!G:G,"DEBITO")
+SUMIFS(df_extratos!I:I,df_extratos!F:F,"&gt;="&amp;Conciliacao!A18, df_extratos!F:F,"&lt;"&amp;Conciliacao!A18+1, df_extratos!G:G,"DEBITO")
+SUMIFS(df_extratos!I:I,df_extratos!F:F,"&gt;="&amp;Conciliacao!BF18,df_extratos!F:F,"&lt;"&amp;Conciliacao!BF18+1,df_extratos!G:G,"DEBITO")
+SUMIFS(df_extratos!I:I,df_extratos!F:F,"&gt;="&amp;Conciliacao!BG18,df_extratos!F:F,"&lt;"&amp;Conciliacao!BG18+1,df_extratos!G:G,"DEBITO")
+SUMIFS(df_extratos!I:I,df_extratos!F:F,"&gt;="&amp;Conciliacao!BH18,df_extratos!F:F,"&lt;"&amp;Conciliacao!BH18+1,df_extratos!G:G,"DEBITO")</f>
        <v/>
      </c>
      <c r="O18" s="11">
        <f>N18-SUM(J18:M18)</f>
        <v/>
      </c>
      <c r="P18" s="25">
        <f>SUMIFS(df_ajustes_conciliaco!D:D,df_ajustes_conciliaco!C:C,Conciliacao!A18)</f>
        <v/>
      </c>
      <c r="Q18" s="22">
        <f>O18+I18-P18</f>
        <v/>
      </c>
      <c r="BE18" s="20" t="n">
        <v>45674.5</v>
      </c>
      <c r="BF18" s="20" t="n">
        <v>45674.125</v>
      </c>
      <c r="BG18" s="20" t="n">
        <v>45674.54166666666</v>
      </c>
      <c r="BH18" s="20" t="n">
        <v>45674.625</v>
      </c>
    </row>
    <row r="19">
      <c r="A19" s="5">
        <f>A18+1</f>
        <v/>
      </c>
      <c r="B19" s="3">
        <f>-SUMIFS(df_extrato_zig!G:G,df_extrato_zig!E:E,Conciliacao!A19,df_extrato_zig!D:D,"Saque")-SUMIFS(df_extrato_zig!G:G,df_extrato_zig!E:E,Conciliacao!A19,df_extrato_zig!D:D,"Antecipação")</f>
        <v/>
      </c>
      <c r="C19" s="3">
        <f>SUMIFS(df_extrato_zig!E:E,df_extrato_zig!L:L,Conciliacao!A19,df_extrato_zig!F:F,"DINHEIRO")</f>
        <v/>
      </c>
      <c r="D19" s="3">
        <f>SUMIFS(view_parc_agrup!H:H,view_parc_agrup!G:G,Conciliacao!A19)</f>
        <v/>
      </c>
      <c r="E19" s="3">
        <f>SUMIFS(df_eventos!F:F,df_eventos!H:H,Conciliacao!A19)</f>
        <v/>
      </c>
      <c r="F19" s="3">
        <f>SUMIFS(df_mutuos!M:M,df_mutuos!B:B,Conciliacao!A19)</f>
        <v/>
      </c>
      <c r="G19" s="6">
        <f>SUMIFS(df_bloqueios_judiciais!G:G,df_bloqueios_judiciais!D:D,Conciliacao!A19,df_bloqueios_judiciais!G:G,"&gt;0")</f>
        <v/>
      </c>
      <c r="H19" s="7">
        <f>SUMIFS(df_extratos!I:I,df_extratos!F:F,"&gt;="&amp;Conciliacao!BE19,df_extratos!F:F,"&lt;"&amp;Conciliacao!BE19+1,df_extratos!G:G,"CREDITO")
+SUMIFS(df_extratos!I:I,df_extratos!F:F,"&gt;="&amp;Conciliacao!A19, df_extratos!F:F,"&lt;"&amp;Conciliacao!A19+1, df_extratos!G:G,"CREDITO")
+SUMIFS(df_extratos!I:I,df_extratos!F:F,"&gt;="&amp;Conciliacao!BF19,df_extratos!F:F,"&lt;"&amp;Conciliacao!BF19+1,df_extratos!G:G,"CREDITO")
+SUMIFS(df_extratos!I:I,df_extratos!F:F,"&gt;="&amp;Conciliacao!BG19,df_extratos!F:F,"&lt;"&amp;Conciliacao!BG19+1,df_extratos!G:G,"CREDITO")
+SUMIFS(df_extratos!I:I,df_extratos!F:F,"&gt;="&amp;Conciliacao!BH19,df_extratos!F:F,"&lt;"&amp;Conciliacao!BH19+1,df_extratos!G:G,"CREDITO")</f>
        <v/>
      </c>
      <c r="I19" s="9">
        <f>H19-SUM(B19:G19)</f>
        <v/>
      </c>
      <c r="J19" s="4">
        <f>SUMIFS(df_blueme_sem_parcelamento!E:E,df_blueme_sem_parcelamento!H:H,Conciliacao!A19)*(-1)</f>
        <v/>
      </c>
      <c r="K19" s="4">
        <f>SUMIFS(df_blueme_com_parcelamento!J:J,df_blueme_com_parcelamento!M:M,Conciliacao!A19)*(-1)</f>
        <v/>
      </c>
      <c r="L19" s="4">
        <f>SUMIFS(df_mutuos!N:N,df_mutuos!B:B,Conciliacao!A19)*(-1)</f>
        <v/>
      </c>
      <c r="M19" s="8">
        <f>SUMIFS(df_bloqueios_judiciais!E:E,df_bloqueios_judiciais!D:D,Conciliacao!A19,df_bloqueios_judiciais!E:E,"&lt;0")</f>
        <v/>
      </c>
      <c r="N19" s="10">
        <f>SUMIFS(df_extratos!I:I,df_extratos!F:F,"&gt;="&amp;Conciliacao!BE19,df_extratos!F:F,"&lt;"&amp;Conciliacao!BE19+1,df_extratos!G:G,"DEBITO")
+SUMIFS(df_extratos!I:I,df_extratos!F:F,"&gt;="&amp;Conciliacao!A19, df_extratos!F:F,"&lt;"&amp;Conciliacao!A19+1, df_extratos!G:G,"DEBITO")
+SUMIFS(df_extratos!I:I,df_extratos!F:F,"&gt;="&amp;Conciliacao!BF19,df_extratos!F:F,"&lt;"&amp;Conciliacao!BF19+1,df_extratos!G:G,"DEBITO")
+SUMIFS(df_extratos!I:I,df_extratos!F:F,"&gt;="&amp;Conciliacao!BG19,df_extratos!F:F,"&lt;"&amp;Conciliacao!BG19+1,df_extratos!G:G,"DEBITO")
+SUMIFS(df_extratos!I:I,df_extratos!F:F,"&gt;="&amp;Conciliacao!BH19,df_extratos!F:F,"&lt;"&amp;Conciliacao!BH19+1,df_extratos!G:G,"DEBITO")</f>
        <v/>
      </c>
      <c r="O19" s="11">
        <f>N19-SUM(J19:M19)</f>
        <v/>
      </c>
      <c r="P19" s="25">
        <f>SUMIFS(df_ajustes_conciliaco!D:D,df_ajustes_conciliaco!C:C,Conciliacao!A19)</f>
        <v/>
      </c>
      <c r="Q19" s="22">
        <f>O19+I19-P19</f>
        <v/>
      </c>
      <c r="BE19" s="20" t="n">
        <v>45675.5</v>
      </c>
      <c r="BF19" s="20" t="n">
        <v>45675.125</v>
      </c>
      <c r="BG19" s="20" t="n">
        <v>45675.54166666666</v>
      </c>
      <c r="BH19" s="20" t="n">
        <v>45675.625</v>
      </c>
    </row>
    <row r="20">
      <c r="A20" s="5">
        <f>A19+1</f>
        <v/>
      </c>
      <c r="B20" s="3">
        <f>-SUMIFS(df_extrato_zig!G:G,df_extrato_zig!E:E,Conciliacao!A20,df_extrato_zig!D:D,"Saque")-SUMIFS(df_extrato_zig!G:G,df_extrato_zig!E:E,Conciliacao!A20,df_extrato_zig!D:D,"Antecipação")</f>
        <v/>
      </c>
      <c r="C20" s="3">
        <f>SUMIFS(df_extrato_zig!E:E,df_extrato_zig!L:L,Conciliacao!A20,df_extrato_zig!F:F,"DINHEIRO")</f>
        <v/>
      </c>
      <c r="D20" s="3">
        <f>SUMIFS(view_parc_agrup!H:H,view_parc_agrup!G:G,Conciliacao!A20)</f>
        <v/>
      </c>
      <c r="E20" s="3">
        <f>SUMIFS(df_eventos!F:F,df_eventos!H:H,Conciliacao!A20)</f>
        <v/>
      </c>
      <c r="F20" s="3">
        <f>SUMIFS(df_mutuos!M:M,df_mutuos!B:B,Conciliacao!A20)</f>
        <v/>
      </c>
      <c r="G20" s="6">
        <f>SUMIFS(df_bloqueios_judiciais!G:G,df_bloqueios_judiciais!D:D,Conciliacao!A20,df_bloqueios_judiciais!G:G,"&gt;0")</f>
        <v/>
      </c>
      <c r="H20" s="7">
        <f>SUMIFS(df_extratos!I:I,df_extratos!F:F,"&gt;="&amp;Conciliacao!BE20,df_extratos!F:F,"&lt;"&amp;Conciliacao!BE20+1,df_extratos!G:G,"CREDITO")
+SUMIFS(df_extratos!I:I,df_extratos!F:F,"&gt;="&amp;Conciliacao!A20, df_extratos!F:F,"&lt;"&amp;Conciliacao!A20+1, df_extratos!G:G,"CREDITO")
+SUMIFS(df_extratos!I:I,df_extratos!F:F,"&gt;="&amp;Conciliacao!BF20,df_extratos!F:F,"&lt;"&amp;Conciliacao!BF20+1,df_extratos!G:G,"CREDITO")
+SUMIFS(df_extratos!I:I,df_extratos!F:F,"&gt;="&amp;Conciliacao!BG20,df_extratos!F:F,"&lt;"&amp;Conciliacao!BG20+1,df_extratos!G:G,"CREDITO")
+SUMIFS(df_extratos!I:I,df_extratos!F:F,"&gt;="&amp;Conciliacao!BH20,df_extratos!F:F,"&lt;"&amp;Conciliacao!BH20+1,df_extratos!G:G,"CREDITO")</f>
        <v/>
      </c>
      <c r="I20" s="9">
        <f>H20-SUM(B20:G20)</f>
        <v/>
      </c>
      <c r="J20" s="4">
        <f>SUMIFS(df_blueme_sem_parcelamento!E:E,df_blueme_sem_parcelamento!H:H,Conciliacao!A20)*(-1)</f>
        <v/>
      </c>
      <c r="K20" s="4">
        <f>SUMIFS(df_blueme_com_parcelamento!J:J,df_blueme_com_parcelamento!M:M,Conciliacao!A20)*(-1)</f>
        <v/>
      </c>
      <c r="L20" s="4">
        <f>SUMIFS(df_mutuos!N:N,df_mutuos!B:B,Conciliacao!A20)*(-1)</f>
        <v/>
      </c>
      <c r="M20" s="8">
        <f>SUMIFS(df_bloqueios_judiciais!E:E,df_bloqueios_judiciais!D:D,Conciliacao!A20,df_bloqueios_judiciais!E:E,"&lt;0")</f>
        <v/>
      </c>
      <c r="N20" s="10">
        <f>SUMIFS(df_extratos!I:I,df_extratos!F:F,"&gt;="&amp;Conciliacao!BE20,df_extratos!F:F,"&lt;"&amp;Conciliacao!BE20+1,df_extratos!G:G,"DEBITO")
+SUMIFS(df_extratos!I:I,df_extratos!F:F,"&gt;="&amp;Conciliacao!A20, df_extratos!F:F,"&lt;"&amp;Conciliacao!A20+1, df_extratos!G:G,"DEBITO")
+SUMIFS(df_extratos!I:I,df_extratos!F:F,"&gt;="&amp;Conciliacao!BF20,df_extratos!F:F,"&lt;"&amp;Conciliacao!BF20+1,df_extratos!G:G,"DEBITO")
+SUMIFS(df_extratos!I:I,df_extratos!F:F,"&gt;="&amp;Conciliacao!BG20,df_extratos!F:F,"&lt;"&amp;Conciliacao!BG20+1,df_extratos!G:G,"DEBITO")
+SUMIFS(df_extratos!I:I,df_extratos!F:F,"&gt;="&amp;Conciliacao!BH20,df_extratos!F:F,"&lt;"&amp;Conciliacao!BH20+1,df_extratos!G:G,"DEBITO")</f>
        <v/>
      </c>
      <c r="O20" s="11">
        <f>N20-SUM(J20:M20)</f>
        <v/>
      </c>
      <c r="P20" s="25">
        <f>SUMIFS(df_ajustes_conciliaco!D:D,df_ajustes_conciliaco!C:C,Conciliacao!A20)</f>
        <v/>
      </c>
      <c r="Q20" s="22">
        <f>O20+I20-P20</f>
        <v/>
      </c>
      <c r="BE20" s="20" t="n">
        <v>45676.5</v>
      </c>
      <c r="BF20" s="20" t="n">
        <v>45676.125</v>
      </c>
      <c r="BG20" s="20" t="n">
        <v>45676.54166666666</v>
      </c>
      <c r="BH20" s="20" t="n">
        <v>45676.625</v>
      </c>
    </row>
    <row r="21">
      <c r="A21" s="5">
        <f>A20+1</f>
        <v/>
      </c>
      <c r="B21" s="3">
        <f>-SUMIFS(df_extrato_zig!G:G,df_extrato_zig!E:E,Conciliacao!A21,df_extrato_zig!D:D,"Saque")-SUMIFS(df_extrato_zig!G:G,df_extrato_zig!E:E,Conciliacao!A21,df_extrato_zig!D:D,"Antecipação")</f>
        <v/>
      </c>
      <c r="C21" s="3">
        <f>SUMIFS(df_extrato_zig!E:E,df_extrato_zig!L:L,Conciliacao!A21,df_extrato_zig!F:F,"DINHEIRO")</f>
        <v/>
      </c>
      <c r="D21" s="3">
        <f>SUMIFS(view_parc_agrup!H:H,view_parc_agrup!G:G,Conciliacao!A21)</f>
        <v/>
      </c>
      <c r="E21" s="3">
        <f>SUMIFS(df_eventos!F:F,df_eventos!H:H,Conciliacao!A21)</f>
        <v/>
      </c>
      <c r="F21" s="3">
        <f>SUMIFS(df_mutuos!M:M,df_mutuos!B:B,Conciliacao!A21)</f>
        <v/>
      </c>
      <c r="G21" s="6">
        <f>SUMIFS(df_bloqueios_judiciais!G:G,df_bloqueios_judiciais!D:D,Conciliacao!A21,df_bloqueios_judiciais!G:G,"&gt;0")</f>
        <v/>
      </c>
      <c r="H21" s="7">
        <f>SUMIFS(df_extratos!I:I,df_extratos!F:F,"&gt;="&amp;Conciliacao!BE21,df_extratos!F:F,"&lt;"&amp;Conciliacao!BE21+1,df_extratos!G:G,"CREDITO")
+SUMIFS(df_extratos!I:I,df_extratos!F:F,"&gt;="&amp;Conciliacao!A21, df_extratos!F:F,"&lt;"&amp;Conciliacao!A21+1, df_extratos!G:G,"CREDITO")
+SUMIFS(df_extratos!I:I,df_extratos!F:F,"&gt;="&amp;Conciliacao!BF21,df_extratos!F:F,"&lt;"&amp;Conciliacao!BF21+1,df_extratos!G:G,"CREDITO")
+SUMIFS(df_extratos!I:I,df_extratos!F:F,"&gt;="&amp;Conciliacao!BG21,df_extratos!F:F,"&lt;"&amp;Conciliacao!BG21+1,df_extratos!G:G,"CREDITO")
+SUMIFS(df_extratos!I:I,df_extratos!F:F,"&gt;="&amp;Conciliacao!BH21,df_extratos!F:F,"&lt;"&amp;Conciliacao!BH21+1,df_extratos!G:G,"CREDITO")</f>
        <v/>
      </c>
      <c r="I21" s="9">
        <f>H21-SUM(B21:G21)</f>
        <v/>
      </c>
      <c r="J21" s="4">
        <f>SUMIFS(df_blueme_sem_parcelamento!E:E,df_blueme_sem_parcelamento!H:H,Conciliacao!A21)*(-1)</f>
        <v/>
      </c>
      <c r="K21" s="4">
        <f>SUMIFS(df_blueme_com_parcelamento!J:J,df_blueme_com_parcelamento!M:M,Conciliacao!A21)*(-1)</f>
        <v/>
      </c>
      <c r="L21" s="4">
        <f>SUMIFS(df_mutuos!N:N,df_mutuos!B:B,Conciliacao!A21)*(-1)</f>
        <v/>
      </c>
      <c r="M21" s="8">
        <f>SUMIFS(df_bloqueios_judiciais!E:E,df_bloqueios_judiciais!D:D,Conciliacao!A21,df_bloqueios_judiciais!E:E,"&lt;0")</f>
        <v/>
      </c>
      <c r="N21" s="10">
        <f>SUMIFS(df_extratos!I:I,df_extratos!F:F,"&gt;="&amp;Conciliacao!BE21,df_extratos!F:F,"&lt;"&amp;Conciliacao!BE21+1,df_extratos!G:G,"DEBITO")
+SUMIFS(df_extratos!I:I,df_extratos!F:F,"&gt;="&amp;Conciliacao!A21, df_extratos!F:F,"&lt;"&amp;Conciliacao!A21+1, df_extratos!G:G,"DEBITO")
+SUMIFS(df_extratos!I:I,df_extratos!F:F,"&gt;="&amp;Conciliacao!BF21,df_extratos!F:F,"&lt;"&amp;Conciliacao!BF21+1,df_extratos!G:G,"DEBITO")
+SUMIFS(df_extratos!I:I,df_extratos!F:F,"&gt;="&amp;Conciliacao!BG21,df_extratos!F:F,"&lt;"&amp;Conciliacao!BG21+1,df_extratos!G:G,"DEBITO")
+SUMIFS(df_extratos!I:I,df_extratos!F:F,"&gt;="&amp;Conciliacao!BH21,df_extratos!F:F,"&lt;"&amp;Conciliacao!BH21+1,df_extratos!G:G,"DEBITO")</f>
        <v/>
      </c>
      <c r="O21" s="11">
        <f>N21-SUM(J21:M21)</f>
        <v/>
      </c>
      <c r="P21" s="25">
        <f>SUMIFS(df_ajustes_conciliaco!D:D,df_ajustes_conciliaco!C:C,Conciliacao!A21)</f>
        <v/>
      </c>
      <c r="Q21" s="22">
        <f>O21+I21-P21</f>
        <v/>
      </c>
      <c r="BE21" s="20" t="n">
        <v>45677.5</v>
      </c>
      <c r="BF21" s="20" t="n">
        <v>45677.125</v>
      </c>
      <c r="BG21" s="20" t="n">
        <v>45677.54166666666</v>
      </c>
      <c r="BH21" s="20" t="n">
        <v>45677.625</v>
      </c>
    </row>
    <row r="22">
      <c r="A22" s="5">
        <f>A21+1</f>
        <v/>
      </c>
      <c r="B22" s="3">
        <f>-SUMIFS(df_extrato_zig!G:G,df_extrato_zig!E:E,Conciliacao!A22,df_extrato_zig!D:D,"Saque")-SUMIFS(df_extrato_zig!G:G,df_extrato_zig!E:E,Conciliacao!A22,df_extrato_zig!D:D,"Antecipação")</f>
        <v/>
      </c>
      <c r="C22" s="3">
        <f>SUMIFS(df_extrato_zig!E:E,df_extrato_zig!L:L,Conciliacao!A22,df_extrato_zig!F:F,"DINHEIRO")</f>
        <v/>
      </c>
      <c r="D22" s="3">
        <f>SUMIFS(view_parc_agrup!H:H,view_parc_agrup!G:G,Conciliacao!A22)</f>
        <v/>
      </c>
      <c r="E22" s="3">
        <f>SUMIFS(df_eventos!F:F,df_eventos!H:H,Conciliacao!A22)</f>
        <v/>
      </c>
      <c r="F22" s="3">
        <f>SUMIFS(df_mutuos!M:M,df_mutuos!B:B,Conciliacao!A22)</f>
        <v/>
      </c>
      <c r="G22" s="6">
        <f>SUMIFS(df_bloqueios_judiciais!G:G,df_bloqueios_judiciais!D:D,Conciliacao!A22,df_bloqueios_judiciais!G:G,"&gt;0")</f>
        <v/>
      </c>
      <c r="H22" s="7">
        <f>SUMIFS(df_extratos!I:I,df_extratos!F:F,"&gt;="&amp;Conciliacao!BE22,df_extratos!F:F,"&lt;"&amp;Conciliacao!BE22+1,df_extratos!G:G,"CREDITO")
+SUMIFS(df_extratos!I:I,df_extratos!F:F,"&gt;="&amp;Conciliacao!A22, df_extratos!F:F,"&lt;"&amp;Conciliacao!A22+1, df_extratos!G:G,"CREDITO")
+SUMIFS(df_extratos!I:I,df_extratos!F:F,"&gt;="&amp;Conciliacao!BF22,df_extratos!F:F,"&lt;"&amp;Conciliacao!BF22+1,df_extratos!G:G,"CREDITO")
+SUMIFS(df_extratos!I:I,df_extratos!F:F,"&gt;="&amp;Conciliacao!BG22,df_extratos!F:F,"&lt;"&amp;Conciliacao!BG22+1,df_extratos!G:G,"CREDITO")
+SUMIFS(df_extratos!I:I,df_extratos!F:F,"&gt;="&amp;Conciliacao!BH22,df_extratos!F:F,"&lt;"&amp;Conciliacao!BH22+1,df_extratos!G:G,"CREDITO")</f>
        <v/>
      </c>
      <c r="I22" s="9">
        <f>H22-SUM(B22:G22)</f>
        <v/>
      </c>
      <c r="J22" s="4">
        <f>SUMIFS(df_blueme_sem_parcelamento!E:E,df_blueme_sem_parcelamento!H:H,Conciliacao!A22)*(-1)</f>
        <v/>
      </c>
      <c r="K22" s="4">
        <f>SUMIFS(df_blueme_com_parcelamento!J:J,df_blueme_com_parcelamento!M:M,Conciliacao!A22)*(-1)</f>
        <v/>
      </c>
      <c r="L22" s="4">
        <f>SUMIFS(df_mutuos!N:N,df_mutuos!B:B,Conciliacao!A22)*(-1)</f>
        <v/>
      </c>
      <c r="M22" s="8">
        <f>SUMIFS(df_bloqueios_judiciais!E:E,df_bloqueios_judiciais!D:D,Conciliacao!A22,df_bloqueios_judiciais!E:E,"&lt;0")</f>
        <v/>
      </c>
      <c r="N22" s="10">
        <f>SUMIFS(df_extratos!I:I,df_extratos!F:F,"&gt;="&amp;Conciliacao!BE22,df_extratos!F:F,"&lt;"&amp;Conciliacao!BE22+1,df_extratos!G:G,"DEBITO")
+SUMIFS(df_extratos!I:I,df_extratos!F:F,"&gt;="&amp;Conciliacao!A22, df_extratos!F:F,"&lt;"&amp;Conciliacao!A22+1, df_extratos!G:G,"DEBITO")
+SUMIFS(df_extratos!I:I,df_extratos!F:F,"&gt;="&amp;Conciliacao!BF22,df_extratos!F:F,"&lt;"&amp;Conciliacao!BF22+1,df_extratos!G:G,"DEBITO")
+SUMIFS(df_extratos!I:I,df_extratos!F:F,"&gt;="&amp;Conciliacao!BG22,df_extratos!F:F,"&lt;"&amp;Conciliacao!BG22+1,df_extratos!G:G,"DEBITO")
+SUMIFS(df_extratos!I:I,df_extratos!F:F,"&gt;="&amp;Conciliacao!BH22,df_extratos!F:F,"&lt;"&amp;Conciliacao!BH22+1,df_extratos!G:G,"DEBITO")</f>
        <v/>
      </c>
      <c r="O22" s="11">
        <f>N22-SUM(J22:M22)</f>
        <v/>
      </c>
      <c r="P22" s="25">
        <f>SUMIFS(df_ajustes_conciliaco!D:D,df_ajustes_conciliaco!C:C,Conciliacao!A22)</f>
        <v/>
      </c>
      <c r="Q22" s="22">
        <f>O22+I22-P22</f>
        <v/>
      </c>
      <c r="BE22" s="20" t="n">
        <v>45678.5</v>
      </c>
      <c r="BF22" s="20" t="n">
        <v>45678.125</v>
      </c>
      <c r="BG22" s="20" t="n">
        <v>45678.54166666666</v>
      </c>
      <c r="BH22" s="20" t="n">
        <v>45678.625</v>
      </c>
    </row>
    <row r="23">
      <c r="A23" s="5">
        <f>A22+1</f>
        <v/>
      </c>
      <c r="B23" s="3">
        <f>-SUMIFS(df_extrato_zig!G:G,df_extrato_zig!E:E,Conciliacao!A23,df_extrato_zig!D:D,"Saque")-SUMIFS(df_extrato_zig!G:G,df_extrato_zig!E:E,Conciliacao!A23,df_extrato_zig!D:D,"Antecipação")</f>
        <v/>
      </c>
      <c r="C23" s="3">
        <f>SUMIFS(df_extrato_zig!E:E,df_extrato_zig!L:L,Conciliacao!A23,df_extrato_zig!F:F,"DINHEIRO")</f>
        <v/>
      </c>
      <c r="D23" s="3">
        <f>SUMIFS(view_parc_agrup!H:H,view_parc_agrup!G:G,Conciliacao!A23)</f>
        <v/>
      </c>
      <c r="E23" s="3">
        <f>SUMIFS(df_eventos!F:F,df_eventos!H:H,Conciliacao!A23)</f>
        <v/>
      </c>
      <c r="F23" s="3">
        <f>SUMIFS(df_mutuos!M:M,df_mutuos!B:B,Conciliacao!A23)</f>
        <v/>
      </c>
      <c r="G23" s="6">
        <f>SUMIFS(df_bloqueios_judiciais!G:G,df_bloqueios_judiciais!D:D,Conciliacao!A23,df_bloqueios_judiciais!G:G,"&gt;0")</f>
        <v/>
      </c>
      <c r="H23" s="7">
        <f>SUMIFS(df_extratos!I:I,df_extratos!F:F,"&gt;="&amp;Conciliacao!BE23,df_extratos!F:F,"&lt;"&amp;Conciliacao!BE23+1,df_extratos!G:G,"CREDITO")
+SUMIFS(df_extratos!I:I,df_extratos!F:F,"&gt;="&amp;Conciliacao!A23, df_extratos!F:F,"&lt;"&amp;Conciliacao!A23+1, df_extratos!G:G,"CREDITO")
+SUMIFS(df_extratos!I:I,df_extratos!F:F,"&gt;="&amp;Conciliacao!BF23,df_extratos!F:F,"&lt;"&amp;Conciliacao!BF23+1,df_extratos!G:G,"CREDITO")
+SUMIFS(df_extratos!I:I,df_extratos!F:F,"&gt;="&amp;Conciliacao!BG23,df_extratos!F:F,"&lt;"&amp;Conciliacao!BG23+1,df_extratos!G:G,"CREDITO")
+SUMIFS(df_extratos!I:I,df_extratos!F:F,"&gt;="&amp;Conciliacao!BH23,df_extratos!F:F,"&lt;"&amp;Conciliacao!BH23+1,df_extratos!G:G,"CREDITO")</f>
        <v/>
      </c>
      <c r="I23" s="9">
        <f>H23-SUM(B23:G23)</f>
        <v/>
      </c>
      <c r="J23" s="4">
        <f>SUMIFS(df_blueme_sem_parcelamento!E:E,df_blueme_sem_parcelamento!H:H,Conciliacao!A23)*(-1)</f>
        <v/>
      </c>
      <c r="K23" s="4">
        <f>SUMIFS(df_blueme_com_parcelamento!J:J,df_blueme_com_parcelamento!M:M,Conciliacao!A23)*(-1)</f>
        <v/>
      </c>
      <c r="L23" s="4">
        <f>SUMIFS(df_mutuos!N:N,df_mutuos!B:B,Conciliacao!A23)*(-1)</f>
        <v/>
      </c>
      <c r="M23" s="8">
        <f>SUMIFS(df_bloqueios_judiciais!E:E,df_bloqueios_judiciais!D:D,Conciliacao!A23,df_bloqueios_judiciais!E:E,"&lt;0")</f>
        <v/>
      </c>
      <c r="N23" s="10">
        <f>SUMIFS(df_extratos!I:I,df_extratos!F:F,"&gt;="&amp;Conciliacao!BE23,df_extratos!F:F,"&lt;"&amp;Conciliacao!BE23+1,df_extratos!G:G,"DEBITO")
+SUMIFS(df_extratos!I:I,df_extratos!F:F,"&gt;="&amp;Conciliacao!A23, df_extratos!F:F,"&lt;"&amp;Conciliacao!A23+1, df_extratos!G:G,"DEBITO")
+SUMIFS(df_extratos!I:I,df_extratos!F:F,"&gt;="&amp;Conciliacao!BF23,df_extratos!F:F,"&lt;"&amp;Conciliacao!BF23+1,df_extratos!G:G,"DEBITO")
+SUMIFS(df_extratos!I:I,df_extratos!F:F,"&gt;="&amp;Conciliacao!BG23,df_extratos!F:F,"&lt;"&amp;Conciliacao!BG23+1,df_extratos!G:G,"DEBITO")
+SUMIFS(df_extratos!I:I,df_extratos!F:F,"&gt;="&amp;Conciliacao!BH23,df_extratos!F:F,"&lt;"&amp;Conciliacao!BH23+1,df_extratos!G:G,"DEBITO")</f>
        <v/>
      </c>
      <c r="O23" s="11">
        <f>N23-SUM(J23:M23)</f>
        <v/>
      </c>
      <c r="P23" s="25">
        <f>SUMIFS(df_ajustes_conciliaco!D:D,df_ajustes_conciliaco!C:C,Conciliacao!A23)</f>
        <v/>
      </c>
      <c r="Q23" s="22">
        <f>O23+I23-P23</f>
        <v/>
      </c>
      <c r="BE23" s="20" t="n">
        <v>45679.5</v>
      </c>
      <c r="BF23" s="20" t="n">
        <v>45679.125</v>
      </c>
      <c r="BG23" s="20" t="n">
        <v>45679.54166666666</v>
      </c>
      <c r="BH23" s="20" t="n">
        <v>45679.625</v>
      </c>
    </row>
    <row r="24">
      <c r="A24" s="5">
        <f>A23+1</f>
        <v/>
      </c>
      <c r="B24" s="3">
        <f>-SUMIFS(df_extrato_zig!G:G,df_extrato_zig!E:E,Conciliacao!A24,df_extrato_zig!D:D,"Saque")-SUMIFS(df_extrato_zig!G:G,df_extrato_zig!E:E,Conciliacao!A24,df_extrato_zig!D:D,"Antecipação")</f>
        <v/>
      </c>
      <c r="C24" s="3">
        <f>SUMIFS(df_extrato_zig!E:E,df_extrato_zig!L:L,Conciliacao!A24,df_extrato_zig!F:F,"DINHEIRO")</f>
        <v/>
      </c>
      <c r="D24" s="3">
        <f>SUMIFS(view_parc_agrup!H:H,view_parc_agrup!G:G,Conciliacao!A24)</f>
        <v/>
      </c>
      <c r="E24" s="3">
        <f>SUMIFS(df_eventos!F:F,df_eventos!H:H,Conciliacao!A24)</f>
        <v/>
      </c>
      <c r="F24" s="3">
        <f>SUMIFS(df_mutuos!M:M,df_mutuos!B:B,Conciliacao!A24)</f>
        <v/>
      </c>
      <c r="G24" s="6">
        <f>SUMIFS(df_bloqueios_judiciais!G:G,df_bloqueios_judiciais!D:D,Conciliacao!A24,df_bloqueios_judiciais!G:G,"&gt;0")</f>
        <v/>
      </c>
      <c r="H24" s="7">
        <f>SUMIFS(df_extratos!I:I,df_extratos!F:F,"&gt;="&amp;Conciliacao!BE24,df_extratos!F:F,"&lt;"&amp;Conciliacao!BE24+1,df_extratos!G:G,"CREDITO")
+SUMIFS(df_extratos!I:I,df_extratos!F:F,"&gt;="&amp;Conciliacao!A24, df_extratos!F:F,"&lt;"&amp;Conciliacao!A24+1, df_extratos!G:G,"CREDITO")
+SUMIFS(df_extratos!I:I,df_extratos!F:F,"&gt;="&amp;Conciliacao!BF24,df_extratos!F:F,"&lt;"&amp;Conciliacao!BF24+1,df_extratos!G:G,"CREDITO")
+SUMIFS(df_extratos!I:I,df_extratos!F:F,"&gt;="&amp;Conciliacao!BG24,df_extratos!F:F,"&lt;"&amp;Conciliacao!BG24+1,df_extratos!G:G,"CREDITO")
+SUMIFS(df_extratos!I:I,df_extratos!F:F,"&gt;="&amp;Conciliacao!BH24,df_extratos!F:F,"&lt;"&amp;Conciliacao!BH24+1,df_extratos!G:G,"CREDITO")</f>
        <v/>
      </c>
      <c r="I24" s="9">
        <f>H24-SUM(B24:G24)</f>
        <v/>
      </c>
      <c r="J24" s="4">
        <f>SUMIFS(df_blueme_sem_parcelamento!E:E,df_blueme_sem_parcelamento!H:H,Conciliacao!A24)*(-1)</f>
        <v/>
      </c>
      <c r="K24" s="4">
        <f>SUMIFS(df_blueme_com_parcelamento!J:J,df_blueme_com_parcelamento!M:M,Conciliacao!A24)*(-1)</f>
        <v/>
      </c>
      <c r="L24" s="4">
        <f>SUMIFS(df_mutuos!N:N,df_mutuos!B:B,Conciliacao!A24)*(-1)</f>
        <v/>
      </c>
      <c r="M24" s="8">
        <f>SUMIFS(df_bloqueios_judiciais!E:E,df_bloqueios_judiciais!D:D,Conciliacao!A24,df_bloqueios_judiciais!E:E,"&lt;0")</f>
        <v/>
      </c>
      <c r="N24" s="10">
        <f>SUMIFS(df_extratos!I:I,df_extratos!F:F,"&gt;="&amp;Conciliacao!BE24,df_extratos!F:F,"&lt;"&amp;Conciliacao!BE24+1,df_extratos!G:G,"DEBITO")
+SUMIFS(df_extratos!I:I,df_extratos!F:F,"&gt;="&amp;Conciliacao!A24, df_extratos!F:F,"&lt;"&amp;Conciliacao!A24+1, df_extratos!G:G,"DEBITO")
+SUMIFS(df_extratos!I:I,df_extratos!F:F,"&gt;="&amp;Conciliacao!BF24,df_extratos!F:F,"&lt;"&amp;Conciliacao!BF24+1,df_extratos!G:G,"DEBITO")
+SUMIFS(df_extratos!I:I,df_extratos!F:F,"&gt;="&amp;Conciliacao!BG24,df_extratos!F:F,"&lt;"&amp;Conciliacao!BG24+1,df_extratos!G:G,"DEBITO")
+SUMIFS(df_extratos!I:I,df_extratos!F:F,"&gt;="&amp;Conciliacao!BH24,df_extratos!F:F,"&lt;"&amp;Conciliacao!BH24+1,df_extratos!G:G,"DEBITO")</f>
        <v/>
      </c>
      <c r="O24" s="11">
        <f>N24-SUM(J24:M24)</f>
        <v/>
      </c>
      <c r="P24" s="25">
        <f>SUMIFS(df_ajustes_conciliaco!D:D,df_ajustes_conciliaco!C:C,Conciliacao!A24)</f>
        <v/>
      </c>
      <c r="Q24" s="22">
        <f>O24+I24-P24</f>
        <v/>
      </c>
      <c r="BE24" s="20" t="n">
        <v>45680.5</v>
      </c>
      <c r="BF24" s="20" t="n">
        <v>45680.125</v>
      </c>
      <c r="BG24" s="20" t="n">
        <v>45680.54166666666</v>
      </c>
      <c r="BH24" s="20" t="n">
        <v>45680.625</v>
      </c>
    </row>
    <row r="25">
      <c r="A25" s="5">
        <f>A24+1</f>
        <v/>
      </c>
      <c r="B25" s="3">
        <f>-SUMIFS(df_extrato_zig!G:G,df_extrato_zig!E:E,Conciliacao!A25,df_extrato_zig!D:D,"Saque")-SUMIFS(df_extrato_zig!G:G,df_extrato_zig!E:E,Conciliacao!A25,df_extrato_zig!D:D,"Antecipação")</f>
        <v/>
      </c>
      <c r="C25" s="3">
        <f>SUMIFS(df_extrato_zig!E:E,df_extrato_zig!L:L,Conciliacao!A25,df_extrato_zig!F:F,"DINHEIRO")</f>
        <v/>
      </c>
      <c r="D25" s="3">
        <f>SUMIFS(view_parc_agrup!H:H,view_parc_agrup!G:G,Conciliacao!A25)</f>
        <v/>
      </c>
      <c r="E25" s="3">
        <f>SUMIFS(df_eventos!F:F,df_eventos!H:H,Conciliacao!A25)</f>
        <v/>
      </c>
      <c r="F25" s="3">
        <f>SUMIFS(df_mutuos!M:M,df_mutuos!B:B,Conciliacao!A25)</f>
        <v/>
      </c>
      <c r="G25" s="6">
        <f>SUMIFS(df_bloqueios_judiciais!G:G,df_bloqueios_judiciais!D:D,Conciliacao!A25,df_bloqueios_judiciais!G:G,"&gt;0")</f>
        <v/>
      </c>
      <c r="H25" s="7">
        <f>SUMIFS(df_extratos!I:I,df_extratos!F:F,"&gt;="&amp;Conciliacao!BE25,df_extratos!F:F,"&lt;"&amp;Conciliacao!BE25+1,df_extratos!G:G,"CREDITO")
+SUMIFS(df_extratos!I:I,df_extratos!F:F,"&gt;="&amp;Conciliacao!A25, df_extratos!F:F,"&lt;"&amp;Conciliacao!A25+1, df_extratos!G:G,"CREDITO")
+SUMIFS(df_extratos!I:I,df_extratos!F:F,"&gt;="&amp;Conciliacao!BF25,df_extratos!F:F,"&lt;"&amp;Conciliacao!BF25+1,df_extratos!G:G,"CREDITO")
+SUMIFS(df_extratos!I:I,df_extratos!F:F,"&gt;="&amp;Conciliacao!BG25,df_extratos!F:F,"&lt;"&amp;Conciliacao!BG25+1,df_extratos!G:G,"CREDITO")
+SUMIFS(df_extratos!I:I,df_extratos!F:F,"&gt;="&amp;Conciliacao!BH25,df_extratos!F:F,"&lt;"&amp;Conciliacao!BH25+1,df_extratos!G:G,"CREDITO")</f>
        <v/>
      </c>
      <c r="I25" s="9">
        <f>H25-SUM(B25:G25)</f>
        <v/>
      </c>
      <c r="J25" s="4">
        <f>SUMIFS(df_blueme_sem_parcelamento!E:E,df_blueme_sem_parcelamento!H:H,Conciliacao!A25)*(-1)</f>
        <v/>
      </c>
      <c r="K25" s="4">
        <f>SUMIFS(df_blueme_com_parcelamento!J:J,df_blueme_com_parcelamento!M:M,Conciliacao!A25)*(-1)</f>
        <v/>
      </c>
      <c r="L25" s="4">
        <f>SUMIFS(df_mutuos!N:N,df_mutuos!B:B,Conciliacao!A25)*(-1)</f>
        <v/>
      </c>
      <c r="M25" s="8">
        <f>SUMIFS(df_bloqueios_judiciais!E:E,df_bloqueios_judiciais!D:D,Conciliacao!A25,df_bloqueios_judiciais!E:E,"&lt;0")</f>
        <v/>
      </c>
      <c r="N25" s="10">
        <f>SUMIFS(df_extratos!I:I,df_extratos!F:F,"&gt;="&amp;Conciliacao!BE25,df_extratos!F:F,"&lt;"&amp;Conciliacao!BE25+1,df_extratos!G:G,"DEBITO")
+SUMIFS(df_extratos!I:I,df_extratos!F:F,"&gt;="&amp;Conciliacao!A25, df_extratos!F:F,"&lt;"&amp;Conciliacao!A25+1, df_extratos!G:G,"DEBITO")
+SUMIFS(df_extratos!I:I,df_extratos!F:F,"&gt;="&amp;Conciliacao!BF25,df_extratos!F:F,"&lt;"&amp;Conciliacao!BF25+1,df_extratos!G:G,"DEBITO")
+SUMIFS(df_extratos!I:I,df_extratos!F:F,"&gt;="&amp;Conciliacao!BG25,df_extratos!F:F,"&lt;"&amp;Conciliacao!BG25+1,df_extratos!G:G,"DEBITO")
+SUMIFS(df_extratos!I:I,df_extratos!F:F,"&gt;="&amp;Conciliacao!BH25,df_extratos!F:F,"&lt;"&amp;Conciliacao!BH25+1,df_extratos!G:G,"DEBITO")</f>
        <v/>
      </c>
      <c r="O25" s="11">
        <f>N25-SUM(J25:M25)</f>
        <v/>
      </c>
      <c r="P25" s="25">
        <f>SUMIFS(df_ajustes_conciliaco!D:D,df_ajustes_conciliaco!C:C,Conciliacao!A25)</f>
        <v/>
      </c>
      <c r="Q25" s="22">
        <f>O25+I25-P25</f>
        <v/>
      </c>
      <c r="BE25" s="20" t="n">
        <v>45681.5</v>
      </c>
      <c r="BF25" s="20" t="n">
        <v>45681.125</v>
      </c>
      <c r="BG25" s="20" t="n">
        <v>45681.54166666666</v>
      </c>
      <c r="BH25" s="20" t="n">
        <v>45681.625</v>
      </c>
    </row>
    <row r="26">
      <c r="A26" s="5">
        <f>A25+1</f>
        <v/>
      </c>
      <c r="B26" s="3">
        <f>-SUMIFS(df_extrato_zig!G:G,df_extrato_zig!E:E,Conciliacao!A26,df_extrato_zig!D:D,"Saque")-SUMIFS(df_extrato_zig!G:G,df_extrato_zig!E:E,Conciliacao!A26,df_extrato_zig!D:D,"Antecipação")</f>
        <v/>
      </c>
      <c r="C26" s="3">
        <f>SUMIFS(df_extrato_zig!E:E,df_extrato_zig!L:L,Conciliacao!A26,df_extrato_zig!F:F,"DINHEIRO")</f>
        <v/>
      </c>
      <c r="D26" s="3">
        <f>SUMIFS(view_parc_agrup!H:H,view_parc_agrup!G:G,Conciliacao!A26)</f>
        <v/>
      </c>
      <c r="E26" s="3">
        <f>SUMIFS(df_eventos!F:F,df_eventos!H:H,Conciliacao!A26)</f>
        <v/>
      </c>
      <c r="F26" s="3">
        <f>SUMIFS(df_mutuos!M:M,df_mutuos!B:B,Conciliacao!A26)</f>
        <v/>
      </c>
      <c r="G26" s="6">
        <f>SUMIFS(df_bloqueios_judiciais!G:G,df_bloqueios_judiciais!D:D,Conciliacao!A26,df_bloqueios_judiciais!G:G,"&gt;0")</f>
        <v/>
      </c>
      <c r="H26" s="7">
        <f>SUMIFS(df_extratos!I:I,df_extratos!F:F,"&gt;="&amp;Conciliacao!BE26,df_extratos!F:F,"&lt;"&amp;Conciliacao!BE26+1,df_extratos!G:G,"CREDITO")
+SUMIFS(df_extratos!I:I,df_extratos!F:F,"&gt;="&amp;Conciliacao!A26, df_extratos!F:F,"&lt;"&amp;Conciliacao!A26+1, df_extratos!G:G,"CREDITO")
+SUMIFS(df_extratos!I:I,df_extratos!F:F,"&gt;="&amp;Conciliacao!BF26,df_extratos!F:F,"&lt;"&amp;Conciliacao!BF26+1,df_extratos!G:G,"CREDITO")
+SUMIFS(df_extratos!I:I,df_extratos!F:F,"&gt;="&amp;Conciliacao!BG26,df_extratos!F:F,"&lt;"&amp;Conciliacao!BG26+1,df_extratos!G:G,"CREDITO")
+SUMIFS(df_extratos!I:I,df_extratos!F:F,"&gt;="&amp;Conciliacao!BH26,df_extratos!F:F,"&lt;"&amp;Conciliacao!BH26+1,df_extratos!G:G,"CREDITO")</f>
        <v/>
      </c>
      <c r="I26" s="9">
        <f>H26-SUM(B26:G26)</f>
        <v/>
      </c>
      <c r="J26" s="4">
        <f>SUMIFS(df_blueme_sem_parcelamento!E:E,df_blueme_sem_parcelamento!H:H,Conciliacao!A26)*(-1)</f>
        <v/>
      </c>
      <c r="K26" s="4">
        <f>SUMIFS(df_blueme_com_parcelamento!J:J,df_blueme_com_parcelamento!M:M,Conciliacao!A26)*(-1)</f>
        <v/>
      </c>
      <c r="L26" s="4">
        <f>SUMIFS(df_mutuos!N:N,df_mutuos!B:B,Conciliacao!A26)*(-1)</f>
        <v/>
      </c>
      <c r="M26" s="8">
        <f>SUMIFS(df_bloqueios_judiciais!E:E,df_bloqueios_judiciais!D:D,Conciliacao!A26,df_bloqueios_judiciais!E:E,"&lt;0")</f>
        <v/>
      </c>
      <c r="N26" s="10">
        <f>SUMIFS(df_extratos!I:I,df_extratos!F:F,"&gt;="&amp;Conciliacao!BE26,df_extratos!F:F,"&lt;"&amp;Conciliacao!BE26+1,df_extratos!G:G,"DEBITO")
+SUMIFS(df_extratos!I:I,df_extratos!F:F,"&gt;="&amp;Conciliacao!A26, df_extratos!F:F,"&lt;"&amp;Conciliacao!A26+1, df_extratos!G:G,"DEBITO")
+SUMIFS(df_extratos!I:I,df_extratos!F:F,"&gt;="&amp;Conciliacao!BF26,df_extratos!F:F,"&lt;"&amp;Conciliacao!BF26+1,df_extratos!G:G,"DEBITO")
+SUMIFS(df_extratos!I:I,df_extratos!F:F,"&gt;="&amp;Conciliacao!BG26,df_extratos!F:F,"&lt;"&amp;Conciliacao!BG26+1,df_extratos!G:G,"DEBITO")
+SUMIFS(df_extratos!I:I,df_extratos!F:F,"&gt;="&amp;Conciliacao!BH26,df_extratos!F:F,"&lt;"&amp;Conciliacao!BH26+1,df_extratos!G:G,"DEBITO")</f>
        <v/>
      </c>
      <c r="O26" s="11">
        <f>N26-SUM(J26:M26)</f>
        <v/>
      </c>
      <c r="P26" s="25">
        <f>SUMIFS(df_ajustes_conciliaco!D:D,df_ajustes_conciliaco!C:C,Conciliacao!A26)</f>
        <v/>
      </c>
      <c r="Q26" s="22">
        <f>O26+I26-P26</f>
        <v/>
      </c>
      <c r="BE26" s="20" t="n">
        <v>45682.5</v>
      </c>
      <c r="BF26" s="20" t="n">
        <v>45682.125</v>
      </c>
      <c r="BG26" s="20" t="n">
        <v>45682.54166666666</v>
      </c>
      <c r="BH26" s="20" t="n">
        <v>45682.625</v>
      </c>
    </row>
    <row r="27">
      <c r="A27" s="5">
        <f>A26+1</f>
        <v/>
      </c>
      <c r="B27" s="3">
        <f>-SUMIFS(df_extrato_zig!G:G,df_extrato_zig!E:E,Conciliacao!A27,df_extrato_zig!D:D,"Saque")-SUMIFS(df_extrato_zig!G:G,df_extrato_zig!E:E,Conciliacao!A27,df_extrato_zig!D:D,"Antecipação")</f>
        <v/>
      </c>
      <c r="C27" s="3">
        <f>SUMIFS(df_extrato_zig!E:E,df_extrato_zig!L:L,Conciliacao!A27,df_extrato_zig!F:F,"DINHEIRO")</f>
        <v/>
      </c>
      <c r="D27" s="3">
        <f>SUMIFS(view_parc_agrup!H:H,view_parc_agrup!G:G,Conciliacao!A27)</f>
        <v/>
      </c>
      <c r="E27" s="3">
        <f>SUMIFS(df_eventos!F:F,df_eventos!H:H,Conciliacao!A27)</f>
        <v/>
      </c>
      <c r="F27" s="3">
        <f>SUMIFS(df_mutuos!M:M,df_mutuos!B:B,Conciliacao!A27)</f>
        <v/>
      </c>
      <c r="G27" s="6">
        <f>SUMIFS(df_bloqueios_judiciais!G:G,df_bloqueios_judiciais!D:D,Conciliacao!A27,df_bloqueios_judiciais!G:G,"&gt;0")</f>
        <v/>
      </c>
      <c r="H27" s="7">
        <f>SUMIFS(df_extratos!I:I,df_extratos!F:F,"&gt;="&amp;Conciliacao!BE27,df_extratos!F:F,"&lt;"&amp;Conciliacao!BE27+1,df_extratos!G:G,"CREDITO")
+SUMIFS(df_extratos!I:I,df_extratos!F:F,"&gt;="&amp;Conciliacao!A27, df_extratos!F:F,"&lt;"&amp;Conciliacao!A27+1, df_extratos!G:G,"CREDITO")
+SUMIFS(df_extratos!I:I,df_extratos!F:F,"&gt;="&amp;Conciliacao!BF27,df_extratos!F:F,"&lt;"&amp;Conciliacao!BF27+1,df_extratos!G:G,"CREDITO")
+SUMIFS(df_extratos!I:I,df_extratos!F:F,"&gt;="&amp;Conciliacao!BG27,df_extratos!F:F,"&lt;"&amp;Conciliacao!BG27+1,df_extratos!G:G,"CREDITO")
+SUMIFS(df_extratos!I:I,df_extratos!F:F,"&gt;="&amp;Conciliacao!BH27,df_extratos!F:F,"&lt;"&amp;Conciliacao!BH27+1,df_extratos!G:G,"CREDITO")</f>
        <v/>
      </c>
      <c r="I27" s="9">
        <f>H27-SUM(B27:G27)</f>
        <v/>
      </c>
      <c r="J27" s="4">
        <f>SUMIFS(df_blueme_sem_parcelamento!E:E,df_blueme_sem_parcelamento!H:H,Conciliacao!A27)*(-1)</f>
        <v/>
      </c>
      <c r="K27" s="4">
        <f>SUMIFS(df_blueme_com_parcelamento!J:J,df_blueme_com_parcelamento!M:M,Conciliacao!A27)*(-1)</f>
        <v/>
      </c>
      <c r="L27" s="4">
        <f>SUMIFS(df_mutuos!N:N,df_mutuos!B:B,Conciliacao!A27)*(-1)</f>
        <v/>
      </c>
      <c r="M27" s="8">
        <f>SUMIFS(df_bloqueios_judiciais!E:E,df_bloqueios_judiciais!D:D,Conciliacao!A27,df_bloqueios_judiciais!E:E,"&lt;0")</f>
        <v/>
      </c>
      <c r="N27" s="10">
        <f>SUMIFS(df_extratos!I:I,df_extratos!F:F,"&gt;="&amp;Conciliacao!BE27,df_extratos!F:F,"&lt;"&amp;Conciliacao!BE27+1,df_extratos!G:G,"DEBITO")
+SUMIFS(df_extratos!I:I,df_extratos!F:F,"&gt;="&amp;Conciliacao!A27, df_extratos!F:F,"&lt;"&amp;Conciliacao!A27+1, df_extratos!G:G,"DEBITO")
+SUMIFS(df_extratos!I:I,df_extratos!F:F,"&gt;="&amp;Conciliacao!BF27,df_extratos!F:F,"&lt;"&amp;Conciliacao!BF27+1,df_extratos!G:G,"DEBITO")
+SUMIFS(df_extratos!I:I,df_extratos!F:F,"&gt;="&amp;Conciliacao!BG27,df_extratos!F:F,"&lt;"&amp;Conciliacao!BG27+1,df_extratos!G:G,"DEBITO")
+SUMIFS(df_extratos!I:I,df_extratos!F:F,"&gt;="&amp;Conciliacao!BH27,df_extratos!F:F,"&lt;"&amp;Conciliacao!BH27+1,df_extratos!G:G,"DEBITO")</f>
        <v/>
      </c>
      <c r="O27" s="11">
        <f>N27-SUM(J27:M27)</f>
        <v/>
      </c>
      <c r="P27" s="25">
        <f>SUMIFS(df_ajustes_conciliaco!D:D,df_ajustes_conciliaco!C:C,Conciliacao!A27)</f>
        <v/>
      </c>
      <c r="Q27" s="22">
        <f>O27+I27-P27</f>
        <v/>
      </c>
      <c r="BE27" s="20" t="n">
        <v>45683.5</v>
      </c>
      <c r="BF27" s="20" t="n">
        <v>45683.125</v>
      </c>
      <c r="BG27" s="20" t="n">
        <v>45683.54166666666</v>
      </c>
      <c r="BH27" s="20" t="n">
        <v>45683.625</v>
      </c>
    </row>
    <row r="28">
      <c r="A28" s="5">
        <f>A27+1</f>
        <v/>
      </c>
      <c r="B28" s="3">
        <f>-SUMIFS(df_extrato_zig!G:G,df_extrato_zig!E:E,Conciliacao!A28,df_extrato_zig!D:D,"Saque")-SUMIFS(df_extrato_zig!G:G,df_extrato_zig!E:E,Conciliacao!A28,df_extrato_zig!D:D,"Antecipação")</f>
        <v/>
      </c>
      <c r="C28" s="3">
        <f>SUMIFS(df_extrato_zig!E:E,df_extrato_zig!L:L,Conciliacao!A28,df_extrato_zig!F:F,"DINHEIRO")</f>
        <v/>
      </c>
      <c r="D28" s="3">
        <f>SUMIFS(view_parc_agrup!H:H,view_parc_agrup!G:G,Conciliacao!A28)</f>
        <v/>
      </c>
      <c r="E28" s="3">
        <f>SUMIFS(df_eventos!F:F,df_eventos!H:H,Conciliacao!A28)</f>
        <v/>
      </c>
      <c r="F28" s="3">
        <f>SUMIFS(df_mutuos!M:M,df_mutuos!B:B,Conciliacao!A28)</f>
        <v/>
      </c>
      <c r="G28" s="6">
        <f>SUMIFS(df_bloqueios_judiciais!G:G,df_bloqueios_judiciais!D:D,Conciliacao!A28,df_bloqueios_judiciais!G:G,"&gt;0")</f>
        <v/>
      </c>
      <c r="H28" s="7">
        <f>SUMIFS(df_extratos!I:I,df_extratos!F:F,"&gt;="&amp;Conciliacao!BE28,df_extratos!F:F,"&lt;"&amp;Conciliacao!BE28+1,df_extratos!G:G,"CREDITO")
+SUMIFS(df_extratos!I:I,df_extratos!F:F,"&gt;="&amp;Conciliacao!A28, df_extratos!F:F,"&lt;"&amp;Conciliacao!A28+1, df_extratos!G:G,"CREDITO")
+SUMIFS(df_extratos!I:I,df_extratos!F:F,"&gt;="&amp;Conciliacao!BF28,df_extratos!F:F,"&lt;"&amp;Conciliacao!BF28+1,df_extratos!G:G,"CREDITO")
+SUMIFS(df_extratos!I:I,df_extratos!F:F,"&gt;="&amp;Conciliacao!BG28,df_extratos!F:F,"&lt;"&amp;Conciliacao!BG28+1,df_extratos!G:G,"CREDITO")
+SUMIFS(df_extratos!I:I,df_extratos!F:F,"&gt;="&amp;Conciliacao!BH28,df_extratos!F:F,"&lt;"&amp;Conciliacao!BH28+1,df_extratos!G:G,"CREDITO")</f>
        <v/>
      </c>
      <c r="I28" s="9">
        <f>H28-SUM(B28:G28)</f>
        <v/>
      </c>
      <c r="J28" s="4">
        <f>SUMIFS(df_blueme_sem_parcelamento!E:E,df_blueme_sem_parcelamento!H:H,Conciliacao!A28)*(-1)</f>
        <v/>
      </c>
      <c r="K28" s="4">
        <f>SUMIFS(df_blueme_com_parcelamento!J:J,df_blueme_com_parcelamento!M:M,Conciliacao!A28)*(-1)</f>
        <v/>
      </c>
      <c r="L28" s="4">
        <f>SUMIFS(df_mutuos!N:N,df_mutuos!B:B,Conciliacao!A28)*(-1)</f>
        <v/>
      </c>
      <c r="M28" s="8">
        <f>SUMIFS(df_bloqueios_judiciais!E:E,df_bloqueios_judiciais!D:D,Conciliacao!A28,df_bloqueios_judiciais!E:E,"&lt;0")</f>
        <v/>
      </c>
      <c r="N28" s="10">
        <f>SUMIFS(df_extratos!I:I,df_extratos!F:F,"&gt;="&amp;Conciliacao!BE28,df_extratos!F:F,"&lt;"&amp;Conciliacao!BE28+1,df_extratos!G:G,"DEBITO")
+SUMIFS(df_extratos!I:I,df_extratos!F:F,"&gt;="&amp;Conciliacao!A28, df_extratos!F:F,"&lt;"&amp;Conciliacao!A28+1, df_extratos!G:G,"DEBITO")
+SUMIFS(df_extratos!I:I,df_extratos!F:F,"&gt;="&amp;Conciliacao!BF28,df_extratos!F:F,"&lt;"&amp;Conciliacao!BF28+1,df_extratos!G:G,"DEBITO")
+SUMIFS(df_extratos!I:I,df_extratos!F:F,"&gt;="&amp;Conciliacao!BG28,df_extratos!F:F,"&lt;"&amp;Conciliacao!BG28+1,df_extratos!G:G,"DEBITO")
+SUMIFS(df_extratos!I:I,df_extratos!F:F,"&gt;="&amp;Conciliacao!BH28,df_extratos!F:F,"&lt;"&amp;Conciliacao!BH28+1,df_extratos!G:G,"DEBITO")</f>
        <v/>
      </c>
      <c r="O28" s="11">
        <f>N28-SUM(J28:M28)</f>
        <v/>
      </c>
      <c r="P28" s="25">
        <f>SUMIFS(df_ajustes_conciliaco!D:D,df_ajustes_conciliaco!C:C,Conciliacao!A28)</f>
        <v/>
      </c>
      <c r="Q28" s="22">
        <f>O28+I28-P28</f>
        <v/>
      </c>
      <c r="BE28" s="20" t="n">
        <v>45684.5</v>
      </c>
      <c r="BF28" s="20" t="n">
        <v>45684.125</v>
      </c>
      <c r="BG28" s="20" t="n">
        <v>45684.54166666666</v>
      </c>
      <c r="BH28" s="20" t="n">
        <v>45684.625</v>
      </c>
    </row>
    <row r="29">
      <c r="A29" s="5">
        <f>A28+1</f>
        <v/>
      </c>
      <c r="B29" s="3">
        <f>-SUMIFS(df_extrato_zig!G:G,df_extrato_zig!E:E,Conciliacao!A29,df_extrato_zig!D:D,"Saque")-SUMIFS(df_extrato_zig!G:G,df_extrato_zig!E:E,Conciliacao!A29,df_extrato_zig!D:D,"Antecipação")</f>
        <v/>
      </c>
      <c r="C29" s="3">
        <f>SUMIFS(df_extrato_zig!E:E,df_extrato_zig!L:L,Conciliacao!A29,df_extrato_zig!F:F,"DINHEIRO")</f>
        <v/>
      </c>
      <c r="D29" s="3">
        <f>SUMIFS(view_parc_agrup!H:H,view_parc_agrup!G:G,Conciliacao!A29)</f>
        <v/>
      </c>
      <c r="E29" s="3">
        <f>SUMIFS(df_eventos!F:F,df_eventos!H:H,Conciliacao!A29)</f>
        <v/>
      </c>
      <c r="F29" s="3">
        <f>SUMIFS(df_mutuos!M:M,df_mutuos!B:B,Conciliacao!A29)</f>
        <v/>
      </c>
      <c r="G29" s="6">
        <f>SUMIFS(df_bloqueios_judiciais!G:G,df_bloqueios_judiciais!D:D,Conciliacao!A29,df_bloqueios_judiciais!G:G,"&gt;0")</f>
        <v/>
      </c>
      <c r="H29" s="7">
        <f>SUMIFS(df_extratos!I:I,df_extratos!F:F,"&gt;="&amp;Conciliacao!BE29,df_extratos!F:F,"&lt;"&amp;Conciliacao!BE29+1,df_extratos!G:G,"CREDITO")
+SUMIFS(df_extratos!I:I,df_extratos!F:F,"&gt;="&amp;Conciliacao!A29, df_extratos!F:F,"&lt;"&amp;Conciliacao!A29+1, df_extratos!G:G,"CREDITO")
+SUMIFS(df_extratos!I:I,df_extratos!F:F,"&gt;="&amp;Conciliacao!BF29,df_extratos!F:F,"&lt;"&amp;Conciliacao!BF29+1,df_extratos!G:G,"CREDITO")
+SUMIFS(df_extratos!I:I,df_extratos!F:F,"&gt;="&amp;Conciliacao!BG29,df_extratos!F:F,"&lt;"&amp;Conciliacao!BG29+1,df_extratos!G:G,"CREDITO")
+SUMIFS(df_extratos!I:I,df_extratos!F:F,"&gt;="&amp;Conciliacao!BH29,df_extratos!F:F,"&lt;"&amp;Conciliacao!BH29+1,df_extratos!G:G,"CREDITO")</f>
        <v/>
      </c>
      <c r="I29" s="9">
        <f>H29-SUM(B29:G29)</f>
        <v/>
      </c>
      <c r="J29" s="4">
        <f>SUMIFS(df_blueme_sem_parcelamento!E:E,df_blueme_sem_parcelamento!H:H,Conciliacao!A29)*(-1)</f>
        <v/>
      </c>
      <c r="K29" s="4">
        <f>SUMIFS(df_blueme_com_parcelamento!J:J,df_blueme_com_parcelamento!M:M,Conciliacao!A29)*(-1)</f>
        <v/>
      </c>
      <c r="L29" s="4">
        <f>SUMIFS(df_mutuos!N:N,df_mutuos!B:B,Conciliacao!A29)*(-1)</f>
        <v/>
      </c>
      <c r="M29" s="8">
        <f>SUMIFS(df_bloqueios_judiciais!E:E,df_bloqueios_judiciais!D:D,Conciliacao!A29,df_bloqueios_judiciais!E:E,"&lt;0")</f>
        <v/>
      </c>
      <c r="N29" s="10">
        <f>SUMIFS(df_extratos!I:I,df_extratos!F:F,"&gt;="&amp;Conciliacao!BE29,df_extratos!F:F,"&lt;"&amp;Conciliacao!BE29+1,df_extratos!G:G,"DEBITO")
+SUMIFS(df_extratos!I:I,df_extratos!F:F,"&gt;="&amp;Conciliacao!A29, df_extratos!F:F,"&lt;"&amp;Conciliacao!A29+1, df_extratos!G:G,"DEBITO")
+SUMIFS(df_extratos!I:I,df_extratos!F:F,"&gt;="&amp;Conciliacao!BF29,df_extratos!F:F,"&lt;"&amp;Conciliacao!BF29+1,df_extratos!G:G,"DEBITO")
+SUMIFS(df_extratos!I:I,df_extratos!F:F,"&gt;="&amp;Conciliacao!BG29,df_extratos!F:F,"&lt;"&amp;Conciliacao!BG29+1,df_extratos!G:G,"DEBITO")
+SUMIFS(df_extratos!I:I,df_extratos!F:F,"&gt;="&amp;Conciliacao!BH29,df_extratos!F:F,"&lt;"&amp;Conciliacao!BH29+1,df_extratos!G:G,"DEBITO")</f>
        <v/>
      </c>
      <c r="O29" s="11">
        <f>N29-SUM(J29:M29)</f>
        <v/>
      </c>
      <c r="P29" s="25">
        <f>SUMIFS(df_ajustes_conciliaco!D:D,df_ajustes_conciliaco!C:C,Conciliacao!A29)</f>
        <v/>
      </c>
      <c r="Q29" s="22">
        <f>O29+I29-P29</f>
        <v/>
      </c>
      <c r="BE29" s="20" t="n">
        <v>45685.5</v>
      </c>
      <c r="BF29" s="20" t="n">
        <v>45685.125</v>
      </c>
      <c r="BG29" s="20" t="n">
        <v>45685.54166666666</v>
      </c>
      <c r="BH29" s="20" t="n">
        <v>45685.625</v>
      </c>
    </row>
    <row r="30">
      <c r="A30" s="5">
        <f>A29+1</f>
        <v/>
      </c>
      <c r="B30" s="3">
        <f>-SUMIFS(df_extrato_zig!G:G,df_extrato_zig!E:E,Conciliacao!A30,df_extrato_zig!D:D,"Saque")-SUMIFS(df_extrato_zig!G:G,df_extrato_zig!E:E,Conciliacao!A30,df_extrato_zig!D:D,"Antecipação")</f>
        <v/>
      </c>
      <c r="C30" s="3">
        <f>SUMIFS(df_extrato_zig!E:E,df_extrato_zig!L:L,Conciliacao!A30,df_extrato_zig!F:F,"DINHEIRO")</f>
        <v/>
      </c>
      <c r="D30" s="3">
        <f>SUMIFS(view_parc_agrup!H:H,view_parc_agrup!G:G,Conciliacao!A30)</f>
        <v/>
      </c>
      <c r="E30" s="3">
        <f>SUMIFS(df_eventos!F:F,df_eventos!H:H,Conciliacao!A30)</f>
        <v/>
      </c>
      <c r="F30" s="3">
        <f>SUMIFS(df_mutuos!M:M,df_mutuos!B:B,Conciliacao!A30)</f>
        <v/>
      </c>
      <c r="G30" s="6">
        <f>SUMIFS(df_bloqueios_judiciais!G:G,df_bloqueios_judiciais!D:D,Conciliacao!A30,df_bloqueios_judiciais!G:G,"&gt;0")</f>
        <v/>
      </c>
      <c r="H30" s="7">
        <f>SUMIFS(df_extratos!I:I,df_extratos!F:F,"&gt;="&amp;Conciliacao!BE30,df_extratos!F:F,"&lt;"&amp;Conciliacao!BE30+1,df_extratos!G:G,"CREDITO")
+SUMIFS(df_extratos!I:I,df_extratos!F:F,"&gt;="&amp;Conciliacao!A30, df_extratos!F:F,"&lt;"&amp;Conciliacao!A30+1, df_extratos!G:G,"CREDITO")
+SUMIFS(df_extratos!I:I,df_extratos!F:F,"&gt;="&amp;Conciliacao!BF30,df_extratos!F:F,"&lt;"&amp;Conciliacao!BF30+1,df_extratos!G:G,"CREDITO")
+SUMIFS(df_extratos!I:I,df_extratos!F:F,"&gt;="&amp;Conciliacao!BG30,df_extratos!F:F,"&lt;"&amp;Conciliacao!BG30+1,df_extratos!G:G,"CREDITO")
+SUMIFS(df_extratos!I:I,df_extratos!F:F,"&gt;="&amp;Conciliacao!BH30,df_extratos!F:F,"&lt;"&amp;Conciliacao!BH30+1,df_extratos!G:G,"CREDITO")</f>
        <v/>
      </c>
      <c r="I30" s="9">
        <f>H30-SUM(B30:G30)</f>
        <v/>
      </c>
      <c r="J30" s="4">
        <f>SUMIFS(df_blueme_sem_parcelamento!E:E,df_blueme_sem_parcelamento!H:H,Conciliacao!A30)*(-1)</f>
        <v/>
      </c>
      <c r="K30" s="4">
        <f>SUMIFS(df_blueme_com_parcelamento!J:J,df_blueme_com_parcelamento!M:M,Conciliacao!A30)*(-1)</f>
        <v/>
      </c>
      <c r="L30" s="4">
        <f>SUMIFS(df_mutuos!N:N,df_mutuos!B:B,Conciliacao!A30)*(-1)</f>
        <v/>
      </c>
      <c r="M30" s="8">
        <f>SUMIFS(df_bloqueios_judiciais!E:E,df_bloqueios_judiciais!D:D,Conciliacao!A30,df_bloqueios_judiciais!E:E,"&lt;0")</f>
        <v/>
      </c>
      <c r="N30" s="10">
        <f>SUMIFS(df_extratos!I:I,df_extratos!F:F,"&gt;="&amp;Conciliacao!BE30,df_extratos!F:F,"&lt;"&amp;Conciliacao!BE30+1,df_extratos!G:G,"DEBITO")
+SUMIFS(df_extratos!I:I,df_extratos!F:F,"&gt;="&amp;Conciliacao!A30, df_extratos!F:F,"&lt;"&amp;Conciliacao!A30+1, df_extratos!G:G,"DEBITO")
+SUMIFS(df_extratos!I:I,df_extratos!F:F,"&gt;="&amp;Conciliacao!BF30,df_extratos!F:F,"&lt;"&amp;Conciliacao!BF30+1,df_extratos!G:G,"DEBITO")
+SUMIFS(df_extratos!I:I,df_extratos!F:F,"&gt;="&amp;Conciliacao!BG30,df_extratos!F:F,"&lt;"&amp;Conciliacao!BG30+1,df_extratos!G:G,"DEBITO")
+SUMIFS(df_extratos!I:I,df_extratos!F:F,"&gt;="&amp;Conciliacao!BH30,df_extratos!F:F,"&lt;"&amp;Conciliacao!BH30+1,df_extratos!G:G,"DEBITO")</f>
        <v/>
      </c>
      <c r="O30" s="11">
        <f>N30-SUM(J30:M30)</f>
        <v/>
      </c>
      <c r="P30" s="25">
        <f>SUMIFS(df_ajustes_conciliaco!D:D,df_ajustes_conciliaco!C:C,Conciliacao!A30)</f>
        <v/>
      </c>
      <c r="Q30" s="22">
        <f>O30+I30-P30</f>
        <v/>
      </c>
      <c r="BE30" s="20" t="n">
        <v>45686.5</v>
      </c>
      <c r="BF30" s="20" t="n">
        <v>45686.125</v>
      </c>
      <c r="BG30" s="20" t="n">
        <v>45686.54166666666</v>
      </c>
      <c r="BH30" s="20" t="n">
        <v>45686.625</v>
      </c>
    </row>
    <row r="31">
      <c r="A31" s="5">
        <f>A30+1</f>
        <v/>
      </c>
      <c r="B31" s="3">
        <f>-SUMIFS(df_extrato_zig!G:G,df_extrato_zig!E:E,Conciliacao!A31,df_extrato_zig!D:D,"Saque")-SUMIFS(df_extrato_zig!G:G,df_extrato_zig!E:E,Conciliacao!A31,df_extrato_zig!D:D,"Antecipação")</f>
        <v/>
      </c>
      <c r="C31" s="3">
        <f>SUMIFS(df_extrato_zig!E:E,df_extrato_zig!L:L,Conciliacao!A31,df_extrato_zig!F:F,"DINHEIRO")</f>
        <v/>
      </c>
      <c r="D31" s="3">
        <f>SUMIFS(view_parc_agrup!H:H,view_parc_agrup!G:G,Conciliacao!A31)</f>
        <v/>
      </c>
      <c r="E31" s="3">
        <f>SUMIFS(df_eventos!F:F,df_eventos!H:H,Conciliacao!A31)</f>
        <v/>
      </c>
      <c r="F31" s="3">
        <f>SUMIFS(df_mutuos!M:M,df_mutuos!B:B,Conciliacao!A31)</f>
        <v/>
      </c>
      <c r="G31" s="6">
        <f>SUMIFS(df_bloqueios_judiciais!G:G,df_bloqueios_judiciais!D:D,Conciliacao!A31,df_bloqueios_judiciais!G:G,"&gt;0")</f>
        <v/>
      </c>
      <c r="H31" s="7">
        <f>SUMIFS(df_extratos!I:I,df_extratos!F:F,"&gt;="&amp;Conciliacao!BE31,df_extratos!F:F,"&lt;"&amp;Conciliacao!BE31+1,df_extratos!G:G,"CREDITO")
+SUMIFS(df_extratos!I:I,df_extratos!F:F,"&gt;="&amp;Conciliacao!A31, df_extratos!F:F,"&lt;"&amp;Conciliacao!A31+1, df_extratos!G:G,"CREDITO")
+SUMIFS(df_extratos!I:I,df_extratos!F:F,"&gt;="&amp;Conciliacao!BF31,df_extratos!F:F,"&lt;"&amp;Conciliacao!BF31+1,df_extratos!G:G,"CREDITO")
+SUMIFS(df_extratos!I:I,df_extratos!F:F,"&gt;="&amp;Conciliacao!BG31,df_extratos!F:F,"&lt;"&amp;Conciliacao!BG31+1,df_extratos!G:G,"CREDITO")
+SUMIFS(df_extratos!I:I,df_extratos!F:F,"&gt;="&amp;Conciliacao!BH31,df_extratos!F:F,"&lt;"&amp;Conciliacao!BH31+1,df_extratos!G:G,"CREDITO")</f>
        <v/>
      </c>
      <c r="I31" s="9">
        <f>H31-SUM(B31:G31)</f>
        <v/>
      </c>
      <c r="J31" s="4">
        <f>SUMIFS(df_blueme_sem_parcelamento!E:E,df_blueme_sem_parcelamento!H:H,Conciliacao!A31)*(-1)</f>
        <v/>
      </c>
      <c r="K31" s="4">
        <f>SUMIFS(df_blueme_com_parcelamento!J:J,df_blueme_com_parcelamento!M:M,Conciliacao!A31)*(-1)</f>
        <v/>
      </c>
      <c r="L31" s="4">
        <f>SUMIFS(df_mutuos!N:N,df_mutuos!B:B,Conciliacao!A31)*(-1)</f>
        <v/>
      </c>
      <c r="M31" s="8">
        <f>SUMIFS(df_bloqueios_judiciais!E:E,df_bloqueios_judiciais!D:D,Conciliacao!A31,df_bloqueios_judiciais!E:E,"&lt;0")</f>
        <v/>
      </c>
      <c r="N31" s="10">
        <f>SUMIFS(df_extratos!I:I,df_extratos!F:F,"&gt;="&amp;Conciliacao!BE31,df_extratos!F:F,"&lt;"&amp;Conciliacao!BE31+1,df_extratos!G:G,"DEBITO")
+SUMIFS(df_extratos!I:I,df_extratos!F:F,"&gt;="&amp;Conciliacao!A31, df_extratos!F:F,"&lt;"&amp;Conciliacao!A31+1, df_extratos!G:G,"DEBITO")
+SUMIFS(df_extratos!I:I,df_extratos!F:F,"&gt;="&amp;Conciliacao!BF31,df_extratos!F:F,"&lt;"&amp;Conciliacao!BF31+1,df_extratos!G:G,"DEBITO")
+SUMIFS(df_extratos!I:I,df_extratos!F:F,"&gt;="&amp;Conciliacao!BG31,df_extratos!F:F,"&lt;"&amp;Conciliacao!BG31+1,df_extratos!G:G,"DEBITO")
+SUMIFS(df_extratos!I:I,df_extratos!F:F,"&gt;="&amp;Conciliacao!BH31,df_extratos!F:F,"&lt;"&amp;Conciliacao!BH31+1,df_extratos!G:G,"DEBITO")</f>
        <v/>
      </c>
      <c r="O31" s="11">
        <f>N31-SUM(J31:M31)</f>
        <v/>
      </c>
      <c r="P31" s="25">
        <f>SUMIFS(df_ajustes_conciliaco!D:D,df_ajustes_conciliaco!C:C,Conciliacao!A31)</f>
        <v/>
      </c>
      <c r="Q31" s="22">
        <f>O31+I31-P31</f>
        <v/>
      </c>
      <c r="BE31" s="20" t="n">
        <v>45687.5</v>
      </c>
      <c r="BF31" s="20" t="n">
        <v>45687.125</v>
      </c>
      <c r="BG31" s="20" t="n">
        <v>45687.54166666666</v>
      </c>
      <c r="BH31" s="20" t="n">
        <v>45687.625</v>
      </c>
    </row>
    <row r="32">
      <c r="A32" s="5">
        <f>A31+1</f>
        <v/>
      </c>
      <c r="B32" s="3">
        <f>-SUMIFS(df_extrato_zig!G:G,df_extrato_zig!E:E,Conciliacao!A32,df_extrato_zig!D:D,"Saque")-SUMIFS(df_extrato_zig!G:G,df_extrato_zig!E:E,Conciliacao!A32,df_extrato_zig!D:D,"Antecipação")</f>
        <v/>
      </c>
      <c r="C32" s="3">
        <f>SUMIFS(df_extrato_zig!E:E,df_extrato_zig!L:L,Conciliacao!A32,df_extrato_zig!F:F,"DINHEIRO")</f>
        <v/>
      </c>
      <c r="D32" s="3">
        <f>SUMIFS(view_parc_agrup!H:H,view_parc_agrup!G:G,Conciliacao!A32)</f>
        <v/>
      </c>
      <c r="E32" s="3">
        <f>SUMIFS(df_eventos!F:F,df_eventos!H:H,Conciliacao!A32)</f>
        <v/>
      </c>
      <c r="F32" s="3">
        <f>SUMIFS(df_mutuos!M:M,df_mutuos!B:B,Conciliacao!A32)</f>
        <v/>
      </c>
      <c r="G32" s="6">
        <f>SUMIFS(df_bloqueios_judiciais!G:G,df_bloqueios_judiciais!D:D,Conciliacao!A32,df_bloqueios_judiciais!G:G,"&gt;0")</f>
        <v/>
      </c>
      <c r="H32" s="7">
        <f>SUMIFS(df_extratos!I:I,df_extratos!F:F,"&gt;="&amp;Conciliacao!BE32,df_extratos!F:F,"&lt;"&amp;Conciliacao!BE32+1,df_extratos!G:G,"CREDITO")
+SUMIFS(df_extratos!I:I,df_extratos!F:F,"&gt;="&amp;Conciliacao!A32, df_extratos!F:F,"&lt;"&amp;Conciliacao!A32+1, df_extratos!G:G,"CREDITO")
+SUMIFS(df_extratos!I:I,df_extratos!F:F,"&gt;="&amp;Conciliacao!BF32,df_extratos!F:F,"&lt;"&amp;Conciliacao!BF32+1,df_extratos!G:G,"CREDITO")
+SUMIFS(df_extratos!I:I,df_extratos!F:F,"&gt;="&amp;Conciliacao!BG32,df_extratos!F:F,"&lt;"&amp;Conciliacao!BG32+1,df_extratos!G:G,"CREDITO")
+SUMIFS(df_extratos!I:I,df_extratos!F:F,"&gt;="&amp;Conciliacao!BH32,df_extratos!F:F,"&lt;"&amp;Conciliacao!BH32+1,df_extratos!G:G,"CREDITO")</f>
        <v/>
      </c>
      <c r="I32" s="9">
        <f>H32-SUM(B32:G32)</f>
        <v/>
      </c>
      <c r="J32" s="4">
        <f>SUMIFS(df_blueme_sem_parcelamento!E:E,df_blueme_sem_parcelamento!H:H,Conciliacao!A32)*(-1)</f>
        <v/>
      </c>
      <c r="K32" s="4">
        <f>SUMIFS(df_blueme_com_parcelamento!J:J,df_blueme_com_parcelamento!M:M,Conciliacao!A32)*(-1)</f>
        <v/>
      </c>
      <c r="L32" s="4">
        <f>SUMIFS(df_mutuos!N:N,df_mutuos!B:B,Conciliacao!A32)*(-1)</f>
        <v/>
      </c>
      <c r="M32" s="8">
        <f>SUMIFS(df_bloqueios_judiciais!E:E,df_bloqueios_judiciais!D:D,Conciliacao!A32,df_bloqueios_judiciais!E:E,"&lt;0")</f>
        <v/>
      </c>
      <c r="N32" s="10">
        <f>SUMIFS(df_extratos!I:I,df_extratos!F:F,"&gt;="&amp;Conciliacao!BE32,df_extratos!F:F,"&lt;"&amp;Conciliacao!BE32+1,df_extratos!G:G,"DEBITO")
+SUMIFS(df_extratos!I:I,df_extratos!F:F,"&gt;="&amp;Conciliacao!A32, df_extratos!F:F,"&lt;"&amp;Conciliacao!A32+1, df_extratos!G:G,"DEBITO")
+SUMIFS(df_extratos!I:I,df_extratos!F:F,"&gt;="&amp;Conciliacao!BF32,df_extratos!F:F,"&lt;"&amp;Conciliacao!BF32+1,df_extratos!G:G,"DEBITO")
+SUMIFS(df_extratos!I:I,df_extratos!F:F,"&gt;="&amp;Conciliacao!BG32,df_extratos!F:F,"&lt;"&amp;Conciliacao!BG32+1,df_extratos!G:G,"DEBITO")
+SUMIFS(df_extratos!I:I,df_extratos!F:F,"&gt;="&amp;Conciliacao!BH32,df_extratos!F:F,"&lt;"&amp;Conciliacao!BH32+1,df_extratos!G:G,"DEBITO")</f>
        <v/>
      </c>
      <c r="O32" s="11">
        <f>N32-SUM(J32:M32)</f>
        <v/>
      </c>
      <c r="P32" s="25">
        <f>SUMIFS(df_ajustes_conciliaco!D:D,df_ajustes_conciliaco!C:C,Conciliacao!A32)</f>
        <v/>
      </c>
      <c r="Q32" s="22">
        <f>O32+I32-P32</f>
        <v/>
      </c>
      <c r="BE32" s="20" t="n">
        <v>45688.5</v>
      </c>
      <c r="BF32" s="20" t="n">
        <v>45688.125</v>
      </c>
      <c r="BG32" s="20" t="n">
        <v>45688.54166666666</v>
      </c>
      <c r="BH32" s="20" t="n">
        <v>45688.625</v>
      </c>
    </row>
    <row r="33">
      <c r="A33" s="5">
        <f>A32+1</f>
        <v/>
      </c>
      <c r="B33" s="3">
        <f>-SUMIFS(df_extrato_zig!G:G,df_extrato_zig!E:E,Conciliacao!A33,df_extrato_zig!D:D,"Saque")-SUMIFS(df_extrato_zig!G:G,df_extrato_zig!E:E,Conciliacao!A33,df_extrato_zig!D:D,"Antecipação")</f>
        <v/>
      </c>
      <c r="C33" s="3">
        <f>SUMIFS(df_extrato_zig!E:E,df_extrato_zig!L:L,Conciliacao!A33,df_extrato_zig!F:F,"DINHEIRO")</f>
        <v/>
      </c>
      <c r="D33" s="3">
        <f>SUMIFS(view_parc_agrup!H:H,view_parc_agrup!G:G,Conciliacao!A33)</f>
        <v/>
      </c>
      <c r="E33" s="3">
        <f>SUMIFS(df_eventos!F:F,df_eventos!H:H,Conciliacao!A33)</f>
        <v/>
      </c>
      <c r="F33" s="3">
        <f>SUMIFS(df_mutuos!M:M,df_mutuos!B:B,Conciliacao!A33)</f>
        <v/>
      </c>
      <c r="G33" s="6">
        <f>SUMIFS(df_bloqueios_judiciais!G:G,df_bloqueios_judiciais!D:D,Conciliacao!A33,df_bloqueios_judiciais!G:G,"&gt;0")</f>
        <v/>
      </c>
      <c r="H33" s="7">
        <f>SUMIFS(df_extratos!I:I,df_extratos!F:F,"&gt;="&amp;Conciliacao!BE33,df_extratos!F:F,"&lt;"&amp;Conciliacao!BE33+1,df_extratos!G:G,"CREDITO")
+SUMIFS(df_extratos!I:I,df_extratos!F:F,"&gt;="&amp;Conciliacao!A33, df_extratos!F:F,"&lt;"&amp;Conciliacao!A33+1, df_extratos!G:G,"CREDITO")
+SUMIFS(df_extratos!I:I,df_extratos!F:F,"&gt;="&amp;Conciliacao!BF33,df_extratos!F:F,"&lt;"&amp;Conciliacao!BF33+1,df_extratos!G:G,"CREDITO")
+SUMIFS(df_extratos!I:I,df_extratos!F:F,"&gt;="&amp;Conciliacao!BG33,df_extratos!F:F,"&lt;"&amp;Conciliacao!BG33+1,df_extratos!G:G,"CREDITO")
+SUMIFS(df_extratos!I:I,df_extratos!F:F,"&gt;="&amp;Conciliacao!BH33,df_extratos!F:F,"&lt;"&amp;Conciliacao!BH33+1,df_extratos!G:G,"CREDITO")</f>
        <v/>
      </c>
      <c r="I33" s="9">
        <f>H33-SUM(B33:G33)</f>
        <v/>
      </c>
      <c r="J33" s="4">
        <f>SUMIFS(df_blueme_sem_parcelamento!E:E,df_blueme_sem_parcelamento!H:H,Conciliacao!A33)*(-1)</f>
        <v/>
      </c>
      <c r="K33" s="4">
        <f>SUMIFS(df_blueme_com_parcelamento!J:J,df_blueme_com_parcelamento!M:M,Conciliacao!A33)*(-1)</f>
        <v/>
      </c>
      <c r="L33" s="4">
        <f>SUMIFS(df_mutuos!N:N,df_mutuos!B:B,Conciliacao!A33)*(-1)</f>
        <v/>
      </c>
      <c r="M33" s="8">
        <f>SUMIFS(df_bloqueios_judiciais!E:E,df_bloqueios_judiciais!D:D,Conciliacao!A33,df_bloqueios_judiciais!E:E,"&lt;0")</f>
        <v/>
      </c>
      <c r="N33" s="10">
        <f>SUMIFS(df_extratos!I:I,df_extratos!F:F,"&gt;="&amp;Conciliacao!BE33,df_extratos!F:F,"&lt;"&amp;Conciliacao!BE33+1,df_extratos!G:G,"DEBITO")
+SUMIFS(df_extratos!I:I,df_extratos!F:F,"&gt;="&amp;Conciliacao!A33, df_extratos!F:F,"&lt;"&amp;Conciliacao!A33+1, df_extratos!G:G,"DEBITO")
+SUMIFS(df_extratos!I:I,df_extratos!F:F,"&gt;="&amp;Conciliacao!BF33,df_extratos!F:F,"&lt;"&amp;Conciliacao!BF33+1,df_extratos!G:G,"DEBITO")
+SUMIFS(df_extratos!I:I,df_extratos!F:F,"&gt;="&amp;Conciliacao!BG33,df_extratos!F:F,"&lt;"&amp;Conciliacao!BG33+1,df_extratos!G:G,"DEBITO")
+SUMIFS(df_extratos!I:I,df_extratos!F:F,"&gt;="&amp;Conciliacao!BH33,df_extratos!F:F,"&lt;"&amp;Conciliacao!BH33+1,df_extratos!G:G,"DEBITO")</f>
        <v/>
      </c>
      <c r="O33" s="11">
        <f>N33-SUM(J33:M33)</f>
        <v/>
      </c>
      <c r="P33" s="25">
        <f>SUMIFS(df_ajustes_conciliaco!D:D,df_ajustes_conciliaco!C:C,Conciliacao!A33)</f>
        <v/>
      </c>
      <c r="Q33" s="22">
        <f>O33+I33-P33</f>
        <v/>
      </c>
      <c r="BE33" s="20" t="n">
        <v>45689.5</v>
      </c>
      <c r="BF33" s="20" t="n">
        <v>45689.125</v>
      </c>
      <c r="BG33" s="20" t="n">
        <v>45689.54166666666</v>
      </c>
      <c r="BH33" s="20" t="n">
        <v>45689.625</v>
      </c>
    </row>
    <row r="34">
      <c r="A34" s="5">
        <f>A33+1</f>
        <v/>
      </c>
      <c r="B34" s="3">
        <f>-SUMIFS(df_extrato_zig!G:G,df_extrato_zig!E:E,Conciliacao!A34,df_extrato_zig!D:D,"Saque")-SUMIFS(df_extrato_zig!G:G,df_extrato_zig!E:E,Conciliacao!A34,df_extrato_zig!D:D,"Antecipação")</f>
        <v/>
      </c>
      <c r="C34" s="3">
        <f>SUMIFS(df_extrato_zig!E:E,df_extrato_zig!L:L,Conciliacao!A34,df_extrato_zig!F:F,"DINHEIRO")</f>
        <v/>
      </c>
      <c r="D34" s="3">
        <f>SUMIFS(view_parc_agrup!H:H,view_parc_agrup!G:G,Conciliacao!A34)</f>
        <v/>
      </c>
      <c r="E34" s="3">
        <f>SUMIFS(df_eventos!F:F,df_eventos!H:H,Conciliacao!A34)</f>
        <v/>
      </c>
      <c r="F34" s="3">
        <f>SUMIFS(df_mutuos!M:M,df_mutuos!B:B,Conciliacao!A34)</f>
        <v/>
      </c>
      <c r="G34" s="6">
        <f>SUMIFS(df_bloqueios_judiciais!G:G,df_bloqueios_judiciais!D:D,Conciliacao!A34,df_bloqueios_judiciais!G:G,"&gt;0")</f>
        <v/>
      </c>
      <c r="H34" s="7">
        <f>SUMIFS(df_extratos!I:I,df_extratos!F:F,"&gt;="&amp;Conciliacao!BE34,df_extratos!F:F,"&lt;"&amp;Conciliacao!BE34+1,df_extratos!G:G,"CREDITO")
+SUMIFS(df_extratos!I:I,df_extratos!F:F,"&gt;="&amp;Conciliacao!A34, df_extratos!F:F,"&lt;"&amp;Conciliacao!A34+1, df_extratos!G:G,"CREDITO")
+SUMIFS(df_extratos!I:I,df_extratos!F:F,"&gt;="&amp;Conciliacao!BF34,df_extratos!F:F,"&lt;"&amp;Conciliacao!BF34+1,df_extratos!G:G,"CREDITO")
+SUMIFS(df_extratos!I:I,df_extratos!F:F,"&gt;="&amp;Conciliacao!BG34,df_extratos!F:F,"&lt;"&amp;Conciliacao!BG34+1,df_extratos!G:G,"CREDITO")
+SUMIFS(df_extratos!I:I,df_extratos!F:F,"&gt;="&amp;Conciliacao!BH34,df_extratos!F:F,"&lt;"&amp;Conciliacao!BH34+1,df_extratos!G:G,"CREDITO")</f>
        <v/>
      </c>
      <c r="I34" s="9">
        <f>H34-SUM(B34:G34)</f>
        <v/>
      </c>
      <c r="J34" s="4">
        <f>SUMIFS(df_blueme_sem_parcelamento!E:E,df_blueme_sem_parcelamento!H:H,Conciliacao!A34)*(-1)</f>
        <v/>
      </c>
      <c r="K34" s="4">
        <f>SUMIFS(df_blueme_com_parcelamento!J:J,df_blueme_com_parcelamento!M:M,Conciliacao!A34)*(-1)</f>
        <v/>
      </c>
      <c r="L34" s="4">
        <f>SUMIFS(df_mutuos!N:N,df_mutuos!B:B,Conciliacao!A34)*(-1)</f>
        <v/>
      </c>
      <c r="M34" s="8">
        <f>SUMIFS(df_bloqueios_judiciais!E:E,df_bloqueios_judiciais!D:D,Conciliacao!A34,df_bloqueios_judiciais!E:E,"&lt;0")</f>
        <v/>
      </c>
      <c r="N34" s="10">
        <f>SUMIFS(df_extratos!I:I,df_extratos!F:F,"&gt;="&amp;Conciliacao!BE34,df_extratos!F:F,"&lt;"&amp;Conciliacao!BE34+1,df_extratos!G:G,"DEBITO")
+SUMIFS(df_extratos!I:I,df_extratos!F:F,"&gt;="&amp;Conciliacao!A34, df_extratos!F:F,"&lt;"&amp;Conciliacao!A34+1, df_extratos!G:G,"DEBITO")
+SUMIFS(df_extratos!I:I,df_extratos!F:F,"&gt;="&amp;Conciliacao!BF34,df_extratos!F:F,"&lt;"&amp;Conciliacao!BF34+1,df_extratos!G:G,"DEBITO")
+SUMIFS(df_extratos!I:I,df_extratos!F:F,"&gt;="&amp;Conciliacao!BG34,df_extratos!F:F,"&lt;"&amp;Conciliacao!BG34+1,df_extratos!G:G,"DEBITO")
+SUMIFS(df_extratos!I:I,df_extratos!F:F,"&gt;="&amp;Conciliacao!BH34,df_extratos!F:F,"&lt;"&amp;Conciliacao!BH34+1,df_extratos!G:G,"DEBITO")</f>
        <v/>
      </c>
      <c r="O34" s="11">
        <f>N34-SUM(J34:M34)</f>
        <v/>
      </c>
      <c r="P34" s="25">
        <f>SUMIFS(df_ajustes_conciliaco!D:D,df_ajustes_conciliaco!C:C,Conciliacao!A34)</f>
        <v/>
      </c>
      <c r="Q34" s="22">
        <f>O34+I34-P34</f>
        <v/>
      </c>
      <c r="BE34" s="20" t="n">
        <v>45690.5</v>
      </c>
      <c r="BF34" s="20" t="n">
        <v>45690.125</v>
      </c>
      <c r="BG34" s="20" t="n">
        <v>45690.54166666666</v>
      </c>
      <c r="BH34" s="20" t="n">
        <v>45690.625</v>
      </c>
    </row>
    <row r="35">
      <c r="A35" s="5">
        <f>A34+1</f>
        <v/>
      </c>
      <c r="B35" s="3">
        <f>-SUMIFS(df_extrato_zig!G:G,df_extrato_zig!E:E,Conciliacao!A35,df_extrato_zig!D:D,"Saque")-SUMIFS(df_extrato_zig!G:G,df_extrato_zig!E:E,Conciliacao!A35,df_extrato_zig!D:D,"Antecipação")</f>
        <v/>
      </c>
      <c r="C35" s="3">
        <f>SUMIFS(df_extrato_zig!E:E,df_extrato_zig!L:L,Conciliacao!A35,df_extrato_zig!F:F,"DINHEIRO")</f>
        <v/>
      </c>
      <c r="D35" s="3">
        <f>SUMIFS(view_parc_agrup!H:H,view_parc_agrup!G:G,Conciliacao!A35)</f>
        <v/>
      </c>
      <c r="E35" s="3">
        <f>SUMIFS(df_eventos!F:F,df_eventos!H:H,Conciliacao!A35)</f>
        <v/>
      </c>
      <c r="F35" s="3">
        <f>SUMIFS(df_mutuos!M:M,df_mutuos!B:B,Conciliacao!A35)</f>
        <v/>
      </c>
      <c r="G35" s="6">
        <f>SUMIFS(df_bloqueios_judiciais!G:G,df_bloqueios_judiciais!D:D,Conciliacao!A35,df_bloqueios_judiciais!G:G,"&gt;0")</f>
        <v/>
      </c>
      <c r="H35" s="7">
        <f>SUMIFS(df_extratos!I:I,df_extratos!F:F,"&gt;="&amp;Conciliacao!BE35,df_extratos!F:F,"&lt;"&amp;Conciliacao!BE35+1,df_extratos!G:G,"CREDITO")
+SUMIFS(df_extratos!I:I,df_extratos!F:F,"&gt;="&amp;Conciliacao!A35, df_extratos!F:F,"&lt;"&amp;Conciliacao!A35+1, df_extratos!G:G,"CREDITO")
+SUMIFS(df_extratos!I:I,df_extratos!F:F,"&gt;="&amp;Conciliacao!BF35,df_extratos!F:F,"&lt;"&amp;Conciliacao!BF35+1,df_extratos!G:G,"CREDITO")
+SUMIFS(df_extratos!I:I,df_extratos!F:F,"&gt;="&amp;Conciliacao!BG35,df_extratos!F:F,"&lt;"&amp;Conciliacao!BG35+1,df_extratos!G:G,"CREDITO")
+SUMIFS(df_extratos!I:I,df_extratos!F:F,"&gt;="&amp;Conciliacao!BH35,df_extratos!F:F,"&lt;"&amp;Conciliacao!BH35+1,df_extratos!G:G,"CREDITO")</f>
        <v/>
      </c>
      <c r="I35" s="9">
        <f>H35-SUM(B35:G35)</f>
        <v/>
      </c>
      <c r="J35" s="4">
        <f>SUMIFS(df_blueme_sem_parcelamento!E:E,df_blueme_sem_parcelamento!H:H,Conciliacao!A35)*(-1)</f>
        <v/>
      </c>
      <c r="K35" s="4">
        <f>SUMIFS(df_blueme_com_parcelamento!J:J,df_blueme_com_parcelamento!M:M,Conciliacao!A35)*(-1)</f>
        <v/>
      </c>
      <c r="L35" s="4">
        <f>SUMIFS(df_mutuos!N:N,df_mutuos!B:B,Conciliacao!A35)*(-1)</f>
        <v/>
      </c>
      <c r="M35" s="8">
        <f>SUMIFS(df_bloqueios_judiciais!G:G,df_bloqueios_judiciais!D:D,Conciliacao!A35,df_bloqueios_judiciais!G:G,"&lt;0")</f>
        <v/>
      </c>
      <c r="N35" s="10">
        <f>SUMIFS(df_extratos!I:I,df_extratos!F:F,"&gt;="&amp;Conciliacao!BE35,df_extratos!F:F,"&lt;"&amp;Conciliacao!BE35+1,df_extratos!G:G,"DEBITO")
+SUMIFS(df_extratos!I:I,df_extratos!F:F,"&gt;="&amp;Conciliacao!A35, df_extratos!F:F,"&lt;"&amp;Conciliacao!A35+1, df_extratos!G:G,"DEBITO")
+SUMIFS(df_extratos!I:I,df_extratos!F:F,"&gt;="&amp;Conciliacao!BF35,df_extratos!F:F,"&lt;"&amp;Conciliacao!BF35+1,df_extratos!G:G,"DEBITO")
+SUMIFS(df_extratos!I:I,df_extratos!F:F,"&gt;="&amp;Conciliacao!BG35,df_extratos!F:F,"&lt;"&amp;Conciliacao!BG35+1,df_extratos!G:G,"DEBITO")
+SUMIFS(df_extratos!I:I,df_extratos!F:F,"&gt;="&amp;Conciliacao!BH35,df_extratos!F:F,"&lt;"&amp;Conciliacao!BH35+1,df_extratos!G:G,"DEBITO")</f>
        <v/>
      </c>
      <c r="O35" s="11">
        <f>N35-SUM(J35:M35)</f>
        <v/>
      </c>
      <c r="P35" s="25">
        <f>SUMIFS(df_ajustes_conciliaco!D:D,df_ajustes_conciliaco!C:C,Conciliacao!A35)</f>
        <v/>
      </c>
      <c r="Q35" s="22">
        <f>O35+I35-P35</f>
        <v/>
      </c>
      <c r="BE35" s="20" t="n">
        <v>45691.5</v>
      </c>
      <c r="BF35" s="20" t="n">
        <v>45691.125</v>
      </c>
      <c r="BG35" s="20" t="n">
        <v>45691.54166666666</v>
      </c>
      <c r="BH35" s="20" t="n">
        <v>45691.625</v>
      </c>
    </row>
    <row r="36">
      <c r="A36" s="5">
        <f>A35+1</f>
        <v/>
      </c>
      <c r="B36" s="3">
        <f>-SUMIFS(df_extrato_zig!G:G,df_extrato_zig!E:E,Conciliacao!A36,df_extrato_zig!D:D,"Saque")-SUMIFS(df_extrato_zig!G:G,df_extrato_zig!E:E,Conciliacao!A36,df_extrato_zig!D:D,"Antecipação")</f>
        <v/>
      </c>
      <c r="C36" s="3">
        <f>SUMIFS(df_extrato_zig!E:E,df_extrato_zig!L:L,Conciliacao!A36,df_extrato_zig!F:F,"DINHEIRO")</f>
        <v/>
      </c>
      <c r="D36" s="3">
        <f>SUMIFS(view_parc_agrup!H:H,view_parc_agrup!G:G,Conciliacao!A36)</f>
        <v/>
      </c>
      <c r="E36" s="3">
        <f>SUMIFS(df_eventos!F:F,df_eventos!H:H,Conciliacao!A36)</f>
        <v/>
      </c>
      <c r="F36" s="3">
        <f>SUMIFS(df_mutuos!M:M,df_mutuos!B:B,Conciliacao!A36)</f>
        <v/>
      </c>
      <c r="G36" s="6">
        <f>SUMIFS(df_bloqueios_judiciais!G:G,df_bloqueios_judiciais!D:D,Conciliacao!A36,df_bloqueios_judiciais!G:G,"&gt;0")</f>
        <v/>
      </c>
      <c r="H36" s="7">
        <f>SUMIFS(df_extratos!I:I,df_extratos!F:F,"&gt;="&amp;Conciliacao!BE36,df_extratos!F:F,"&lt;"&amp;Conciliacao!BE36+1,df_extratos!G:G,"CREDITO")
+SUMIFS(df_extratos!I:I,df_extratos!F:F,"&gt;="&amp;Conciliacao!A36, df_extratos!F:F,"&lt;"&amp;Conciliacao!A36+1, df_extratos!G:G,"CREDITO")
+SUMIFS(df_extratos!I:I,df_extratos!F:F,"&gt;="&amp;Conciliacao!BF36,df_extratos!F:F,"&lt;"&amp;Conciliacao!BF36+1,df_extratos!G:G,"CREDITO")
+SUMIFS(df_extratos!I:I,df_extratos!F:F,"&gt;="&amp;Conciliacao!BG36,df_extratos!F:F,"&lt;"&amp;Conciliacao!BG36+1,df_extratos!G:G,"CREDITO")
+SUMIFS(df_extratos!I:I,df_extratos!F:F,"&gt;="&amp;Conciliacao!BH36,df_extratos!F:F,"&lt;"&amp;Conciliacao!BH36+1,df_extratos!G:G,"CREDITO")</f>
        <v/>
      </c>
      <c r="I36" s="9">
        <f>H36-SUM(B36:G36)</f>
        <v/>
      </c>
      <c r="J36" s="4">
        <f>SUMIFS(df_blueme_sem_parcelamento!E:E,df_blueme_sem_parcelamento!H:H,Conciliacao!A36)*(-1)</f>
        <v/>
      </c>
      <c r="K36" s="4">
        <f>SUMIFS(df_blueme_com_parcelamento!J:J,df_blueme_com_parcelamento!M:M,Conciliacao!A36)*(-1)</f>
        <v/>
      </c>
      <c r="L36" s="4">
        <f>SUMIFS(df_mutuos!N:N,df_mutuos!B:B,Conciliacao!A36)*(-1)</f>
        <v/>
      </c>
      <c r="M36" s="8">
        <f>SUMIFS(df_bloqueios_judiciais!G:G,df_bloqueios_judiciais!D:D,Conciliacao!A36,df_bloqueios_judiciais!G:G,"&lt;0")</f>
        <v/>
      </c>
      <c r="N36" s="10">
        <f>SUMIFS(df_extratos!I:I,df_extratos!F:F,"&gt;="&amp;Conciliacao!BE36,df_extratos!F:F,"&lt;"&amp;Conciliacao!BE36+1,df_extratos!G:G,"DEBITO")
+SUMIFS(df_extratos!I:I,df_extratos!F:F,"&gt;="&amp;Conciliacao!A36, df_extratos!F:F,"&lt;"&amp;Conciliacao!A36+1, df_extratos!G:G,"DEBITO")
+SUMIFS(df_extratos!I:I,df_extratos!F:F,"&gt;="&amp;Conciliacao!BF36,df_extratos!F:F,"&lt;"&amp;Conciliacao!BF36+1,df_extratos!G:G,"DEBITO")
+SUMIFS(df_extratos!I:I,df_extratos!F:F,"&gt;="&amp;Conciliacao!BG36,df_extratos!F:F,"&lt;"&amp;Conciliacao!BG36+1,df_extratos!G:G,"DEBITO")
+SUMIFS(df_extratos!I:I,df_extratos!F:F,"&gt;="&amp;Conciliacao!BH36,df_extratos!F:F,"&lt;"&amp;Conciliacao!BH36+1,df_extratos!G:G,"DEBITO")</f>
        <v/>
      </c>
      <c r="O36" s="11">
        <f>N36-SUM(J36:M36)</f>
        <v/>
      </c>
      <c r="P36" s="25">
        <f>SUMIFS(df_ajustes_conciliaco!D:D,df_ajustes_conciliaco!C:C,Conciliacao!A36)</f>
        <v/>
      </c>
      <c r="Q36" s="22">
        <f>O36+I36-P36</f>
        <v/>
      </c>
      <c r="BE36" s="20" t="n">
        <v>45692.5</v>
      </c>
      <c r="BF36" s="20" t="n">
        <v>45692.125</v>
      </c>
      <c r="BG36" s="20" t="n">
        <v>45692.54166666666</v>
      </c>
      <c r="BH36" s="20" t="n">
        <v>45692.625</v>
      </c>
    </row>
    <row r="37">
      <c r="A37" s="5">
        <f>A36+1</f>
        <v/>
      </c>
      <c r="B37" s="3">
        <f>-SUMIFS(df_extrato_zig!G:G,df_extrato_zig!E:E,Conciliacao!A37,df_extrato_zig!D:D,"Saque")-SUMIFS(df_extrato_zig!G:G,df_extrato_zig!E:E,Conciliacao!A37,df_extrato_zig!D:D,"Antecipação")</f>
        <v/>
      </c>
      <c r="C37" s="3">
        <f>SUMIFS(df_extrato_zig!E:E,df_extrato_zig!L:L,Conciliacao!A37,df_extrato_zig!F:F,"DINHEIRO")</f>
        <v/>
      </c>
      <c r="D37" s="3">
        <f>SUMIFS(view_parc_agrup!H:H,view_parc_agrup!G:G,Conciliacao!A37)</f>
        <v/>
      </c>
      <c r="E37" s="3">
        <f>SUMIFS(df_eventos!F:F,df_eventos!H:H,Conciliacao!A37)</f>
        <v/>
      </c>
      <c r="F37" s="3">
        <f>SUMIFS(df_mutuos!M:M,df_mutuos!B:B,Conciliacao!A37)</f>
        <v/>
      </c>
      <c r="G37" s="6">
        <f>SUMIFS(df_bloqueios_judiciais!G:G,df_bloqueios_judiciais!D:D,Conciliacao!A37,df_bloqueios_judiciais!G:G,"&gt;0")</f>
        <v/>
      </c>
      <c r="H37" s="7">
        <f>SUMIFS(df_extratos!I:I,df_extratos!F:F,"&gt;="&amp;Conciliacao!BE37,df_extratos!F:F,"&lt;"&amp;Conciliacao!BE37+1,df_extratos!G:G,"CREDITO")
+SUMIFS(df_extratos!I:I,df_extratos!F:F,"&gt;="&amp;Conciliacao!A37, df_extratos!F:F,"&lt;"&amp;Conciliacao!A37+1, df_extratos!G:G,"CREDITO")
+SUMIFS(df_extratos!I:I,df_extratos!F:F,"&gt;="&amp;Conciliacao!BF37,df_extratos!F:F,"&lt;"&amp;Conciliacao!BF37+1,df_extratos!G:G,"CREDITO")
+SUMIFS(df_extratos!I:I,df_extratos!F:F,"&gt;="&amp;Conciliacao!BG37,df_extratos!F:F,"&lt;"&amp;Conciliacao!BG37+1,df_extratos!G:G,"CREDITO")
+SUMIFS(df_extratos!I:I,df_extratos!F:F,"&gt;="&amp;Conciliacao!BH37,df_extratos!F:F,"&lt;"&amp;Conciliacao!BH37+1,df_extratos!G:G,"CREDITO")</f>
        <v/>
      </c>
      <c r="I37" s="9">
        <f>H37-SUM(B37:G37)</f>
        <v/>
      </c>
      <c r="J37" s="4">
        <f>SUMIFS(df_blueme_sem_parcelamento!E:E,df_blueme_sem_parcelamento!H:H,Conciliacao!A37)*(-1)</f>
        <v/>
      </c>
      <c r="K37" s="4">
        <f>SUMIFS(df_blueme_com_parcelamento!J:J,df_blueme_com_parcelamento!M:M,Conciliacao!A37)*(-1)</f>
        <v/>
      </c>
      <c r="L37" s="4">
        <f>SUMIFS(df_mutuos!N:N,df_mutuos!B:B,Conciliacao!A37)*(-1)</f>
        <v/>
      </c>
      <c r="M37" s="8">
        <f>SUMIFS(df_bloqueios_judiciais!G:G,df_bloqueios_judiciais!D:D,Conciliacao!A37,df_bloqueios_judiciais!G:G,"&lt;0")</f>
        <v/>
      </c>
      <c r="N37" s="10">
        <f>SUMIFS(df_extratos!I:I,df_extratos!F:F,"&gt;="&amp;Conciliacao!BE37,df_extratos!F:F,"&lt;"&amp;Conciliacao!BE37+1,df_extratos!G:G,"DEBITO")
+SUMIFS(df_extratos!I:I,df_extratos!F:F,"&gt;="&amp;Conciliacao!A37, df_extratos!F:F,"&lt;"&amp;Conciliacao!A37+1, df_extratos!G:G,"DEBITO")
+SUMIFS(df_extratos!I:I,df_extratos!F:F,"&gt;="&amp;Conciliacao!BF37,df_extratos!F:F,"&lt;"&amp;Conciliacao!BF37+1,df_extratos!G:G,"DEBITO")
+SUMIFS(df_extratos!I:I,df_extratos!F:F,"&gt;="&amp;Conciliacao!BG37,df_extratos!F:F,"&lt;"&amp;Conciliacao!BG37+1,df_extratos!G:G,"DEBITO")
+SUMIFS(df_extratos!I:I,df_extratos!F:F,"&gt;="&amp;Conciliacao!BH37,df_extratos!F:F,"&lt;"&amp;Conciliacao!BH37+1,df_extratos!G:G,"DEBITO")</f>
        <v/>
      </c>
      <c r="O37" s="11">
        <f>N37-SUM(J37:M37)</f>
        <v/>
      </c>
      <c r="P37" s="25">
        <f>SUMIFS(df_ajustes_conciliaco!D:D,df_ajustes_conciliaco!C:C,Conciliacao!A37)</f>
        <v/>
      </c>
      <c r="Q37" s="22">
        <f>O37+I37-P37</f>
        <v/>
      </c>
      <c r="BE37" s="20" t="n">
        <v>45693.5</v>
      </c>
      <c r="BF37" s="20" t="n">
        <v>45693.125</v>
      </c>
      <c r="BG37" s="20" t="n">
        <v>45693.54166666666</v>
      </c>
      <c r="BH37" s="20" t="n">
        <v>45693.625</v>
      </c>
    </row>
    <row r="38">
      <c r="A38" s="5">
        <f>A37+1</f>
        <v/>
      </c>
      <c r="B38" s="3">
        <f>-SUMIFS(df_extrato_zig!G:G,df_extrato_zig!E:E,Conciliacao!A38,df_extrato_zig!D:D,"Saque")-SUMIFS(df_extrato_zig!G:G,df_extrato_zig!E:E,Conciliacao!A38,df_extrato_zig!D:D,"Antecipação")</f>
        <v/>
      </c>
      <c r="C38" s="3">
        <f>SUMIFS(df_extrato_zig!E:E,df_extrato_zig!L:L,Conciliacao!A38,df_extrato_zig!F:F,"DINHEIRO")</f>
        <v/>
      </c>
      <c r="D38" s="3">
        <f>SUMIFS(view_parc_agrup!H:H,view_parc_agrup!G:G,Conciliacao!A38)</f>
        <v/>
      </c>
      <c r="E38" s="3">
        <f>SUMIFS(df_eventos!F:F,df_eventos!H:H,Conciliacao!A38)</f>
        <v/>
      </c>
      <c r="F38" s="3">
        <f>SUMIFS(df_mutuos!M:M,df_mutuos!B:B,Conciliacao!A38)</f>
        <v/>
      </c>
      <c r="G38" s="6">
        <f>SUMIFS(df_bloqueios_judiciais!G:G,df_bloqueios_judiciais!D:D,Conciliacao!A38,df_bloqueios_judiciais!G:G,"&gt;0")</f>
        <v/>
      </c>
      <c r="H38" s="7">
        <f>SUMIFS(df_extratos!I:I,df_extratos!F:F,"&gt;="&amp;Conciliacao!BE38,df_extratos!F:F,"&lt;"&amp;Conciliacao!BE38+1,df_extratos!G:G,"CREDITO")
+SUMIFS(df_extratos!I:I,df_extratos!F:F,"&gt;="&amp;Conciliacao!A38, df_extratos!F:F,"&lt;"&amp;Conciliacao!A38+1, df_extratos!G:G,"CREDITO")
+SUMIFS(df_extratos!I:I,df_extratos!F:F,"&gt;="&amp;Conciliacao!BF38,df_extratos!F:F,"&lt;"&amp;Conciliacao!BF38+1,df_extratos!G:G,"CREDITO")
+SUMIFS(df_extratos!I:I,df_extratos!F:F,"&gt;="&amp;Conciliacao!BG38,df_extratos!F:F,"&lt;"&amp;Conciliacao!BG38+1,df_extratos!G:G,"CREDITO")
+SUMIFS(df_extratos!I:I,df_extratos!F:F,"&gt;="&amp;Conciliacao!BH38,df_extratos!F:F,"&lt;"&amp;Conciliacao!BH38+1,df_extratos!G:G,"CREDITO")</f>
        <v/>
      </c>
      <c r="I38" s="9">
        <f>H38-SUM(B38:G38)</f>
        <v/>
      </c>
      <c r="J38" s="4">
        <f>SUMIFS(df_blueme_sem_parcelamento!E:E,df_blueme_sem_parcelamento!H:H,Conciliacao!A38)*(-1)</f>
        <v/>
      </c>
      <c r="K38" s="4">
        <f>SUMIFS(df_blueme_com_parcelamento!J:J,df_blueme_com_parcelamento!M:M,Conciliacao!A38)*(-1)</f>
        <v/>
      </c>
      <c r="L38" s="4">
        <f>SUMIFS(df_mutuos!N:N,df_mutuos!B:B,Conciliacao!A38)*(-1)</f>
        <v/>
      </c>
      <c r="M38" s="8">
        <f>SUMIFS(df_bloqueios_judiciais!G:G,df_bloqueios_judiciais!D:D,Conciliacao!A38,df_bloqueios_judiciais!G:G,"&lt;0")</f>
        <v/>
      </c>
      <c r="N38" s="10">
        <f>SUMIFS(df_extratos!I:I,df_extratos!F:F,"&gt;="&amp;Conciliacao!BE38,df_extratos!F:F,"&lt;"&amp;Conciliacao!BE38+1,df_extratos!G:G,"DEBITO")
+SUMIFS(df_extratos!I:I,df_extratos!F:F,"&gt;="&amp;Conciliacao!A38, df_extratos!F:F,"&lt;"&amp;Conciliacao!A38+1, df_extratos!G:G,"DEBITO")
+SUMIFS(df_extratos!I:I,df_extratos!F:F,"&gt;="&amp;Conciliacao!BF38,df_extratos!F:F,"&lt;"&amp;Conciliacao!BF38+1,df_extratos!G:G,"DEBITO")
+SUMIFS(df_extratos!I:I,df_extratos!F:F,"&gt;="&amp;Conciliacao!BG38,df_extratos!F:F,"&lt;"&amp;Conciliacao!BG38+1,df_extratos!G:G,"DEBITO")
+SUMIFS(df_extratos!I:I,df_extratos!F:F,"&gt;="&amp;Conciliacao!BH38,df_extratos!F:F,"&lt;"&amp;Conciliacao!BH38+1,df_extratos!G:G,"DEBITO")</f>
        <v/>
      </c>
      <c r="O38" s="11">
        <f>N38-SUM(J38:M38)</f>
        <v/>
      </c>
      <c r="P38" s="25">
        <f>SUMIFS(df_ajustes_conciliaco!D:D,df_ajustes_conciliaco!C:C,Conciliacao!A38)</f>
        <v/>
      </c>
      <c r="Q38" s="22">
        <f>O38+I38-P38</f>
        <v/>
      </c>
      <c r="BE38" s="20" t="n">
        <v>45694.5</v>
      </c>
      <c r="BF38" s="20" t="n">
        <v>45694.125</v>
      </c>
      <c r="BG38" s="20" t="n">
        <v>45694.54166666666</v>
      </c>
      <c r="BH38" s="20" t="n">
        <v>45694.625</v>
      </c>
    </row>
    <row r="39">
      <c r="A39" s="5">
        <f>A38+1</f>
        <v/>
      </c>
      <c r="B39" s="3">
        <f>-SUMIFS(df_extrato_zig!G:G,df_extrato_zig!E:E,Conciliacao!A39,df_extrato_zig!D:D,"Saque")-SUMIFS(df_extrato_zig!G:G,df_extrato_zig!E:E,Conciliacao!A39,df_extrato_zig!D:D,"Antecipação")</f>
        <v/>
      </c>
      <c r="C39" s="3">
        <f>SUMIFS(df_extrato_zig!E:E,df_extrato_zig!L:L,Conciliacao!A39,df_extrato_zig!F:F,"DINHEIRO")</f>
        <v/>
      </c>
      <c r="D39" s="3">
        <f>SUMIFS(view_parc_agrup!H:H,view_parc_agrup!G:G,Conciliacao!A39)</f>
        <v/>
      </c>
      <c r="E39" s="3">
        <f>SUMIFS(df_eventos!F:F,df_eventos!H:H,Conciliacao!A39)</f>
        <v/>
      </c>
      <c r="F39" s="3">
        <f>SUMIFS(df_mutuos!M:M,df_mutuos!B:B,Conciliacao!A39)</f>
        <v/>
      </c>
      <c r="G39" s="6">
        <f>SUMIFS(df_bloqueios_judiciais!G:G,df_bloqueios_judiciais!D:D,Conciliacao!A39,df_bloqueios_judiciais!G:G,"&gt;0")</f>
        <v/>
      </c>
      <c r="H39" s="7">
        <f>SUMIFS(df_extratos!I:I,df_extratos!F:F,"&gt;="&amp;Conciliacao!BE39,df_extratos!F:F,"&lt;"&amp;Conciliacao!BE39+1,df_extratos!G:G,"CREDITO")
+SUMIFS(df_extratos!I:I,df_extratos!F:F,"&gt;="&amp;Conciliacao!A39, df_extratos!F:F,"&lt;"&amp;Conciliacao!A39+1, df_extratos!G:G,"CREDITO")
+SUMIFS(df_extratos!I:I,df_extratos!F:F,"&gt;="&amp;Conciliacao!BF39,df_extratos!F:F,"&lt;"&amp;Conciliacao!BF39+1,df_extratos!G:G,"CREDITO")
+SUMIFS(df_extratos!I:I,df_extratos!F:F,"&gt;="&amp;Conciliacao!BG39,df_extratos!F:F,"&lt;"&amp;Conciliacao!BG39+1,df_extratos!G:G,"CREDITO")
+SUMIFS(df_extratos!I:I,df_extratos!F:F,"&gt;="&amp;Conciliacao!BH39,df_extratos!F:F,"&lt;"&amp;Conciliacao!BH39+1,df_extratos!G:G,"CREDITO")</f>
        <v/>
      </c>
      <c r="I39" s="9">
        <f>H39-SUM(B39:G39)</f>
        <v/>
      </c>
      <c r="J39" s="4">
        <f>SUMIFS(df_blueme_sem_parcelamento!E:E,df_blueme_sem_parcelamento!H:H,Conciliacao!A39)*(-1)</f>
        <v/>
      </c>
      <c r="K39" s="4">
        <f>SUMIFS(df_blueme_com_parcelamento!J:J,df_blueme_com_parcelamento!M:M,Conciliacao!A39)*(-1)</f>
        <v/>
      </c>
      <c r="L39" s="4">
        <f>SUMIFS(df_mutuos!N:N,df_mutuos!B:B,Conciliacao!A39)*(-1)</f>
        <v/>
      </c>
      <c r="M39" s="8">
        <f>SUMIFS(df_bloqueios_judiciais!G:G,df_bloqueios_judiciais!D:D,Conciliacao!A39,df_bloqueios_judiciais!G:G,"&lt;0")</f>
        <v/>
      </c>
      <c r="N39" s="10">
        <f>SUMIFS(df_extratos!I:I,df_extratos!F:F,"&gt;="&amp;Conciliacao!BE39,df_extratos!F:F,"&lt;"&amp;Conciliacao!BE39+1,df_extratos!G:G,"DEBITO")
+SUMIFS(df_extratos!I:I,df_extratos!F:F,"&gt;="&amp;Conciliacao!A39, df_extratos!F:F,"&lt;"&amp;Conciliacao!A39+1, df_extratos!G:G,"DEBITO")
+SUMIFS(df_extratos!I:I,df_extratos!F:F,"&gt;="&amp;Conciliacao!BF39,df_extratos!F:F,"&lt;"&amp;Conciliacao!BF39+1,df_extratos!G:G,"DEBITO")
+SUMIFS(df_extratos!I:I,df_extratos!F:F,"&gt;="&amp;Conciliacao!BG39,df_extratos!F:F,"&lt;"&amp;Conciliacao!BG39+1,df_extratos!G:G,"DEBITO")
+SUMIFS(df_extratos!I:I,df_extratos!F:F,"&gt;="&amp;Conciliacao!BH39,df_extratos!F:F,"&lt;"&amp;Conciliacao!BH39+1,df_extratos!G:G,"DEBITO")</f>
        <v/>
      </c>
      <c r="O39" s="11">
        <f>N39-SUM(J39:M39)</f>
        <v/>
      </c>
      <c r="P39" s="25">
        <f>SUMIFS(df_ajustes_conciliaco!D:D,df_ajustes_conciliaco!C:C,Conciliacao!A39)</f>
        <v/>
      </c>
      <c r="Q39" s="22">
        <f>O39+I39-P39</f>
        <v/>
      </c>
      <c r="BE39" s="20" t="n">
        <v>45695.5</v>
      </c>
      <c r="BF39" s="20" t="n">
        <v>45695.125</v>
      </c>
      <c r="BG39" s="20" t="n">
        <v>45695.54166666666</v>
      </c>
      <c r="BH39" s="20" t="n">
        <v>45695.625</v>
      </c>
    </row>
    <row r="40">
      <c r="A40" s="5">
        <f>A39+1</f>
        <v/>
      </c>
      <c r="B40" s="3">
        <f>-SUMIFS(df_extrato_zig!G:G,df_extrato_zig!E:E,Conciliacao!A40,df_extrato_zig!D:D,"Saque")-SUMIFS(df_extrato_zig!G:G,df_extrato_zig!E:E,Conciliacao!A40,df_extrato_zig!D:D,"Antecipação")</f>
        <v/>
      </c>
      <c r="C40" s="3">
        <f>SUMIFS(df_extrato_zig!E:E,df_extrato_zig!L:L,Conciliacao!A40,df_extrato_zig!F:F,"DINHEIRO")</f>
        <v/>
      </c>
      <c r="D40" s="3">
        <f>SUMIFS(view_parc_agrup!H:H,view_parc_agrup!G:G,Conciliacao!A40)</f>
        <v/>
      </c>
      <c r="E40" s="3">
        <f>SUMIFS(df_eventos!F:F,df_eventos!H:H,Conciliacao!A40)</f>
        <v/>
      </c>
      <c r="F40" s="3">
        <f>SUMIFS(df_mutuos!M:M,df_mutuos!B:B,Conciliacao!A40)</f>
        <v/>
      </c>
      <c r="G40" s="6">
        <f>SUMIFS(df_bloqueios_judiciais!G:G,df_bloqueios_judiciais!D:D,Conciliacao!A40,df_bloqueios_judiciais!G:G,"&gt;0")</f>
        <v/>
      </c>
      <c r="H40" s="7">
        <f>SUMIFS(df_extratos!I:I,df_extratos!F:F,"&gt;="&amp;Conciliacao!BE40,df_extratos!F:F,"&lt;"&amp;Conciliacao!BE40+1,df_extratos!G:G,"CREDITO")
+SUMIFS(df_extratos!I:I,df_extratos!F:F,"&gt;="&amp;Conciliacao!A40, df_extratos!F:F,"&lt;"&amp;Conciliacao!A40+1, df_extratos!G:G,"CREDITO")
+SUMIFS(df_extratos!I:I,df_extratos!F:F,"&gt;="&amp;Conciliacao!BF40,df_extratos!F:F,"&lt;"&amp;Conciliacao!BF40+1,df_extratos!G:G,"CREDITO")
+SUMIFS(df_extratos!I:I,df_extratos!F:F,"&gt;="&amp;Conciliacao!BG40,df_extratos!F:F,"&lt;"&amp;Conciliacao!BG40+1,df_extratos!G:G,"CREDITO")
+SUMIFS(df_extratos!I:I,df_extratos!F:F,"&gt;="&amp;Conciliacao!BH40,df_extratos!F:F,"&lt;"&amp;Conciliacao!BH40+1,df_extratos!G:G,"CREDITO")</f>
        <v/>
      </c>
      <c r="I40" s="9">
        <f>H40-SUM(B40:G40)</f>
        <v/>
      </c>
      <c r="J40" s="4">
        <f>SUMIFS(df_blueme_sem_parcelamento!E:E,df_blueme_sem_parcelamento!H:H,Conciliacao!A40)*(-1)</f>
        <v/>
      </c>
      <c r="K40" s="4">
        <f>SUMIFS(df_blueme_com_parcelamento!J:J,df_blueme_com_parcelamento!M:M,Conciliacao!A40)*(-1)</f>
        <v/>
      </c>
      <c r="L40" s="4">
        <f>SUMIFS(df_mutuos!N:N,df_mutuos!B:B,Conciliacao!A40)*(-1)</f>
        <v/>
      </c>
      <c r="M40" s="8">
        <f>SUMIFS(df_bloqueios_judiciais!G:G,df_bloqueios_judiciais!D:D,Conciliacao!A40,df_bloqueios_judiciais!G:G,"&lt;0")</f>
        <v/>
      </c>
      <c r="N40" s="10">
        <f>SUMIFS(df_extratos!I:I,df_extratos!F:F,"&gt;="&amp;Conciliacao!BE40,df_extratos!F:F,"&lt;"&amp;Conciliacao!BE40+1,df_extratos!G:G,"DEBITO")
+SUMIFS(df_extratos!I:I,df_extratos!F:F,"&gt;="&amp;Conciliacao!A40, df_extratos!F:F,"&lt;"&amp;Conciliacao!A40+1, df_extratos!G:G,"DEBITO")
+SUMIFS(df_extratos!I:I,df_extratos!F:F,"&gt;="&amp;Conciliacao!BF40,df_extratos!F:F,"&lt;"&amp;Conciliacao!BF40+1,df_extratos!G:G,"DEBITO")
+SUMIFS(df_extratos!I:I,df_extratos!F:F,"&gt;="&amp;Conciliacao!BG40,df_extratos!F:F,"&lt;"&amp;Conciliacao!BG40+1,df_extratos!G:G,"DEBITO")
+SUMIFS(df_extratos!I:I,df_extratos!F:F,"&gt;="&amp;Conciliacao!BH40,df_extratos!F:F,"&lt;"&amp;Conciliacao!BH40+1,df_extratos!G:G,"DEBITO")</f>
        <v/>
      </c>
      <c r="O40" s="11">
        <f>N40-SUM(J40:M40)</f>
        <v/>
      </c>
      <c r="P40" s="25">
        <f>SUMIFS(df_ajustes_conciliaco!D:D,df_ajustes_conciliaco!C:C,Conciliacao!A40)</f>
        <v/>
      </c>
      <c r="Q40" s="22">
        <f>O40+I40-P40</f>
        <v/>
      </c>
      <c r="BE40" s="20" t="n">
        <v>45696.5</v>
      </c>
      <c r="BF40" s="20" t="n">
        <v>45696.125</v>
      </c>
      <c r="BG40" s="20" t="n">
        <v>45696.54166666666</v>
      </c>
      <c r="BH40" s="20" t="n">
        <v>45696.625</v>
      </c>
    </row>
    <row r="41">
      <c r="A41" s="5">
        <f>A40+1</f>
        <v/>
      </c>
      <c r="B41" s="3">
        <f>-SUMIFS(df_extrato_zig!G:G,df_extrato_zig!E:E,Conciliacao!A41,df_extrato_zig!D:D,"Saque")-SUMIFS(df_extrato_zig!G:G,df_extrato_zig!E:E,Conciliacao!A41,df_extrato_zig!D:D,"Antecipação")</f>
        <v/>
      </c>
      <c r="C41" s="3">
        <f>SUMIFS(df_extrato_zig!E:E,df_extrato_zig!L:L,Conciliacao!A41,df_extrato_zig!F:F,"DINHEIRO")</f>
        <v/>
      </c>
      <c r="D41" s="3">
        <f>SUMIFS(view_parc_agrup!H:H,view_parc_agrup!G:G,Conciliacao!A41)</f>
        <v/>
      </c>
      <c r="E41" s="3">
        <f>SUMIFS(df_eventos!F:F,df_eventos!H:H,Conciliacao!A41)</f>
        <v/>
      </c>
      <c r="F41" s="3">
        <f>SUMIFS(df_mutuos!M:M,df_mutuos!B:B,Conciliacao!A41)</f>
        <v/>
      </c>
      <c r="G41" s="6">
        <f>SUMIFS(df_bloqueios_judiciais!G:G,df_bloqueios_judiciais!D:D,Conciliacao!A41,df_bloqueios_judiciais!G:G,"&gt;0")</f>
        <v/>
      </c>
      <c r="H41" s="7">
        <f>SUMIFS(df_extratos!I:I,df_extratos!F:F,"&gt;="&amp;Conciliacao!BE41,df_extratos!F:F,"&lt;"&amp;Conciliacao!BE41+1,df_extratos!G:G,"CREDITO")
+SUMIFS(df_extratos!I:I,df_extratos!F:F,"&gt;="&amp;Conciliacao!A41, df_extratos!F:F,"&lt;"&amp;Conciliacao!A41+1, df_extratos!G:G,"CREDITO")
+SUMIFS(df_extratos!I:I,df_extratos!F:F,"&gt;="&amp;Conciliacao!BF41,df_extratos!F:F,"&lt;"&amp;Conciliacao!BF41+1,df_extratos!G:G,"CREDITO")
+SUMIFS(df_extratos!I:I,df_extratos!F:F,"&gt;="&amp;Conciliacao!BG41,df_extratos!F:F,"&lt;"&amp;Conciliacao!BG41+1,df_extratos!G:G,"CREDITO")
+SUMIFS(df_extratos!I:I,df_extratos!F:F,"&gt;="&amp;Conciliacao!BH41,df_extratos!F:F,"&lt;"&amp;Conciliacao!BH41+1,df_extratos!G:G,"CREDITO")</f>
        <v/>
      </c>
      <c r="I41" s="9">
        <f>H41-SUM(B41:G41)</f>
        <v/>
      </c>
      <c r="J41" s="4">
        <f>SUMIFS(df_blueme_sem_parcelamento!E:E,df_blueme_sem_parcelamento!H:H,Conciliacao!A41)*(-1)</f>
        <v/>
      </c>
      <c r="K41" s="4">
        <f>SUMIFS(df_blueme_com_parcelamento!J:J,df_blueme_com_parcelamento!M:M,Conciliacao!A41)*(-1)</f>
        <v/>
      </c>
      <c r="L41" s="4">
        <f>SUMIFS(df_mutuos!N:N,df_mutuos!B:B,Conciliacao!A41)*(-1)</f>
        <v/>
      </c>
      <c r="M41" s="8">
        <f>SUMIFS(df_bloqueios_judiciais!G:G,df_bloqueios_judiciais!D:D,Conciliacao!A41,df_bloqueios_judiciais!G:G,"&lt;0")</f>
        <v/>
      </c>
      <c r="N41" s="10">
        <f>SUMIFS(df_extratos!I:I,df_extratos!F:F,"&gt;="&amp;Conciliacao!BE41,df_extratos!F:F,"&lt;"&amp;Conciliacao!BE41+1,df_extratos!G:G,"DEBITO")
+SUMIFS(df_extratos!I:I,df_extratos!F:F,"&gt;="&amp;Conciliacao!A41, df_extratos!F:F,"&lt;"&amp;Conciliacao!A41+1, df_extratos!G:G,"DEBITO")
+SUMIFS(df_extratos!I:I,df_extratos!F:F,"&gt;="&amp;Conciliacao!BF41,df_extratos!F:F,"&lt;"&amp;Conciliacao!BF41+1,df_extratos!G:G,"DEBITO")
+SUMIFS(df_extratos!I:I,df_extratos!F:F,"&gt;="&amp;Conciliacao!BG41,df_extratos!F:F,"&lt;"&amp;Conciliacao!BG41+1,df_extratos!G:G,"DEBITO")
+SUMIFS(df_extratos!I:I,df_extratos!F:F,"&gt;="&amp;Conciliacao!BH41,df_extratos!F:F,"&lt;"&amp;Conciliacao!BH41+1,df_extratos!G:G,"DEBITO")</f>
        <v/>
      </c>
      <c r="O41" s="11">
        <f>N41-SUM(J41:M41)</f>
        <v/>
      </c>
      <c r="P41" s="25">
        <f>SUMIFS(df_ajustes_conciliaco!D:D,df_ajustes_conciliaco!C:C,Conciliacao!A41)</f>
        <v/>
      </c>
      <c r="Q41" s="22">
        <f>O41+I41-P41</f>
        <v/>
      </c>
      <c r="BE41" s="20" t="n">
        <v>45697.5</v>
      </c>
      <c r="BF41" s="20" t="n">
        <v>45697.125</v>
      </c>
      <c r="BG41" s="20" t="n">
        <v>45697.54166666666</v>
      </c>
      <c r="BH41" s="20" t="n">
        <v>45697.625</v>
      </c>
    </row>
    <row r="42">
      <c r="A42" s="5">
        <f>A41+1</f>
        <v/>
      </c>
      <c r="B42" s="3">
        <f>-SUMIFS(df_extrato_zig!G:G,df_extrato_zig!E:E,Conciliacao!A42,df_extrato_zig!D:D,"Saque")-SUMIFS(df_extrato_zig!G:G,df_extrato_zig!E:E,Conciliacao!A42,df_extrato_zig!D:D,"Antecipação")</f>
        <v/>
      </c>
      <c r="C42" s="3">
        <f>SUMIFS(df_extrato_zig!E:E,df_extrato_zig!L:L,Conciliacao!A42,df_extrato_zig!F:F,"DINHEIRO")</f>
        <v/>
      </c>
      <c r="D42" s="3">
        <f>SUMIFS(view_parc_agrup!H:H,view_parc_agrup!G:G,Conciliacao!A42)</f>
        <v/>
      </c>
      <c r="E42" s="3">
        <f>SUMIFS(df_eventos!F:F,df_eventos!H:H,Conciliacao!A42)</f>
        <v/>
      </c>
      <c r="F42" s="3">
        <f>SUMIFS(df_mutuos!M:M,df_mutuos!B:B,Conciliacao!A42)</f>
        <v/>
      </c>
      <c r="G42" s="6">
        <f>SUMIFS(df_bloqueios_judiciais!G:G,df_bloqueios_judiciais!D:D,Conciliacao!A42,df_bloqueios_judiciais!G:G,"&gt;0")</f>
        <v/>
      </c>
      <c r="H42" s="7">
        <f>SUMIFS(df_extratos!I:I,df_extratos!F:F,"&gt;="&amp;Conciliacao!BE42,df_extratos!F:F,"&lt;"&amp;Conciliacao!BE42+1,df_extratos!G:G,"CREDITO")
+SUMIFS(df_extratos!I:I,df_extratos!F:F,"&gt;="&amp;Conciliacao!A42, df_extratos!F:F,"&lt;"&amp;Conciliacao!A42+1, df_extratos!G:G,"CREDITO")
+SUMIFS(df_extratos!I:I,df_extratos!F:F,"&gt;="&amp;Conciliacao!BF42,df_extratos!F:F,"&lt;"&amp;Conciliacao!BF42+1,df_extratos!G:G,"CREDITO")
+SUMIFS(df_extratos!I:I,df_extratos!F:F,"&gt;="&amp;Conciliacao!BG42,df_extratos!F:F,"&lt;"&amp;Conciliacao!BG42+1,df_extratos!G:G,"CREDITO")
+SUMIFS(df_extratos!I:I,df_extratos!F:F,"&gt;="&amp;Conciliacao!BH42,df_extratos!F:F,"&lt;"&amp;Conciliacao!BH42+1,df_extratos!G:G,"CREDITO")</f>
        <v/>
      </c>
      <c r="I42" s="9">
        <f>H42-SUM(B42:G42)</f>
        <v/>
      </c>
      <c r="J42" s="4">
        <f>SUMIFS(df_blueme_sem_parcelamento!E:E,df_blueme_sem_parcelamento!H:H,Conciliacao!A42)*(-1)</f>
        <v/>
      </c>
      <c r="K42" s="4">
        <f>SUMIFS(df_blueme_com_parcelamento!J:J,df_blueme_com_parcelamento!M:M,Conciliacao!A42)*(-1)</f>
        <v/>
      </c>
      <c r="L42" s="4">
        <f>SUMIFS(df_mutuos!N:N,df_mutuos!B:B,Conciliacao!A42)*(-1)</f>
        <v/>
      </c>
      <c r="M42" s="8">
        <f>SUMIFS(df_bloqueios_judiciais!G:G,df_bloqueios_judiciais!D:D,Conciliacao!A42,df_bloqueios_judiciais!G:G,"&lt;0")</f>
        <v/>
      </c>
      <c r="N42" s="10">
        <f>SUMIFS(df_extratos!I:I,df_extratos!F:F,"&gt;="&amp;Conciliacao!BE42,df_extratos!F:F,"&lt;"&amp;Conciliacao!BE42+1,df_extratos!G:G,"DEBITO")
+SUMIFS(df_extratos!I:I,df_extratos!F:F,"&gt;="&amp;Conciliacao!A42, df_extratos!F:F,"&lt;"&amp;Conciliacao!A42+1, df_extratos!G:G,"DEBITO")
+SUMIFS(df_extratos!I:I,df_extratos!F:F,"&gt;="&amp;Conciliacao!BF42,df_extratos!F:F,"&lt;"&amp;Conciliacao!BF42+1,df_extratos!G:G,"DEBITO")
+SUMIFS(df_extratos!I:I,df_extratos!F:F,"&gt;="&amp;Conciliacao!BG42,df_extratos!F:F,"&lt;"&amp;Conciliacao!BG42+1,df_extratos!G:G,"DEBITO")
+SUMIFS(df_extratos!I:I,df_extratos!F:F,"&gt;="&amp;Conciliacao!BH42,df_extratos!F:F,"&lt;"&amp;Conciliacao!BH42+1,df_extratos!G:G,"DEBITO")</f>
        <v/>
      </c>
      <c r="O42" s="11">
        <f>N42-SUM(J42:M42)</f>
        <v/>
      </c>
      <c r="P42" s="25">
        <f>SUMIFS(df_ajustes_conciliaco!D:D,df_ajustes_conciliaco!C:C,Conciliacao!A42)</f>
        <v/>
      </c>
      <c r="Q42" s="22">
        <f>O42+I42-P42</f>
        <v/>
      </c>
      <c r="BE42" s="20" t="n">
        <v>45698.5</v>
      </c>
      <c r="BF42" s="20" t="n">
        <v>45698.125</v>
      </c>
      <c r="BG42" s="20" t="n">
        <v>45698.54166666666</v>
      </c>
      <c r="BH42" s="20" t="n">
        <v>45698.625</v>
      </c>
    </row>
    <row r="43">
      <c r="A43" s="5">
        <f>A42+1</f>
        <v/>
      </c>
      <c r="B43" s="3">
        <f>-SUMIFS(df_extrato_zig!G:G,df_extrato_zig!E:E,Conciliacao!A43,df_extrato_zig!D:D,"Saque")-SUMIFS(df_extrato_zig!G:G,df_extrato_zig!E:E,Conciliacao!A43,df_extrato_zig!D:D,"Antecipação")</f>
        <v/>
      </c>
      <c r="C43" s="3">
        <f>SUMIFS(df_extrato_zig!E:E,df_extrato_zig!L:L,Conciliacao!A43,df_extrato_zig!F:F,"DINHEIRO")</f>
        <v/>
      </c>
      <c r="D43" s="3">
        <f>SUMIFS(view_parc_agrup!H:H,view_parc_agrup!G:G,Conciliacao!A43)</f>
        <v/>
      </c>
      <c r="E43" s="3">
        <f>SUMIFS(df_eventos!F:F,df_eventos!H:H,Conciliacao!A43)</f>
        <v/>
      </c>
      <c r="F43" s="3">
        <f>SUMIFS(df_mutuos!M:M,df_mutuos!B:B,Conciliacao!A43)</f>
        <v/>
      </c>
      <c r="G43" s="6">
        <f>SUMIFS(df_bloqueios_judiciais!G:G,df_bloqueios_judiciais!D:D,Conciliacao!A43,df_bloqueios_judiciais!G:G,"&gt;0")</f>
        <v/>
      </c>
      <c r="H43" s="7">
        <f>SUMIFS(df_extratos!I:I,df_extratos!F:F,"&gt;="&amp;Conciliacao!BE43,df_extratos!F:F,"&lt;"&amp;Conciliacao!BE43+1,df_extratos!G:G,"CREDITO")
+SUMIFS(df_extratos!I:I,df_extratos!F:F,"&gt;="&amp;Conciliacao!A43, df_extratos!F:F,"&lt;"&amp;Conciliacao!A43+1, df_extratos!G:G,"CREDITO")
+SUMIFS(df_extratos!I:I,df_extratos!F:F,"&gt;="&amp;Conciliacao!BF43,df_extratos!F:F,"&lt;"&amp;Conciliacao!BF43+1,df_extratos!G:G,"CREDITO")
+SUMIFS(df_extratos!I:I,df_extratos!F:F,"&gt;="&amp;Conciliacao!BG43,df_extratos!F:F,"&lt;"&amp;Conciliacao!BG43+1,df_extratos!G:G,"CREDITO")
+SUMIFS(df_extratos!I:I,df_extratos!F:F,"&gt;="&amp;Conciliacao!BH43,df_extratos!F:F,"&lt;"&amp;Conciliacao!BH43+1,df_extratos!G:G,"CREDITO")</f>
        <v/>
      </c>
      <c r="I43" s="9">
        <f>H43-SUM(B43:G43)</f>
        <v/>
      </c>
      <c r="J43" s="4">
        <f>SUMIFS(df_blueme_sem_parcelamento!E:E,df_blueme_sem_parcelamento!H:H,Conciliacao!A43)*(-1)</f>
        <v/>
      </c>
      <c r="K43" s="4">
        <f>SUMIFS(df_blueme_com_parcelamento!J:J,df_blueme_com_parcelamento!M:M,Conciliacao!A43)*(-1)</f>
        <v/>
      </c>
      <c r="L43" s="4">
        <f>SUMIFS(df_mutuos!N:N,df_mutuos!B:B,Conciliacao!A43)*(-1)</f>
        <v/>
      </c>
      <c r="M43" s="8">
        <f>SUMIFS(df_bloqueios_judiciais!G:G,df_bloqueios_judiciais!D:D,Conciliacao!A43,df_bloqueios_judiciais!G:G,"&lt;0")</f>
        <v/>
      </c>
      <c r="N43" s="10">
        <f>SUMIFS(df_extratos!I:I,df_extratos!F:F,"&gt;="&amp;Conciliacao!BE43,df_extratos!F:F,"&lt;"&amp;Conciliacao!BE43+1,df_extratos!G:G,"DEBITO")
+SUMIFS(df_extratos!I:I,df_extratos!F:F,"&gt;="&amp;Conciliacao!A43, df_extratos!F:F,"&lt;"&amp;Conciliacao!A43+1, df_extratos!G:G,"DEBITO")
+SUMIFS(df_extratos!I:I,df_extratos!F:F,"&gt;="&amp;Conciliacao!BF43,df_extratos!F:F,"&lt;"&amp;Conciliacao!BF43+1,df_extratos!G:G,"DEBITO")
+SUMIFS(df_extratos!I:I,df_extratos!F:F,"&gt;="&amp;Conciliacao!BG43,df_extratos!F:F,"&lt;"&amp;Conciliacao!BG43+1,df_extratos!G:G,"DEBITO")
+SUMIFS(df_extratos!I:I,df_extratos!F:F,"&gt;="&amp;Conciliacao!BH43,df_extratos!F:F,"&lt;"&amp;Conciliacao!BH43+1,df_extratos!G:G,"DEBITO")</f>
        <v/>
      </c>
      <c r="O43" s="11">
        <f>N43-SUM(J43:M43)</f>
        <v/>
      </c>
      <c r="P43" s="25">
        <f>SUMIFS(df_ajustes_conciliaco!D:D,df_ajustes_conciliaco!C:C,Conciliacao!A43)</f>
        <v/>
      </c>
      <c r="Q43" s="22">
        <f>O43+I43-P43</f>
        <v/>
      </c>
      <c r="BE43" s="20" t="n">
        <v>45699.5</v>
      </c>
      <c r="BF43" s="20" t="n">
        <v>45699.125</v>
      </c>
      <c r="BG43" s="20" t="n">
        <v>45699.54166666666</v>
      </c>
      <c r="BH43" s="20" t="n">
        <v>45699.625</v>
      </c>
    </row>
    <row r="44">
      <c r="A44" s="5">
        <f>A43+1</f>
        <v/>
      </c>
      <c r="B44" s="3">
        <f>-SUMIFS(df_extrato_zig!G:G,df_extrato_zig!E:E,Conciliacao!A44,df_extrato_zig!D:D,"Saque")-SUMIFS(df_extrato_zig!G:G,df_extrato_zig!E:E,Conciliacao!A44,df_extrato_zig!D:D,"Antecipação")</f>
        <v/>
      </c>
      <c r="C44" s="3">
        <f>SUMIFS(df_extrato_zig!E:E,df_extrato_zig!L:L,Conciliacao!A44,df_extrato_zig!F:F,"DINHEIRO")</f>
        <v/>
      </c>
      <c r="D44" s="3">
        <f>SUMIFS(view_parc_agrup!H:H,view_parc_agrup!G:G,Conciliacao!A44)</f>
        <v/>
      </c>
      <c r="E44" s="3">
        <f>SUMIFS(df_eventos!F:F,df_eventos!H:H,Conciliacao!A44)</f>
        <v/>
      </c>
      <c r="F44" s="3">
        <f>SUMIFS(df_mutuos!M:M,df_mutuos!B:B,Conciliacao!A44)</f>
        <v/>
      </c>
      <c r="G44" s="6">
        <f>SUMIFS(df_bloqueios_judiciais!G:G,df_bloqueios_judiciais!D:D,Conciliacao!A44,df_bloqueios_judiciais!G:G,"&gt;0")</f>
        <v/>
      </c>
      <c r="H44" s="7">
        <f>SUMIFS(df_extratos!I:I,df_extratos!F:F,"&gt;="&amp;Conciliacao!BE44,df_extratos!F:F,"&lt;"&amp;Conciliacao!BE44+1,df_extratos!G:G,"CREDITO")
+SUMIFS(df_extratos!I:I,df_extratos!F:F,"&gt;="&amp;Conciliacao!A44, df_extratos!F:F,"&lt;"&amp;Conciliacao!A44+1, df_extratos!G:G,"CREDITO")
+SUMIFS(df_extratos!I:I,df_extratos!F:F,"&gt;="&amp;Conciliacao!BF44,df_extratos!F:F,"&lt;"&amp;Conciliacao!BF44+1,df_extratos!G:G,"CREDITO")
+SUMIFS(df_extratos!I:I,df_extratos!F:F,"&gt;="&amp;Conciliacao!BG44,df_extratos!F:F,"&lt;"&amp;Conciliacao!BG44+1,df_extratos!G:G,"CREDITO")
+SUMIFS(df_extratos!I:I,df_extratos!F:F,"&gt;="&amp;Conciliacao!BH44,df_extratos!F:F,"&lt;"&amp;Conciliacao!BH44+1,df_extratos!G:G,"CREDITO")</f>
        <v/>
      </c>
      <c r="I44" s="9">
        <f>H44-SUM(B44:G44)</f>
        <v/>
      </c>
      <c r="J44" s="4">
        <f>SUMIFS(df_blueme_sem_parcelamento!E:E,df_blueme_sem_parcelamento!H:H,Conciliacao!A44)*(-1)</f>
        <v/>
      </c>
      <c r="K44" s="4">
        <f>SUMIFS(df_blueme_com_parcelamento!J:J,df_blueme_com_parcelamento!M:M,Conciliacao!A44)*(-1)</f>
        <v/>
      </c>
      <c r="L44" s="4">
        <f>SUMIFS(df_mutuos!N:N,df_mutuos!B:B,Conciliacao!A44)*(-1)</f>
        <v/>
      </c>
      <c r="M44" s="8">
        <f>SUMIFS(df_bloqueios_judiciais!G:G,df_bloqueios_judiciais!D:D,Conciliacao!A44,df_bloqueios_judiciais!G:G,"&lt;0")</f>
        <v/>
      </c>
      <c r="N44" s="10">
        <f>SUMIFS(df_extratos!I:I,df_extratos!F:F,"&gt;="&amp;Conciliacao!BE44,df_extratos!F:F,"&lt;"&amp;Conciliacao!BE44+1,df_extratos!G:G,"DEBITO")
+SUMIFS(df_extratos!I:I,df_extratos!F:F,"&gt;="&amp;Conciliacao!A44, df_extratos!F:F,"&lt;"&amp;Conciliacao!A44+1, df_extratos!G:G,"DEBITO")
+SUMIFS(df_extratos!I:I,df_extratos!F:F,"&gt;="&amp;Conciliacao!BF44,df_extratos!F:F,"&lt;"&amp;Conciliacao!BF44+1,df_extratos!G:G,"DEBITO")
+SUMIFS(df_extratos!I:I,df_extratos!F:F,"&gt;="&amp;Conciliacao!BG44,df_extratos!F:F,"&lt;"&amp;Conciliacao!BG44+1,df_extratos!G:G,"DEBITO")
+SUMIFS(df_extratos!I:I,df_extratos!F:F,"&gt;="&amp;Conciliacao!BH44,df_extratos!F:F,"&lt;"&amp;Conciliacao!BH44+1,df_extratos!G:G,"DEBITO")</f>
        <v/>
      </c>
      <c r="O44" s="11">
        <f>N44-SUM(J44:M44)</f>
        <v/>
      </c>
      <c r="P44" s="25">
        <f>SUMIFS(df_ajustes_conciliaco!D:D,df_ajustes_conciliaco!C:C,Conciliacao!A44)</f>
        <v/>
      </c>
      <c r="Q44" s="22">
        <f>O44+I44-P44</f>
        <v/>
      </c>
      <c r="BE44" s="20" t="n">
        <v>45700.5</v>
      </c>
      <c r="BF44" s="20" t="n">
        <v>45700.125</v>
      </c>
      <c r="BG44" s="20" t="n">
        <v>45700.54166666666</v>
      </c>
      <c r="BH44" s="20" t="n">
        <v>45700.625</v>
      </c>
    </row>
    <row r="45">
      <c r="A45" s="5">
        <f>A44+1</f>
        <v/>
      </c>
      <c r="B45" s="3">
        <f>-SUMIFS(df_extrato_zig!G:G,df_extrato_zig!E:E,Conciliacao!A45,df_extrato_zig!D:D,"Saque")-SUMIFS(df_extrato_zig!G:G,df_extrato_zig!E:E,Conciliacao!A45,df_extrato_zig!D:D,"Antecipação")</f>
        <v/>
      </c>
      <c r="C45" s="3">
        <f>SUMIFS(df_extrato_zig!E:E,df_extrato_zig!L:L,Conciliacao!A45,df_extrato_zig!F:F,"DINHEIRO")</f>
        <v/>
      </c>
      <c r="D45" s="3">
        <f>SUMIFS(view_parc_agrup!H:H,view_parc_agrup!G:G,Conciliacao!A45)</f>
        <v/>
      </c>
      <c r="E45" s="3">
        <f>SUMIFS(df_eventos!F:F,df_eventos!H:H,Conciliacao!A45)</f>
        <v/>
      </c>
      <c r="F45" s="3">
        <f>SUMIFS(df_mutuos!M:M,df_mutuos!B:B,Conciliacao!A45)</f>
        <v/>
      </c>
      <c r="G45" s="6">
        <f>SUMIFS(df_bloqueios_judiciais!G:G,df_bloqueios_judiciais!D:D,Conciliacao!A45,df_bloqueios_judiciais!G:G,"&gt;0")</f>
        <v/>
      </c>
      <c r="H45" s="7">
        <f>SUMIFS(df_extratos!I:I,df_extratos!F:F,"&gt;="&amp;Conciliacao!BE45,df_extratos!F:F,"&lt;"&amp;Conciliacao!BE45+1,df_extratos!G:G,"CREDITO")
+SUMIFS(df_extratos!I:I,df_extratos!F:F,"&gt;="&amp;Conciliacao!A45, df_extratos!F:F,"&lt;"&amp;Conciliacao!A45+1, df_extratos!G:G,"CREDITO")
+SUMIFS(df_extratos!I:I,df_extratos!F:F,"&gt;="&amp;Conciliacao!BF45,df_extratos!F:F,"&lt;"&amp;Conciliacao!BF45+1,df_extratos!G:G,"CREDITO")
+SUMIFS(df_extratos!I:I,df_extratos!F:F,"&gt;="&amp;Conciliacao!BG45,df_extratos!F:F,"&lt;"&amp;Conciliacao!BG45+1,df_extratos!G:G,"CREDITO")
+SUMIFS(df_extratos!I:I,df_extratos!F:F,"&gt;="&amp;Conciliacao!BH45,df_extratos!F:F,"&lt;"&amp;Conciliacao!BH45+1,df_extratos!G:G,"CREDITO")</f>
        <v/>
      </c>
      <c r="I45" s="9">
        <f>H45-SUM(B45:G45)</f>
        <v/>
      </c>
      <c r="J45" s="4">
        <f>SUMIFS(df_blueme_sem_parcelamento!E:E,df_blueme_sem_parcelamento!H:H,Conciliacao!A45)*(-1)</f>
        <v/>
      </c>
      <c r="K45" s="4">
        <f>SUMIFS(df_blueme_com_parcelamento!J:J,df_blueme_com_parcelamento!M:M,Conciliacao!A45)*(-1)</f>
        <v/>
      </c>
      <c r="L45" s="4">
        <f>SUMIFS(df_mutuos!N:N,df_mutuos!B:B,Conciliacao!A45)*(-1)</f>
        <v/>
      </c>
      <c r="M45" s="8">
        <f>SUMIFS(df_bloqueios_judiciais!G:G,df_bloqueios_judiciais!D:D,Conciliacao!A45,df_bloqueios_judiciais!G:G,"&lt;0")</f>
        <v/>
      </c>
      <c r="N45" s="10">
        <f>SUMIFS(df_extratos!I:I,df_extratos!F:F,"&gt;="&amp;Conciliacao!BE45,df_extratos!F:F,"&lt;"&amp;Conciliacao!BE45+1,df_extratos!G:G,"DEBITO")
+SUMIFS(df_extratos!I:I,df_extratos!F:F,"&gt;="&amp;Conciliacao!A45, df_extratos!F:F,"&lt;"&amp;Conciliacao!A45+1, df_extratos!G:G,"DEBITO")
+SUMIFS(df_extratos!I:I,df_extratos!F:F,"&gt;="&amp;Conciliacao!BF45,df_extratos!F:F,"&lt;"&amp;Conciliacao!BF45+1,df_extratos!G:G,"DEBITO")
+SUMIFS(df_extratos!I:I,df_extratos!F:F,"&gt;="&amp;Conciliacao!BG45,df_extratos!F:F,"&lt;"&amp;Conciliacao!BG45+1,df_extratos!G:G,"DEBITO")
+SUMIFS(df_extratos!I:I,df_extratos!F:F,"&gt;="&amp;Conciliacao!BH45,df_extratos!F:F,"&lt;"&amp;Conciliacao!BH45+1,df_extratos!G:G,"DEBITO")</f>
        <v/>
      </c>
      <c r="O45" s="11">
        <f>N45-SUM(J45:M45)</f>
        <v/>
      </c>
      <c r="P45" s="25">
        <f>SUMIFS(df_ajustes_conciliaco!D:D,df_ajustes_conciliaco!C:C,Conciliacao!A45)</f>
        <v/>
      </c>
      <c r="Q45" s="22">
        <f>O45+I45-P45</f>
        <v/>
      </c>
      <c r="BE45" s="20" t="n">
        <v>45701.5</v>
      </c>
      <c r="BF45" s="20" t="n">
        <v>45701.125</v>
      </c>
      <c r="BG45" s="20" t="n">
        <v>45701.54166666666</v>
      </c>
      <c r="BH45" s="20" t="n">
        <v>45701.625</v>
      </c>
    </row>
    <row r="46">
      <c r="A46" s="5">
        <f>A45+1</f>
        <v/>
      </c>
      <c r="B46" s="3">
        <f>-SUMIFS(df_extrato_zig!G:G,df_extrato_zig!E:E,Conciliacao!A46,df_extrato_zig!D:D,"Saque")-SUMIFS(df_extrato_zig!G:G,df_extrato_zig!E:E,Conciliacao!A46,df_extrato_zig!D:D,"Antecipação")</f>
        <v/>
      </c>
      <c r="C46" s="3">
        <f>SUMIFS(df_extrato_zig!E:E,df_extrato_zig!L:L,Conciliacao!A46,df_extrato_zig!F:F,"DINHEIRO")</f>
        <v/>
      </c>
      <c r="D46" s="3">
        <f>SUMIFS(view_parc_agrup!H:H,view_parc_agrup!G:G,Conciliacao!A46)</f>
        <v/>
      </c>
      <c r="E46" s="3">
        <f>SUMIFS(df_eventos!F:F,df_eventos!H:H,Conciliacao!A46)</f>
        <v/>
      </c>
      <c r="F46" s="3">
        <f>SUMIFS(df_mutuos!M:M,df_mutuos!B:B,Conciliacao!A46)</f>
        <v/>
      </c>
      <c r="G46" s="6">
        <f>SUMIFS(df_bloqueios_judiciais!G:G,df_bloqueios_judiciais!D:D,Conciliacao!A46,df_bloqueios_judiciais!G:G,"&gt;0")</f>
        <v/>
      </c>
      <c r="H46" s="7">
        <f>SUMIFS(df_extratos!I:I,df_extratos!F:F,"&gt;="&amp;Conciliacao!BE46,df_extratos!F:F,"&lt;"&amp;Conciliacao!BE46+1,df_extratos!G:G,"CREDITO")
+SUMIFS(df_extratos!I:I,df_extratos!F:F,"&gt;="&amp;Conciliacao!A46, df_extratos!F:F,"&lt;"&amp;Conciliacao!A46+1, df_extratos!G:G,"CREDITO")
+SUMIFS(df_extratos!I:I,df_extratos!F:F,"&gt;="&amp;Conciliacao!BF46,df_extratos!F:F,"&lt;"&amp;Conciliacao!BF46+1,df_extratos!G:G,"CREDITO")
+SUMIFS(df_extratos!I:I,df_extratos!F:F,"&gt;="&amp;Conciliacao!BG46,df_extratos!F:F,"&lt;"&amp;Conciliacao!BG46+1,df_extratos!G:G,"CREDITO")
+SUMIFS(df_extratos!I:I,df_extratos!F:F,"&gt;="&amp;Conciliacao!BH46,df_extratos!F:F,"&lt;"&amp;Conciliacao!BH46+1,df_extratos!G:G,"CREDITO")</f>
        <v/>
      </c>
      <c r="I46" s="9">
        <f>H46-SUM(B46:G46)</f>
        <v/>
      </c>
      <c r="J46" s="4">
        <f>SUMIFS(df_blueme_sem_parcelamento!E:E,df_blueme_sem_parcelamento!H:H,Conciliacao!A46)*(-1)</f>
        <v/>
      </c>
      <c r="K46" s="4">
        <f>SUMIFS(df_blueme_com_parcelamento!J:J,df_blueme_com_parcelamento!M:M,Conciliacao!A46)*(-1)</f>
        <v/>
      </c>
      <c r="L46" s="4">
        <f>SUMIFS(df_mutuos!N:N,df_mutuos!B:B,Conciliacao!A46)*(-1)</f>
        <v/>
      </c>
      <c r="M46" s="8">
        <f>SUMIFS(df_bloqueios_judiciais!G:G,df_bloqueios_judiciais!D:D,Conciliacao!A46,df_bloqueios_judiciais!G:G,"&lt;0")</f>
        <v/>
      </c>
      <c r="N46" s="10">
        <f>SUMIFS(df_extratos!I:I,df_extratos!F:F,"&gt;="&amp;Conciliacao!BE46,df_extratos!F:F,"&lt;"&amp;Conciliacao!BE46+1,df_extratos!G:G,"DEBITO")
+SUMIFS(df_extratos!I:I,df_extratos!F:F,"&gt;="&amp;Conciliacao!A46, df_extratos!F:F,"&lt;"&amp;Conciliacao!A46+1, df_extratos!G:G,"DEBITO")
+SUMIFS(df_extratos!I:I,df_extratos!F:F,"&gt;="&amp;Conciliacao!BF46,df_extratos!F:F,"&lt;"&amp;Conciliacao!BF46+1,df_extratos!G:G,"DEBITO")
+SUMIFS(df_extratos!I:I,df_extratos!F:F,"&gt;="&amp;Conciliacao!BG46,df_extratos!F:F,"&lt;"&amp;Conciliacao!BG46+1,df_extratos!G:G,"DEBITO")
+SUMIFS(df_extratos!I:I,df_extratos!F:F,"&gt;="&amp;Conciliacao!BH46,df_extratos!F:F,"&lt;"&amp;Conciliacao!BH46+1,df_extratos!G:G,"DEBITO")</f>
        <v/>
      </c>
      <c r="O46" s="11">
        <f>N46-SUM(J46:M46)</f>
        <v/>
      </c>
      <c r="P46" s="25">
        <f>SUMIFS(df_ajustes_conciliaco!D:D,df_ajustes_conciliaco!C:C,Conciliacao!A46)</f>
        <v/>
      </c>
      <c r="Q46" s="22">
        <f>O46+I46-P46</f>
        <v/>
      </c>
      <c r="BE46" s="20" t="n">
        <v>45702.5</v>
      </c>
      <c r="BF46" s="20" t="n">
        <v>45702.125</v>
      </c>
      <c r="BG46" s="20" t="n">
        <v>45702.54166666666</v>
      </c>
      <c r="BH46" s="20" t="n">
        <v>45702.625</v>
      </c>
    </row>
    <row r="47">
      <c r="A47" s="5">
        <f>A46+1</f>
        <v/>
      </c>
      <c r="B47" s="3">
        <f>-SUMIFS(df_extrato_zig!G:G,df_extrato_zig!E:E,Conciliacao!A47,df_extrato_zig!D:D,"Saque")-SUMIFS(df_extrato_zig!G:G,df_extrato_zig!E:E,Conciliacao!A47,df_extrato_zig!D:D,"Antecipação")</f>
        <v/>
      </c>
      <c r="C47" s="3">
        <f>SUMIFS(df_extrato_zig!E:E,df_extrato_zig!L:L,Conciliacao!A47,df_extrato_zig!F:F,"DINHEIRO")</f>
        <v/>
      </c>
      <c r="D47" s="3">
        <f>SUMIFS(view_parc_agrup!H:H,view_parc_agrup!G:G,Conciliacao!A47)</f>
        <v/>
      </c>
      <c r="E47" s="3">
        <f>SUMIFS(df_eventos!F:F,df_eventos!H:H,Conciliacao!A47)</f>
        <v/>
      </c>
      <c r="F47" s="3">
        <f>SUMIFS(df_mutuos!M:M,df_mutuos!B:B,Conciliacao!A47)</f>
        <v/>
      </c>
      <c r="G47" s="6">
        <f>SUMIFS(df_bloqueios_judiciais!G:G,df_bloqueios_judiciais!D:D,Conciliacao!A47,df_bloqueios_judiciais!G:G,"&gt;0")</f>
        <v/>
      </c>
      <c r="H47" s="7">
        <f>SUMIFS(df_extratos!I:I,df_extratos!F:F,"&gt;="&amp;Conciliacao!BE47,df_extratos!F:F,"&lt;"&amp;Conciliacao!BE47+1,df_extratos!G:G,"CREDITO")
+SUMIFS(df_extratos!I:I,df_extratos!F:F,"&gt;="&amp;Conciliacao!A47, df_extratos!F:F,"&lt;"&amp;Conciliacao!A47+1, df_extratos!G:G,"CREDITO")
+SUMIFS(df_extratos!I:I,df_extratos!F:F,"&gt;="&amp;Conciliacao!BF47,df_extratos!F:F,"&lt;"&amp;Conciliacao!BF47+1,df_extratos!G:G,"CREDITO")
+SUMIFS(df_extratos!I:I,df_extratos!F:F,"&gt;="&amp;Conciliacao!BG47,df_extratos!F:F,"&lt;"&amp;Conciliacao!BG47+1,df_extratos!G:G,"CREDITO")
+SUMIFS(df_extratos!I:I,df_extratos!F:F,"&gt;="&amp;Conciliacao!BH47,df_extratos!F:F,"&lt;"&amp;Conciliacao!BH47+1,df_extratos!G:G,"CREDITO")</f>
        <v/>
      </c>
      <c r="I47" s="9">
        <f>H47-SUM(B47:G47)</f>
        <v/>
      </c>
      <c r="J47" s="4">
        <f>SUMIFS(df_blueme_sem_parcelamento!E:E,df_blueme_sem_parcelamento!H:H,Conciliacao!A47)*(-1)</f>
        <v/>
      </c>
      <c r="K47" s="4">
        <f>SUMIFS(df_blueme_com_parcelamento!J:J,df_blueme_com_parcelamento!M:M,Conciliacao!A47)*(-1)</f>
        <v/>
      </c>
      <c r="L47" s="4">
        <f>SUMIFS(df_mutuos!N:N,df_mutuos!B:B,Conciliacao!A47)*(-1)</f>
        <v/>
      </c>
      <c r="M47" s="8">
        <f>SUMIFS(df_bloqueios_judiciais!G:G,df_bloqueios_judiciais!D:D,Conciliacao!A47,df_bloqueios_judiciais!G:G,"&lt;0")</f>
        <v/>
      </c>
      <c r="N47" s="10">
        <f>SUMIFS(df_extratos!I:I,df_extratos!F:F,"&gt;="&amp;Conciliacao!BE47,df_extratos!F:F,"&lt;"&amp;Conciliacao!BE47+1,df_extratos!G:G,"DEBITO")
+SUMIFS(df_extratos!I:I,df_extratos!F:F,"&gt;="&amp;Conciliacao!A47, df_extratos!F:F,"&lt;"&amp;Conciliacao!A47+1, df_extratos!G:G,"DEBITO")
+SUMIFS(df_extratos!I:I,df_extratos!F:F,"&gt;="&amp;Conciliacao!BF47,df_extratos!F:F,"&lt;"&amp;Conciliacao!BF47+1,df_extratos!G:G,"DEBITO")
+SUMIFS(df_extratos!I:I,df_extratos!F:F,"&gt;="&amp;Conciliacao!BG47,df_extratos!F:F,"&lt;"&amp;Conciliacao!BG47+1,df_extratos!G:G,"DEBITO")
+SUMIFS(df_extratos!I:I,df_extratos!F:F,"&gt;="&amp;Conciliacao!BH47,df_extratos!F:F,"&lt;"&amp;Conciliacao!BH47+1,df_extratos!G:G,"DEBITO")</f>
        <v/>
      </c>
      <c r="O47" s="11">
        <f>N47-SUM(J47:M47)</f>
        <v/>
      </c>
      <c r="P47" s="25">
        <f>SUMIFS(df_ajustes_conciliaco!D:D,df_ajustes_conciliaco!C:C,Conciliacao!A47)</f>
        <v/>
      </c>
      <c r="Q47" s="22">
        <f>O47+I47-P47</f>
        <v/>
      </c>
      <c r="BE47" s="20" t="n">
        <v>45703.5</v>
      </c>
      <c r="BF47" s="20" t="n">
        <v>45703.125</v>
      </c>
      <c r="BG47" s="20" t="n">
        <v>45703.54166666666</v>
      </c>
      <c r="BH47" s="20" t="n">
        <v>45703.625</v>
      </c>
    </row>
    <row r="48">
      <c r="A48" s="5">
        <f>A47+1</f>
        <v/>
      </c>
      <c r="B48" s="3">
        <f>-SUMIFS(df_extrato_zig!G:G,df_extrato_zig!E:E,Conciliacao!A48,df_extrato_zig!D:D,"Saque")-SUMIFS(df_extrato_zig!G:G,df_extrato_zig!E:E,Conciliacao!A48,df_extrato_zig!D:D,"Antecipação")</f>
        <v/>
      </c>
      <c r="C48" s="3">
        <f>SUMIFS(df_extrato_zig!E:E,df_extrato_zig!L:L,Conciliacao!A48,df_extrato_zig!F:F,"DINHEIRO")</f>
        <v/>
      </c>
      <c r="D48" s="3">
        <f>SUMIFS(view_parc_agrup!H:H,view_parc_agrup!G:G,Conciliacao!A48)</f>
        <v/>
      </c>
      <c r="E48" s="3">
        <f>SUMIFS(df_eventos!F:F,df_eventos!H:H,Conciliacao!A48)</f>
        <v/>
      </c>
      <c r="F48" s="3">
        <f>SUMIFS(df_mutuos!M:M,df_mutuos!B:B,Conciliacao!A48)</f>
        <v/>
      </c>
      <c r="G48" s="6">
        <f>SUMIFS(df_bloqueios_judiciais!G:G,df_bloqueios_judiciais!D:D,Conciliacao!A48,df_bloqueios_judiciais!G:G,"&gt;0")</f>
        <v/>
      </c>
      <c r="H48" s="7">
        <f>SUMIFS(df_extratos!I:I,df_extratos!F:F,"&gt;="&amp;Conciliacao!BE48,df_extratos!F:F,"&lt;"&amp;Conciliacao!BE48+1,df_extratos!G:G,"CREDITO")
+SUMIFS(df_extratos!I:I,df_extratos!F:F,"&gt;="&amp;Conciliacao!A48, df_extratos!F:F,"&lt;"&amp;Conciliacao!A48+1, df_extratos!G:G,"CREDITO")
+SUMIFS(df_extratos!I:I,df_extratos!F:F,"&gt;="&amp;Conciliacao!BF48,df_extratos!F:F,"&lt;"&amp;Conciliacao!BF48+1,df_extratos!G:G,"CREDITO")
+SUMIFS(df_extratos!I:I,df_extratos!F:F,"&gt;="&amp;Conciliacao!BG48,df_extratos!F:F,"&lt;"&amp;Conciliacao!BG48+1,df_extratos!G:G,"CREDITO")
+SUMIFS(df_extratos!I:I,df_extratos!F:F,"&gt;="&amp;Conciliacao!BH48,df_extratos!F:F,"&lt;"&amp;Conciliacao!BH48+1,df_extratos!G:G,"CREDITO")</f>
        <v/>
      </c>
      <c r="I48" s="9">
        <f>H48-SUM(B48:G48)</f>
        <v/>
      </c>
      <c r="J48" s="4">
        <f>SUMIFS(df_blueme_sem_parcelamento!E:E,df_blueme_sem_parcelamento!H:H,Conciliacao!A48)*(-1)</f>
        <v/>
      </c>
      <c r="K48" s="4">
        <f>SUMIFS(df_blueme_com_parcelamento!J:J,df_blueme_com_parcelamento!M:M,Conciliacao!A48)*(-1)</f>
        <v/>
      </c>
      <c r="L48" s="4">
        <f>SUMIFS(df_mutuos!N:N,df_mutuos!B:B,Conciliacao!A48)*(-1)</f>
        <v/>
      </c>
      <c r="M48" s="8">
        <f>SUMIFS(df_bloqueios_judiciais!G:G,df_bloqueios_judiciais!D:D,Conciliacao!A48,df_bloqueios_judiciais!G:G,"&lt;0")</f>
        <v/>
      </c>
      <c r="N48" s="10">
        <f>SUMIFS(df_extratos!I:I,df_extratos!F:F,"&gt;="&amp;Conciliacao!BE48,df_extratos!F:F,"&lt;"&amp;Conciliacao!BE48+1,df_extratos!G:G,"DEBITO")
+SUMIFS(df_extratos!I:I,df_extratos!F:F,"&gt;="&amp;Conciliacao!A48, df_extratos!F:F,"&lt;"&amp;Conciliacao!A48+1, df_extratos!G:G,"DEBITO")
+SUMIFS(df_extratos!I:I,df_extratos!F:F,"&gt;="&amp;Conciliacao!BF48,df_extratos!F:F,"&lt;"&amp;Conciliacao!BF48+1,df_extratos!G:G,"DEBITO")
+SUMIFS(df_extratos!I:I,df_extratos!F:F,"&gt;="&amp;Conciliacao!BG48,df_extratos!F:F,"&lt;"&amp;Conciliacao!BG48+1,df_extratos!G:G,"DEBITO")
+SUMIFS(df_extratos!I:I,df_extratos!F:F,"&gt;="&amp;Conciliacao!BH48,df_extratos!F:F,"&lt;"&amp;Conciliacao!BH48+1,df_extratos!G:G,"DEBITO")</f>
        <v/>
      </c>
      <c r="O48" s="11">
        <f>N48-SUM(J48:M48)</f>
        <v/>
      </c>
      <c r="P48" s="25">
        <f>SUMIFS(df_ajustes_conciliaco!D:D,df_ajustes_conciliaco!C:C,Conciliacao!A48)</f>
        <v/>
      </c>
      <c r="Q48" s="22">
        <f>O48+I48-P48</f>
        <v/>
      </c>
      <c r="BE48" s="20" t="n">
        <v>45704.5</v>
      </c>
      <c r="BF48" s="20" t="n">
        <v>45704.125</v>
      </c>
      <c r="BG48" s="20" t="n">
        <v>45704.54166666666</v>
      </c>
      <c r="BH48" s="20" t="n">
        <v>45704.625</v>
      </c>
    </row>
    <row r="49">
      <c r="A49" s="5">
        <f>A48+1</f>
        <v/>
      </c>
      <c r="B49" s="3">
        <f>-SUMIFS(df_extrato_zig!G:G,df_extrato_zig!E:E,Conciliacao!A49,df_extrato_zig!D:D,"Saque")-SUMIFS(df_extrato_zig!G:G,df_extrato_zig!E:E,Conciliacao!A49,df_extrato_zig!D:D,"Antecipação")</f>
        <v/>
      </c>
      <c r="C49" s="3">
        <f>SUMIFS(df_extrato_zig!E:E,df_extrato_zig!L:L,Conciliacao!A49,df_extrato_zig!F:F,"DINHEIRO")</f>
        <v/>
      </c>
      <c r="D49" s="3">
        <f>SUMIFS(view_parc_agrup!H:H,view_parc_agrup!G:G,Conciliacao!A49)</f>
        <v/>
      </c>
      <c r="E49" s="3">
        <f>SUMIFS(df_eventos!F:F,df_eventos!H:H,Conciliacao!A49)</f>
        <v/>
      </c>
      <c r="F49" s="3">
        <f>SUMIFS(df_mutuos!M:M,df_mutuos!B:B,Conciliacao!A49)</f>
        <v/>
      </c>
      <c r="G49" s="6">
        <f>SUMIFS(df_bloqueios_judiciais!G:G,df_bloqueios_judiciais!D:D,Conciliacao!A49,df_bloqueios_judiciais!G:G,"&gt;0")</f>
        <v/>
      </c>
      <c r="H49" s="7">
        <f>SUMIFS(df_extratos!I:I,df_extratos!F:F,"&gt;="&amp;Conciliacao!BE49,df_extratos!F:F,"&lt;"&amp;Conciliacao!BE49+1,df_extratos!G:G,"CREDITO")
+SUMIFS(df_extratos!I:I,df_extratos!F:F,"&gt;="&amp;Conciliacao!A49, df_extratos!F:F,"&lt;"&amp;Conciliacao!A49+1, df_extratos!G:G,"CREDITO")
+SUMIFS(df_extratos!I:I,df_extratos!F:F,"&gt;="&amp;Conciliacao!BF49,df_extratos!F:F,"&lt;"&amp;Conciliacao!BF49+1,df_extratos!G:G,"CREDITO")
+SUMIFS(df_extratos!I:I,df_extratos!F:F,"&gt;="&amp;Conciliacao!BG49,df_extratos!F:F,"&lt;"&amp;Conciliacao!BG49+1,df_extratos!G:G,"CREDITO")
+SUMIFS(df_extratos!I:I,df_extratos!F:F,"&gt;="&amp;Conciliacao!BH49,df_extratos!F:F,"&lt;"&amp;Conciliacao!BH49+1,df_extratos!G:G,"CREDITO")</f>
        <v/>
      </c>
      <c r="I49" s="9">
        <f>H49-SUM(B49:G49)</f>
        <v/>
      </c>
      <c r="J49" s="4">
        <f>SUMIFS(df_blueme_sem_parcelamento!E:E,df_blueme_sem_parcelamento!H:H,Conciliacao!A49)*(-1)</f>
        <v/>
      </c>
      <c r="K49" s="4">
        <f>SUMIFS(df_blueme_com_parcelamento!J:J,df_blueme_com_parcelamento!M:M,Conciliacao!A49)*(-1)</f>
        <v/>
      </c>
      <c r="L49" s="4">
        <f>SUMIFS(df_mutuos!N:N,df_mutuos!B:B,Conciliacao!A49)*(-1)</f>
        <v/>
      </c>
      <c r="M49" s="8">
        <f>SUMIFS(df_bloqueios_judiciais!G:G,df_bloqueios_judiciais!D:D,Conciliacao!A49,df_bloqueios_judiciais!G:G,"&lt;0")</f>
        <v/>
      </c>
      <c r="N49" s="10">
        <f>SUMIFS(df_extratos!I:I,df_extratos!F:F,"&gt;="&amp;Conciliacao!BE49,df_extratos!F:F,"&lt;"&amp;Conciliacao!BE49+1,df_extratos!G:G,"DEBITO")
+SUMIFS(df_extratos!I:I,df_extratos!F:F,"&gt;="&amp;Conciliacao!A49, df_extratos!F:F,"&lt;"&amp;Conciliacao!A49+1, df_extratos!G:G,"DEBITO")
+SUMIFS(df_extratos!I:I,df_extratos!F:F,"&gt;="&amp;Conciliacao!BF49,df_extratos!F:F,"&lt;"&amp;Conciliacao!BF49+1,df_extratos!G:G,"DEBITO")
+SUMIFS(df_extratos!I:I,df_extratos!F:F,"&gt;="&amp;Conciliacao!BG49,df_extratos!F:F,"&lt;"&amp;Conciliacao!BG49+1,df_extratos!G:G,"DEBITO")
+SUMIFS(df_extratos!I:I,df_extratos!F:F,"&gt;="&amp;Conciliacao!BH49,df_extratos!F:F,"&lt;"&amp;Conciliacao!BH49+1,df_extratos!G:G,"DEBITO")</f>
        <v/>
      </c>
      <c r="O49" s="11">
        <f>N49-SUM(J49:M49)</f>
        <v/>
      </c>
      <c r="P49" s="25">
        <f>SUMIFS(df_ajustes_conciliaco!D:D,df_ajustes_conciliaco!C:C,Conciliacao!A49)</f>
        <v/>
      </c>
      <c r="Q49" s="22">
        <f>O49+I49-P49</f>
        <v/>
      </c>
      <c r="BE49" s="20" t="n">
        <v>45705.5</v>
      </c>
      <c r="BF49" s="20" t="n">
        <v>45705.125</v>
      </c>
      <c r="BG49" s="20" t="n">
        <v>45705.54166666666</v>
      </c>
      <c r="BH49" s="20" t="n">
        <v>45705.625</v>
      </c>
    </row>
    <row r="50">
      <c r="A50" s="5">
        <f>A49+1</f>
        <v/>
      </c>
      <c r="B50" s="3">
        <f>-SUMIFS(df_extrato_zig!G:G,df_extrato_zig!E:E,Conciliacao!A50,df_extrato_zig!D:D,"Saque")-SUMIFS(df_extrato_zig!G:G,df_extrato_zig!E:E,Conciliacao!A50,df_extrato_zig!D:D,"Antecipação")</f>
        <v/>
      </c>
      <c r="C50" s="3">
        <f>SUMIFS(df_extrato_zig!E:E,df_extrato_zig!L:L,Conciliacao!A50,df_extrato_zig!F:F,"DINHEIRO")</f>
        <v/>
      </c>
      <c r="D50" s="3">
        <f>SUMIFS(view_parc_agrup!H:H,view_parc_agrup!G:G,Conciliacao!A50)</f>
        <v/>
      </c>
      <c r="E50" s="3">
        <f>SUMIFS(df_eventos!F:F,df_eventos!H:H,Conciliacao!A50)</f>
        <v/>
      </c>
      <c r="F50" s="3">
        <f>SUMIFS(df_mutuos!M:M,df_mutuos!B:B,Conciliacao!A50)</f>
        <v/>
      </c>
      <c r="G50" s="6">
        <f>SUMIFS(df_bloqueios_judiciais!G:G,df_bloqueios_judiciais!D:D,Conciliacao!A50,df_bloqueios_judiciais!G:G,"&gt;0")</f>
        <v/>
      </c>
      <c r="H50" s="7">
        <f>SUMIFS(df_extratos!I:I,df_extratos!F:F,"&gt;="&amp;Conciliacao!BE50,df_extratos!F:F,"&lt;"&amp;Conciliacao!BE50+1,df_extratos!G:G,"CREDITO")
+SUMIFS(df_extratos!I:I,df_extratos!F:F,"&gt;="&amp;Conciliacao!A50, df_extratos!F:F,"&lt;"&amp;Conciliacao!A50+1, df_extratos!G:G,"CREDITO")
+SUMIFS(df_extratos!I:I,df_extratos!F:F,"&gt;="&amp;Conciliacao!BF50,df_extratos!F:F,"&lt;"&amp;Conciliacao!BF50+1,df_extratos!G:G,"CREDITO")
+SUMIFS(df_extratos!I:I,df_extratos!F:F,"&gt;="&amp;Conciliacao!BG50,df_extratos!F:F,"&lt;"&amp;Conciliacao!BG50+1,df_extratos!G:G,"CREDITO")
+SUMIFS(df_extratos!I:I,df_extratos!F:F,"&gt;="&amp;Conciliacao!BH50,df_extratos!F:F,"&lt;"&amp;Conciliacao!BH50+1,df_extratos!G:G,"CREDITO")</f>
        <v/>
      </c>
      <c r="I50" s="9">
        <f>H50-SUM(B50:G50)</f>
        <v/>
      </c>
      <c r="J50" s="4">
        <f>SUMIFS(df_blueme_sem_parcelamento!E:E,df_blueme_sem_parcelamento!H:H,Conciliacao!A50)*(-1)</f>
        <v/>
      </c>
      <c r="K50" s="4">
        <f>SUMIFS(df_blueme_com_parcelamento!J:J,df_blueme_com_parcelamento!M:M,Conciliacao!A50)*(-1)</f>
        <v/>
      </c>
      <c r="L50" s="4">
        <f>SUMIFS(df_mutuos!N:N,df_mutuos!B:B,Conciliacao!A50)*(-1)</f>
        <v/>
      </c>
      <c r="M50" s="8">
        <f>SUMIFS(df_bloqueios_judiciais!G:G,df_bloqueios_judiciais!D:D,Conciliacao!A50,df_bloqueios_judiciais!G:G,"&lt;0")</f>
        <v/>
      </c>
      <c r="N50" s="10">
        <f>SUMIFS(df_extratos!I:I,df_extratos!F:F,"&gt;="&amp;Conciliacao!BE50,df_extratos!F:F,"&lt;"&amp;Conciliacao!BE50+1,df_extratos!G:G,"DEBITO")
+SUMIFS(df_extratos!I:I,df_extratos!F:F,"&gt;="&amp;Conciliacao!A50, df_extratos!F:F,"&lt;"&amp;Conciliacao!A50+1, df_extratos!G:G,"DEBITO")
+SUMIFS(df_extratos!I:I,df_extratos!F:F,"&gt;="&amp;Conciliacao!BF50,df_extratos!F:F,"&lt;"&amp;Conciliacao!BF50+1,df_extratos!G:G,"DEBITO")
+SUMIFS(df_extratos!I:I,df_extratos!F:F,"&gt;="&amp;Conciliacao!BG50,df_extratos!F:F,"&lt;"&amp;Conciliacao!BG50+1,df_extratos!G:G,"DEBITO")
+SUMIFS(df_extratos!I:I,df_extratos!F:F,"&gt;="&amp;Conciliacao!BH50,df_extratos!F:F,"&lt;"&amp;Conciliacao!BH50+1,df_extratos!G:G,"DEBITO")</f>
        <v/>
      </c>
      <c r="O50" s="11">
        <f>N50-SUM(J50:M50)</f>
        <v/>
      </c>
      <c r="P50" s="25">
        <f>SUMIFS(df_ajustes_conciliaco!D:D,df_ajustes_conciliaco!C:C,Conciliacao!A50)</f>
        <v/>
      </c>
      <c r="Q50" s="22">
        <f>O50+I50-P50</f>
        <v/>
      </c>
      <c r="BE50" s="20" t="n">
        <v>45706.5</v>
      </c>
      <c r="BF50" s="20" t="n">
        <v>45706.125</v>
      </c>
      <c r="BG50" s="20" t="n">
        <v>45706.54166666666</v>
      </c>
      <c r="BH50" s="20" t="n">
        <v>45706.625</v>
      </c>
    </row>
    <row r="51">
      <c r="A51" s="5">
        <f>A50+1</f>
        <v/>
      </c>
      <c r="B51" s="3">
        <f>-SUMIFS(df_extrato_zig!G:G,df_extrato_zig!E:E,Conciliacao!A51,df_extrato_zig!D:D,"Saque")-SUMIFS(df_extrato_zig!G:G,df_extrato_zig!E:E,Conciliacao!A51,df_extrato_zig!D:D,"Antecipação")</f>
        <v/>
      </c>
      <c r="C51" s="3">
        <f>SUMIFS(df_extrato_zig!E:E,df_extrato_zig!L:L,Conciliacao!A51,df_extrato_zig!F:F,"DINHEIRO")</f>
        <v/>
      </c>
      <c r="D51" s="3">
        <f>SUMIFS(view_parc_agrup!H:H,view_parc_agrup!G:G,Conciliacao!A51)</f>
        <v/>
      </c>
      <c r="E51" s="3">
        <f>SUMIFS(df_eventos!F:F,df_eventos!H:H,Conciliacao!A51)</f>
        <v/>
      </c>
      <c r="F51" s="3">
        <f>SUMIFS(df_mutuos!M:M,df_mutuos!B:B,Conciliacao!A51)</f>
        <v/>
      </c>
      <c r="G51" s="6">
        <f>SUMIFS(df_bloqueios_judiciais!G:G,df_bloqueios_judiciais!D:D,Conciliacao!A51,df_bloqueios_judiciais!G:G,"&gt;0")</f>
        <v/>
      </c>
      <c r="H51" s="7">
        <f>SUMIFS(df_extratos!I:I,df_extratos!F:F,"&gt;="&amp;Conciliacao!BE51,df_extratos!F:F,"&lt;"&amp;Conciliacao!BE51+1,df_extratos!G:G,"CREDITO")
+SUMIFS(df_extratos!I:I,df_extratos!F:F,"&gt;="&amp;Conciliacao!A51, df_extratos!F:F,"&lt;"&amp;Conciliacao!A51+1, df_extratos!G:G,"CREDITO")
+SUMIFS(df_extratos!I:I,df_extratos!F:F,"&gt;="&amp;Conciliacao!BF51,df_extratos!F:F,"&lt;"&amp;Conciliacao!BF51+1,df_extratos!G:G,"CREDITO")
+SUMIFS(df_extratos!I:I,df_extratos!F:F,"&gt;="&amp;Conciliacao!BG51,df_extratos!F:F,"&lt;"&amp;Conciliacao!BG51+1,df_extratos!G:G,"CREDITO")
+SUMIFS(df_extratos!I:I,df_extratos!F:F,"&gt;="&amp;Conciliacao!BH51,df_extratos!F:F,"&lt;"&amp;Conciliacao!BH51+1,df_extratos!G:G,"CREDITO")</f>
        <v/>
      </c>
      <c r="I51" s="9">
        <f>H51-SUM(B51:G51)</f>
        <v/>
      </c>
      <c r="J51" s="4">
        <f>SUMIFS(df_blueme_sem_parcelamento!E:E,df_blueme_sem_parcelamento!H:H,Conciliacao!A51)*(-1)</f>
        <v/>
      </c>
      <c r="K51" s="4">
        <f>SUMIFS(df_blueme_com_parcelamento!J:J,df_blueme_com_parcelamento!M:M,Conciliacao!A51)*(-1)</f>
        <v/>
      </c>
      <c r="L51" s="4">
        <f>SUMIFS(df_mutuos!N:N,df_mutuos!B:B,Conciliacao!A51)*(-1)</f>
        <v/>
      </c>
      <c r="M51" s="8">
        <f>SUMIFS(df_bloqueios_judiciais!G:G,df_bloqueios_judiciais!D:D,Conciliacao!A51,df_bloqueios_judiciais!G:G,"&lt;0")</f>
        <v/>
      </c>
      <c r="N51" s="10">
        <f>SUMIFS(df_extratos!I:I,df_extratos!F:F,"&gt;="&amp;Conciliacao!BE51,df_extratos!F:F,"&lt;"&amp;Conciliacao!BE51+1,df_extratos!G:G,"DEBITO")
+SUMIFS(df_extratos!I:I,df_extratos!F:F,"&gt;="&amp;Conciliacao!A51, df_extratos!F:F,"&lt;"&amp;Conciliacao!A51+1, df_extratos!G:G,"DEBITO")
+SUMIFS(df_extratos!I:I,df_extratos!F:F,"&gt;="&amp;Conciliacao!BF51,df_extratos!F:F,"&lt;"&amp;Conciliacao!BF51+1,df_extratos!G:G,"DEBITO")
+SUMIFS(df_extratos!I:I,df_extratos!F:F,"&gt;="&amp;Conciliacao!BG51,df_extratos!F:F,"&lt;"&amp;Conciliacao!BG51+1,df_extratos!G:G,"DEBITO")
+SUMIFS(df_extratos!I:I,df_extratos!F:F,"&gt;="&amp;Conciliacao!BH51,df_extratos!F:F,"&lt;"&amp;Conciliacao!BH51+1,df_extratos!G:G,"DEBITO")</f>
        <v/>
      </c>
      <c r="O51" s="11">
        <f>N51-SUM(J51:M51)</f>
        <v/>
      </c>
      <c r="P51" s="25">
        <f>SUMIFS(df_ajustes_conciliaco!D:D,df_ajustes_conciliaco!C:C,Conciliacao!A51)</f>
        <v/>
      </c>
      <c r="Q51" s="22">
        <f>O51+I51-P51</f>
        <v/>
      </c>
      <c r="BE51" s="20" t="n">
        <v>45707.5</v>
      </c>
      <c r="BF51" s="20" t="n">
        <v>45707.125</v>
      </c>
      <c r="BG51" s="20" t="n">
        <v>45707.54166666666</v>
      </c>
      <c r="BH51" s="20" t="n">
        <v>45707.625</v>
      </c>
    </row>
    <row r="52">
      <c r="A52" s="5">
        <f>A51+1</f>
        <v/>
      </c>
      <c r="B52" s="3">
        <f>-SUMIFS(df_extrato_zig!G:G,df_extrato_zig!E:E,Conciliacao!A52,df_extrato_zig!D:D,"Saque")-SUMIFS(df_extrato_zig!G:G,df_extrato_zig!E:E,Conciliacao!A52,df_extrato_zig!D:D,"Antecipação")</f>
        <v/>
      </c>
      <c r="C52" s="3">
        <f>SUMIFS(df_extrato_zig!E:E,df_extrato_zig!L:L,Conciliacao!A52,df_extrato_zig!F:F,"DINHEIRO")</f>
        <v/>
      </c>
      <c r="D52" s="3">
        <f>SUMIFS(view_parc_agrup!H:H,view_parc_agrup!G:G,Conciliacao!A52)</f>
        <v/>
      </c>
      <c r="E52" s="3">
        <f>SUMIFS(df_eventos!F:F,df_eventos!H:H,Conciliacao!A52)</f>
        <v/>
      </c>
      <c r="F52" s="3">
        <f>SUMIFS(df_mutuos!M:M,df_mutuos!B:B,Conciliacao!A52)</f>
        <v/>
      </c>
      <c r="G52" s="6">
        <f>SUMIFS(df_bloqueios_judiciais!G:G,df_bloqueios_judiciais!D:D,Conciliacao!A52,df_bloqueios_judiciais!G:G,"&gt;0")</f>
        <v/>
      </c>
      <c r="H52" s="7">
        <f>SUMIFS(df_extratos!I:I,df_extratos!F:F,"&gt;="&amp;Conciliacao!BE52,df_extratos!F:F,"&lt;"&amp;Conciliacao!BE52+1,df_extratos!G:G,"CREDITO")
+SUMIFS(df_extratos!I:I,df_extratos!F:F,"&gt;="&amp;Conciliacao!A52, df_extratos!F:F,"&lt;"&amp;Conciliacao!A52+1, df_extratos!G:G,"CREDITO")
+SUMIFS(df_extratos!I:I,df_extratos!F:F,"&gt;="&amp;Conciliacao!BF52,df_extratos!F:F,"&lt;"&amp;Conciliacao!BF52+1,df_extratos!G:G,"CREDITO")
+SUMIFS(df_extratos!I:I,df_extratos!F:F,"&gt;="&amp;Conciliacao!BG52,df_extratos!F:F,"&lt;"&amp;Conciliacao!BG52+1,df_extratos!G:G,"CREDITO")
+SUMIFS(df_extratos!I:I,df_extratos!F:F,"&gt;="&amp;Conciliacao!BH52,df_extratos!F:F,"&lt;"&amp;Conciliacao!BH52+1,df_extratos!G:G,"CREDITO")</f>
        <v/>
      </c>
      <c r="I52" s="9">
        <f>H52-SUM(B52:G52)</f>
        <v/>
      </c>
      <c r="J52" s="4">
        <f>SUMIFS(df_blueme_sem_parcelamento!E:E,df_blueme_sem_parcelamento!H:H,Conciliacao!A52)*(-1)</f>
        <v/>
      </c>
      <c r="K52" s="4">
        <f>SUMIFS(df_blueme_com_parcelamento!J:J,df_blueme_com_parcelamento!M:M,Conciliacao!A52)*(-1)</f>
        <v/>
      </c>
      <c r="L52" s="4">
        <f>SUMIFS(df_mutuos!N:N,df_mutuos!B:B,Conciliacao!A52)*(-1)</f>
        <v/>
      </c>
      <c r="M52" s="8">
        <f>SUMIFS(df_bloqueios_judiciais!G:G,df_bloqueios_judiciais!D:D,Conciliacao!A52,df_bloqueios_judiciais!G:G,"&lt;0")</f>
        <v/>
      </c>
      <c r="N52" s="10">
        <f>SUMIFS(df_extratos!I:I,df_extratos!F:F,"&gt;="&amp;Conciliacao!BE52,df_extratos!F:F,"&lt;"&amp;Conciliacao!BE52+1,df_extratos!G:G,"DEBITO")
+SUMIFS(df_extratos!I:I,df_extratos!F:F,"&gt;="&amp;Conciliacao!A52, df_extratos!F:F,"&lt;"&amp;Conciliacao!A52+1, df_extratos!G:G,"DEBITO")
+SUMIFS(df_extratos!I:I,df_extratos!F:F,"&gt;="&amp;Conciliacao!BF52,df_extratos!F:F,"&lt;"&amp;Conciliacao!BF52+1,df_extratos!G:G,"DEBITO")
+SUMIFS(df_extratos!I:I,df_extratos!F:F,"&gt;="&amp;Conciliacao!BG52,df_extratos!F:F,"&lt;"&amp;Conciliacao!BG52+1,df_extratos!G:G,"DEBITO")
+SUMIFS(df_extratos!I:I,df_extratos!F:F,"&gt;="&amp;Conciliacao!BH52,df_extratos!F:F,"&lt;"&amp;Conciliacao!BH52+1,df_extratos!G:G,"DEBITO")</f>
        <v/>
      </c>
      <c r="O52" s="11">
        <f>N52-SUM(J52:M52)</f>
        <v/>
      </c>
      <c r="P52" s="25">
        <f>SUMIFS(df_ajustes_conciliaco!D:D,df_ajustes_conciliaco!C:C,Conciliacao!A52)</f>
        <v/>
      </c>
      <c r="Q52" s="22">
        <f>O52+I52-P52</f>
        <v/>
      </c>
      <c r="BE52" s="20" t="n">
        <v>45708.5</v>
      </c>
      <c r="BF52" s="20" t="n">
        <v>45708.125</v>
      </c>
      <c r="BG52" s="20" t="n">
        <v>45708.54166666666</v>
      </c>
      <c r="BH52" s="20" t="n">
        <v>45708.625</v>
      </c>
    </row>
    <row r="53">
      <c r="A53" s="5">
        <f>A52+1</f>
        <v/>
      </c>
      <c r="B53" s="3">
        <f>-SUMIFS(df_extrato_zig!G:G,df_extrato_zig!E:E,Conciliacao!A53,df_extrato_zig!D:D,"Saque")-SUMIFS(df_extrato_zig!G:G,df_extrato_zig!E:E,Conciliacao!A53,df_extrato_zig!D:D,"Antecipação")</f>
        <v/>
      </c>
      <c r="C53" s="3">
        <f>SUMIFS(df_extrato_zig!E:E,df_extrato_zig!L:L,Conciliacao!A53,df_extrato_zig!F:F,"DINHEIRO")</f>
        <v/>
      </c>
      <c r="D53" s="3">
        <f>SUMIFS(view_parc_agrup!H:H,view_parc_agrup!G:G,Conciliacao!A53)</f>
        <v/>
      </c>
      <c r="E53" s="3">
        <f>SUMIFS(df_eventos!F:F,df_eventos!H:H,Conciliacao!A53)</f>
        <v/>
      </c>
      <c r="F53" s="3">
        <f>SUMIFS(df_mutuos!M:M,df_mutuos!B:B,Conciliacao!A53)</f>
        <v/>
      </c>
      <c r="G53" s="6">
        <f>SUMIFS(df_bloqueios_judiciais!G:G,df_bloqueios_judiciais!D:D,Conciliacao!A53,df_bloqueios_judiciais!G:G,"&gt;0")</f>
        <v/>
      </c>
      <c r="H53" s="7">
        <f>SUMIFS(df_extratos!I:I,df_extratos!F:F,"&gt;="&amp;Conciliacao!BE53,df_extratos!F:F,"&lt;"&amp;Conciliacao!BE53+1,df_extratos!G:G,"CREDITO")
+SUMIFS(df_extratos!I:I,df_extratos!F:F,"&gt;="&amp;Conciliacao!A53, df_extratos!F:F,"&lt;"&amp;Conciliacao!A53+1, df_extratos!G:G,"CREDITO")
+SUMIFS(df_extratos!I:I,df_extratos!F:F,"&gt;="&amp;Conciliacao!BF53,df_extratos!F:F,"&lt;"&amp;Conciliacao!BF53+1,df_extratos!G:G,"CREDITO")
+SUMIFS(df_extratos!I:I,df_extratos!F:F,"&gt;="&amp;Conciliacao!BG53,df_extratos!F:F,"&lt;"&amp;Conciliacao!BG53+1,df_extratos!G:G,"CREDITO")
+SUMIFS(df_extratos!I:I,df_extratos!F:F,"&gt;="&amp;Conciliacao!BH53,df_extratos!F:F,"&lt;"&amp;Conciliacao!BH53+1,df_extratos!G:G,"CREDITO")</f>
        <v/>
      </c>
      <c r="I53" s="9">
        <f>H53-SUM(B53:G53)</f>
        <v/>
      </c>
      <c r="J53" s="4">
        <f>SUMIFS(df_blueme_sem_parcelamento!E:E,df_blueme_sem_parcelamento!H:H,Conciliacao!A53)*(-1)</f>
        <v/>
      </c>
      <c r="K53" s="4">
        <f>SUMIFS(df_blueme_com_parcelamento!J:J,df_blueme_com_parcelamento!M:M,Conciliacao!A53)*(-1)</f>
        <v/>
      </c>
      <c r="L53" s="4">
        <f>SUMIFS(df_mutuos!N:N,df_mutuos!B:B,Conciliacao!A53)*(-1)</f>
        <v/>
      </c>
      <c r="M53" s="8">
        <f>SUMIFS(df_bloqueios_judiciais!G:G,df_bloqueios_judiciais!D:D,Conciliacao!A53,df_bloqueios_judiciais!G:G,"&lt;0")</f>
        <v/>
      </c>
      <c r="N53" s="10">
        <f>SUMIFS(df_extratos!I:I,df_extratos!F:F,"&gt;="&amp;Conciliacao!BE53,df_extratos!F:F,"&lt;"&amp;Conciliacao!BE53+1,df_extratos!G:G,"DEBITO")
+SUMIFS(df_extratos!I:I,df_extratos!F:F,"&gt;="&amp;Conciliacao!A53, df_extratos!F:F,"&lt;"&amp;Conciliacao!A53+1, df_extratos!G:G,"DEBITO")
+SUMIFS(df_extratos!I:I,df_extratos!F:F,"&gt;="&amp;Conciliacao!BF53,df_extratos!F:F,"&lt;"&amp;Conciliacao!BF53+1,df_extratos!G:G,"DEBITO")
+SUMIFS(df_extratos!I:I,df_extratos!F:F,"&gt;="&amp;Conciliacao!BG53,df_extratos!F:F,"&lt;"&amp;Conciliacao!BG53+1,df_extratos!G:G,"DEBITO")
+SUMIFS(df_extratos!I:I,df_extratos!F:F,"&gt;="&amp;Conciliacao!BH53,df_extratos!F:F,"&lt;"&amp;Conciliacao!BH53+1,df_extratos!G:G,"DEBITO")</f>
        <v/>
      </c>
      <c r="O53" s="11">
        <f>N53-SUM(J53:M53)</f>
        <v/>
      </c>
      <c r="P53" s="25">
        <f>SUMIFS(df_ajustes_conciliaco!D:D,df_ajustes_conciliaco!C:C,Conciliacao!A53)</f>
        <v/>
      </c>
      <c r="Q53" s="22">
        <f>O53+I53-P53</f>
        <v/>
      </c>
      <c r="BE53" s="20" t="n">
        <v>45709.5</v>
      </c>
      <c r="BF53" s="20" t="n">
        <v>45709.125</v>
      </c>
      <c r="BG53" s="20" t="n">
        <v>45709.54166666666</v>
      </c>
      <c r="BH53" s="20" t="n">
        <v>45709.625</v>
      </c>
    </row>
    <row r="54">
      <c r="A54" s="5">
        <f>A53+1</f>
        <v/>
      </c>
      <c r="B54" s="3">
        <f>-SUMIFS(df_extrato_zig!G:G,df_extrato_zig!E:E,Conciliacao!A54,df_extrato_zig!D:D,"Saque")-SUMIFS(df_extrato_zig!G:G,df_extrato_zig!E:E,Conciliacao!A54,df_extrato_zig!D:D,"Antecipação")</f>
        <v/>
      </c>
      <c r="C54" s="3">
        <f>SUMIFS(df_extrato_zig!E:E,df_extrato_zig!L:L,Conciliacao!A54,df_extrato_zig!F:F,"DINHEIRO")</f>
        <v/>
      </c>
      <c r="D54" s="3">
        <f>SUMIFS(view_parc_agrup!H:H,view_parc_agrup!G:G,Conciliacao!A54)</f>
        <v/>
      </c>
      <c r="E54" s="3">
        <f>SUMIFS(df_eventos!F:F,df_eventos!H:H,Conciliacao!A54)</f>
        <v/>
      </c>
      <c r="F54" s="3">
        <f>SUMIFS(df_mutuos!M:M,df_mutuos!B:B,Conciliacao!A54)</f>
        <v/>
      </c>
      <c r="G54" s="6">
        <f>SUMIFS(df_bloqueios_judiciais!G:G,df_bloqueios_judiciais!D:D,Conciliacao!A54,df_bloqueios_judiciais!G:G,"&gt;0")</f>
        <v/>
      </c>
      <c r="H54" s="7">
        <f>SUMIFS(df_extratos!I:I,df_extratos!F:F,"&gt;="&amp;Conciliacao!BE54,df_extratos!F:F,"&lt;"&amp;Conciliacao!BE54+1,df_extratos!G:G,"CREDITO")
+SUMIFS(df_extratos!I:I,df_extratos!F:F,"&gt;="&amp;Conciliacao!A54, df_extratos!F:F,"&lt;"&amp;Conciliacao!A54+1, df_extratos!G:G,"CREDITO")
+SUMIFS(df_extratos!I:I,df_extratos!F:F,"&gt;="&amp;Conciliacao!BF54,df_extratos!F:F,"&lt;"&amp;Conciliacao!BF54+1,df_extratos!G:G,"CREDITO")
+SUMIFS(df_extratos!I:I,df_extratos!F:F,"&gt;="&amp;Conciliacao!BG54,df_extratos!F:F,"&lt;"&amp;Conciliacao!BG54+1,df_extratos!G:G,"CREDITO")
+SUMIFS(df_extratos!I:I,df_extratos!F:F,"&gt;="&amp;Conciliacao!BH54,df_extratos!F:F,"&lt;"&amp;Conciliacao!BH54+1,df_extratos!G:G,"CREDITO")</f>
        <v/>
      </c>
      <c r="I54" s="9">
        <f>H54-SUM(B54:G54)</f>
        <v/>
      </c>
      <c r="J54" s="4">
        <f>SUMIFS(df_blueme_sem_parcelamento!E:E,df_blueme_sem_parcelamento!H:H,Conciliacao!A54)*(-1)</f>
        <v/>
      </c>
      <c r="K54" s="4">
        <f>SUMIFS(df_blueme_com_parcelamento!J:J,df_blueme_com_parcelamento!M:M,Conciliacao!A54)*(-1)</f>
        <v/>
      </c>
      <c r="L54" s="4">
        <f>SUMIFS(df_mutuos!N:N,df_mutuos!B:B,Conciliacao!A54)*(-1)</f>
        <v/>
      </c>
      <c r="M54" s="8">
        <f>SUMIFS(df_bloqueios_judiciais!G:G,df_bloqueios_judiciais!D:D,Conciliacao!A54,df_bloqueios_judiciais!G:G,"&lt;0")</f>
        <v/>
      </c>
      <c r="N54" s="10">
        <f>SUMIFS(df_extratos!I:I,df_extratos!F:F,"&gt;="&amp;Conciliacao!BE54,df_extratos!F:F,"&lt;"&amp;Conciliacao!BE54+1,df_extratos!G:G,"DEBITO")
+SUMIFS(df_extratos!I:I,df_extratos!F:F,"&gt;="&amp;Conciliacao!A54, df_extratos!F:F,"&lt;"&amp;Conciliacao!A54+1, df_extratos!G:G,"DEBITO")
+SUMIFS(df_extratos!I:I,df_extratos!F:F,"&gt;="&amp;Conciliacao!BF54,df_extratos!F:F,"&lt;"&amp;Conciliacao!BF54+1,df_extratos!G:G,"DEBITO")
+SUMIFS(df_extratos!I:I,df_extratos!F:F,"&gt;="&amp;Conciliacao!BG54,df_extratos!F:F,"&lt;"&amp;Conciliacao!BG54+1,df_extratos!G:G,"DEBITO")
+SUMIFS(df_extratos!I:I,df_extratos!F:F,"&gt;="&amp;Conciliacao!BH54,df_extratos!F:F,"&lt;"&amp;Conciliacao!BH54+1,df_extratos!G:G,"DEBITO")</f>
        <v/>
      </c>
      <c r="O54" s="11">
        <f>N54-SUM(J54:M54)</f>
        <v/>
      </c>
      <c r="P54" s="25">
        <f>SUMIFS(df_ajustes_conciliaco!D:D,df_ajustes_conciliaco!C:C,Conciliacao!A54)</f>
        <v/>
      </c>
      <c r="Q54" s="22">
        <f>O54+I54-P54</f>
        <v/>
      </c>
      <c r="BE54" s="20" t="n">
        <v>45710.5</v>
      </c>
      <c r="BF54" s="20" t="n">
        <v>45710.125</v>
      </c>
      <c r="BG54" s="20" t="n">
        <v>45710.54166666666</v>
      </c>
      <c r="BH54" s="20" t="n">
        <v>45710.625</v>
      </c>
    </row>
    <row r="55">
      <c r="A55" s="5">
        <f>A54+1</f>
        <v/>
      </c>
      <c r="B55" s="3">
        <f>-SUMIFS(df_extrato_zig!G:G,df_extrato_zig!E:E,Conciliacao!A55,df_extrato_zig!D:D,"Saque")-SUMIFS(df_extrato_zig!G:G,df_extrato_zig!E:E,Conciliacao!A55,df_extrato_zig!D:D,"Antecipação")</f>
        <v/>
      </c>
      <c r="C55" s="3">
        <f>SUMIFS(df_extrato_zig!E:E,df_extrato_zig!L:L,Conciliacao!A55,df_extrato_zig!F:F,"DINHEIRO")</f>
        <v/>
      </c>
      <c r="D55" s="3">
        <f>SUMIFS(view_parc_agrup!H:H,view_parc_agrup!G:G,Conciliacao!A55)</f>
        <v/>
      </c>
      <c r="E55" s="3">
        <f>SUMIFS(df_eventos!F:F,df_eventos!H:H,Conciliacao!A55)</f>
        <v/>
      </c>
      <c r="F55" s="3">
        <f>SUMIFS(df_mutuos!M:M,df_mutuos!B:B,Conciliacao!A55)</f>
        <v/>
      </c>
      <c r="G55" s="6">
        <f>SUMIFS(df_bloqueios_judiciais!G:G,df_bloqueios_judiciais!D:D,Conciliacao!A55,df_bloqueios_judiciais!G:G,"&gt;0")</f>
        <v/>
      </c>
      <c r="H55" s="7">
        <f>SUMIFS(df_extratos!I:I,df_extratos!F:F,"&gt;="&amp;Conciliacao!BE55,df_extratos!F:F,"&lt;"&amp;Conciliacao!BE55+1,df_extratos!G:G,"CREDITO")
+SUMIFS(df_extratos!I:I,df_extratos!F:F,"&gt;="&amp;Conciliacao!A55, df_extratos!F:F,"&lt;"&amp;Conciliacao!A55+1, df_extratos!G:G,"CREDITO")
+SUMIFS(df_extratos!I:I,df_extratos!F:F,"&gt;="&amp;Conciliacao!BF55,df_extratos!F:F,"&lt;"&amp;Conciliacao!BF55+1,df_extratos!G:G,"CREDITO")
+SUMIFS(df_extratos!I:I,df_extratos!F:F,"&gt;="&amp;Conciliacao!BG55,df_extratos!F:F,"&lt;"&amp;Conciliacao!BG55+1,df_extratos!G:G,"CREDITO")
+SUMIFS(df_extratos!I:I,df_extratos!F:F,"&gt;="&amp;Conciliacao!BH55,df_extratos!F:F,"&lt;"&amp;Conciliacao!BH55+1,df_extratos!G:G,"CREDITO")</f>
        <v/>
      </c>
      <c r="I55" s="9">
        <f>H55-SUM(B55:G55)</f>
        <v/>
      </c>
      <c r="J55" s="4">
        <f>SUMIFS(df_blueme_sem_parcelamento!E:E,df_blueme_sem_parcelamento!H:H,Conciliacao!A55)*(-1)</f>
        <v/>
      </c>
      <c r="K55" s="4">
        <f>SUMIFS(df_blueme_com_parcelamento!J:J,df_blueme_com_parcelamento!M:M,Conciliacao!A55)*(-1)</f>
        <v/>
      </c>
      <c r="L55" s="4">
        <f>SUMIFS(df_mutuos!N:N,df_mutuos!B:B,Conciliacao!A55)*(-1)</f>
        <v/>
      </c>
      <c r="M55" s="8">
        <f>SUMIFS(df_bloqueios_judiciais!G:G,df_bloqueios_judiciais!D:D,Conciliacao!A55,df_bloqueios_judiciais!G:G,"&lt;0")</f>
        <v/>
      </c>
      <c r="N55" s="10">
        <f>SUMIFS(df_extratos!I:I,df_extratos!F:F,"&gt;="&amp;Conciliacao!BE55,df_extratos!F:F,"&lt;"&amp;Conciliacao!BE55+1,df_extratos!G:G,"DEBITO")
+SUMIFS(df_extratos!I:I,df_extratos!F:F,"&gt;="&amp;Conciliacao!A55, df_extratos!F:F,"&lt;"&amp;Conciliacao!A55+1, df_extratos!G:G,"DEBITO")
+SUMIFS(df_extratos!I:I,df_extratos!F:F,"&gt;="&amp;Conciliacao!BF55,df_extratos!F:F,"&lt;"&amp;Conciliacao!BF55+1,df_extratos!G:G,"DEBITO")
+SUMIFS(df_extratos!I:I,df_extratos!F:F,"&gt;="&amp;Conciliacao!BG55,df_extratos!F:F,"&lt;"&amp;Conciliacao!BG55+1,df_extratos!G:G,"DEBITO")
+SUMIFS(df_extratos!I:I,df_extratos!F:F,"&gt;="&amp;Conciliacao!BH55,df_extratos!F:F,"&lt;"&amp;Conciliacao!BH55+1,df_extratos!G:G,"DEBITO")</f>
        <v/>
      </c>
      <c r="O55" s="11">
        <f>N55-SUM(J55:M55)</f>
        <v/>
      </c>
      <c r="P55" s="25">
        <f>SUMIFS(df_ajustes_conciliaco!D:D,df_ajustes_conciliaco!C:C,Conciliacao!A55)</f>
        <v/>
      </c>
      <c r="Q55" s="22">
        <f>O55+I55-P55</f>
        <v/>
      </c>
      <c r="BE55" s="20" t="n">
        <v>45711.5</v>
      </c>
      <c r="BF55" s="20" t="n">
        <v>45711.125</v>
      </c>
      <c r="BG55" s="20" t="n">
        <v>45711.54166666666</v>
      </c>
      <c r="BH55" s="20" t="n">
        <v>45711.625</v>
      </c>
    </row>
    <row r="56">
      <c r="A56" s="5">
        <f>A55+1</f>
        <v/>
      </c>
      <c r="B56" s="3">
        <f>-SUMIFS(df_extrato_zig!G:G,df_extrato_zig!E:E,Conciliacao!A56,df_extrato_zig!D:D,"Saque")-SUMIFS(df_extrato_zig!G:G,df_extrato_zig!E:E,Conciliacao!A56,df_extrato_zig!D:D,"Antecipação")</f>
        <v/>
      </c>
      <c r="C56" s="3">
        <f>SUMIFS(df_extrato_zig!E:E,df_extrato_zig!L:L,Conciliacao!A56,df_extrato_zig!F:F,"DINHEIRO")</f>
        <v/>
      </c>
      <c r="D56" s="3">
        <f>SUMIFS(view_parc_agrup!H:H,view_parc_agrup!G:G,Conciliacao!A56)</f>
        <v/>
      </c>
      <c r="E56" s="3">
        <f>SUMIFS(df_eventos!F:F,df_eventos!H:H,Conciliacao!A56)</f>
        <v/>
      </c>
      <c r="F56" s="3">
        <f>SUMIFS(df_mutuos!M:M,df_mutuos!B:B,Conciliacao!A56)</f>
        <v/>
      </c>
      <c r="G56" s="6">
        <f>SUMIFS(df_bloqueios_judiciais!G:G,df_bloqueios_judiciais!D:D,Conciliacao!A56,df_bloqueios_judiciais!G:G,"&gt;0")</f>
        <v/>
      </c>
      <c r="H56" s="7">
        <f>SUMIFS(df_extratos!I:I,df_extratos!F:F,"&gt;="&amp;Conciliacao!BE56,df_extratos!F:F,"&lt;"&amp;Conciliacao!BE56+1,df_extratos!G:G,"CREDITO")
+SUMIFS(df_extratos!I:I,df_extratos!F:F,"&gt;="&amp;Conciliacao!A56, df_extratos!F:F,"&lt;"&amp;Conciliacao!A56+1, df_extratos!G:G,"CREDITO")
+SUMIFS(df_extratos!I:I,df_extratos!F:F,"&gt;="&amp;Conciliacao!BF56,df_extratos!F:F,"&lt;"&amp;Conciliacao!BF56+1,df_extratos!G:G,"CREDITO")
+SUMIFS(df_extratos!I:I,df_extratos!F:F,"&gt;="&amp;Conciliacao!BG56,df_extratos!F:F,"&lt;"&amp;Conciliacao!BG56+1,df_extratos!G:G,"CREDITO")
+SUMIFS(df_extratos!I:I,df_extratos!F:F,"&gt;="&amp;Conciliacao!BH56,df_extratos!F:F,"&lt;"&amp;Conciliacao!BH56+1,df_extratos!G:G,"CREDITO")</f>
        <v/>
      </c>
      <c r="I56" s="9">
        <f>H56-SUM(B56:G56)</f>
        <v/>
      </c>
      <c r="J56" s="4">
        <f>SUMIFS(df_blueme_sem_parcelamento!E:E,df_blueme_sem_parcelamento!H:H,Conciliacao!A56)*(-1)</f>
        <v/>
      </c>
      <c r="K56" s="4">
        <f>SUMIFS(df_blueme_com_parcelamento!J:J,df_blueme_com_parcelamento!M:M,Conciliacao!A56)*(-1)</f>
        <v/>
      </c>
      <c r="L56" s="4">
        <f>SUMIFS(df_mutuos!N:N,df_mutuos!B:B,Conciliacao!A56)*(-1)</f>
        <v/>
      </c>
      <c r="M56" s="8">
        <f>SUMIFS(df_bloqueios_judiciais!G:G,df_bloqueios_judiciais!D:D,Conciliacao!A56,df_bloqueios_judiciais!G:G,"&lt;0")</f>
        <v/>
      </c>
      <c r="N56" s="10">
        <f>SUMIFS(df_extratos!I:I,df_extratos!F:F,"&gt;="&amp;Conciliacao!BE56,df_extratos!F:F,"&lt;"&amp;Conciliacao!BE56+1,df_extratos!G:G,"DEBITO")
+SUMIFS(df_extratos!I:I,df_extratos!F:F,"&gt;="&amp;Conciliacao!A56, df_extratos!F:F,"&lt;"&amp;Conciliacao!A56+1, df_extratos!G:G,"DEBITO")
+SUMIFS(df_extratos!I:I,df_extratos!F:F,"&gt;="&amp;Conciliacao!BF56,df_extratos!F:F,"&lt;"&amp;Conciliacao!BF56+1,df_extratos!G:G,"DEBITO")
+SUMIFS(df_extratos!I:I,df_extratos!F:F,"&gt;="&amp;Conciliacao!BG56,df_extratos!F:F,"&lt;"&amp;Conciliacao!BG56+1,df_extratos!G:G,"DEBITO")
+SUMIFS(df_extratos!I:I,df_extratos!F:F,"&gt;="&amp;Conciliacao!BH56,df_extratos!F:F,"&lt;"&amp;Conciliacao!BH56+1,df_extratos!G:G,"DEBITO")</f>
        <v/>
      </c>
      <c r="O56" s="11">
        <f>N56-SUM(J56:M56)</f>
        <v/>
      </c>
      <c r="P56" s="25">
        <f>SUMIFS(df_ajustes_conciliaco!D:D,df_ajustes_conciliaco!C:C,Conciliacao!A56)</f>
        <v/>
      </c>
      <c r="Q56" s="22">
        <f>O56+I56-P56</f>
        <v/>
      </c>
      <c r="BE56" s="20" t="n">
        <v>45712.5</v>
      </c>
      <c r="BF56" s="20" t="n">
        <v>45712.125</v>
      </c>
      <c r="BG56" s="20" t="n">
        <v>45712.54166666666</v>
      </c>
      <c r="BH56" s="20" t="n">
        <v>45712.625</v>
      </c>
    </row>
    <row r="57">
      <c r="A57" s="5">
        <f>A56+1</f>
        <v/>
      </c>
      <c r="B57" s="3">
        <f>-SUMIFS(df_extrato_zig!G:G,df_extrato_zig!E:E,Conciliacao!A57,df_extrato_zig!D:D,"Saque")-SUMIFS(df_extrato_zig!G:G,df_extrato_zig!E:E,Conciliacao!A57,df_extrato_zig!D:D,"Antecipação")</f>
        <v/>
      </c>
      <c r="C57" s="3">
        <f>SUMIFS(df_extrato_zig!E:E,df_extrato_zig!L:L,Conciliacao!A57,df_extrato_zig!F:F,"DINHEIRO")</f>
        <v/>
      </c>
      <c r="D57" s="3">
        <f>SUMIFS(view_parc_agrup!H:H,view_parc_agrup!G:G,Conciliacao!A57)</f>
        <v/>
      </c>
      <c r="E57" s="3">
        <f>SUMIFS(df_eventos!F:F,df_eventos!H:H,Conciliacao!A57)</f>
        <v/>
      </c>
      <c r="F57" s="3">
        <f>SUMIFS(df_mutuos!M:M,df_mutuos!B:B,Conciliacao!A57)</f>
        <v/>
      </c>
      <c r="G57" s="6">
        <f>SUMIFS(df_bloqueios_judiciais!G:G,df_bloqueios_judiciais!D:D,Conciliacao!A57,df_bloqueios_judiciais!G:G,"&gt;0")</f>
        <v/>
      </c>
      <c r="H57" s="7">
        <f>SUMIFS(df_extratos!I:I,df_extratos!F:F,"&gt;="&amp;Conciliacao!BE57,df_extratos!F:F,"&lt;"&amp;Conciliacao!BE57+1,df_extratos!G:G,"CREDITO")
+SUMIFS(df_extratos!I:I,df_extratos!F:F,"&gt;="&amp;Conciliacao!A57, df_extratos!F:F,"&lt;"&amp;Conciliacao!A57+1, df_extratos!G:G,"CREDITO")
+SUMIFS(df_extratos!I:I,df_extratos!F:F,"&gt;="&amp;Conciliacao!BF57,df_extratos!F:F,"&lt;"&amp;Conciliacao!BF57+1,df_extratos!G:G,"CREDITO")
+SUMIFS(df_extratos!I:I,df_extratos!F:F,"&gt;="&amp;Conciliacao!BG57,df_extratos!F:F,"&lt;"&amp;Conciliacao!BG57+1,df_extratos!G:G,"CREDITO")
+SUMIFS(df_extratos!I:I,df_extratos!F:F,"&gt;="&amp;Conciliacao!BH57,df_extratos!F:F,"&lt;"&amp;Conciliacao!BH57+1,df_extratos!G:G,"CREDITO")</f>
        <v/>
      </c>
      <c r="I57" s="9">
        <f>H57-SUM(B57:G57)</f>
        <v/>
      </c>
      <c r="J57" s="4">
        <f>SUMIFS(df_blueme_sem_parcelamento!E:E,df_blueme_sem_parcelamento!H:H,Conciliacao!A57)*(-1)</f>
        <v/>
      </c>
      <c r="K57" s="4">
        <f>SUMIFS(df_blueme_com_parcelamento!J:J,df_blueme_com_parcelamento!M:M,Conciliacao!A57)*(-1)</f>
        <v/>
      </c>
      <c r="L57" s="4">
        <f>SUMIFS(df_mutuos!N:N,df_mutuos!B:B,Conciliacao!A57)*(-1)</f>
        <v/>
      </c>
      <c r="M57" s="8">
        <f>SUMIFS(df_bloqueios_judiciais!G:G,df_bloqueios_judiciais!D:D,Conciliacao!A57,df_bloqueios_judiciais!G:G,"&lt;0")</f>
        <v/>
      </c>
      <c r="N57" s="10">
        <f>SUMIFS(df_extratos!I:I,df_extratos!F:F,"&gt;="&amp;Conciliacao!BE57,df_extratos!F:F,"&lt;"&amp;Conciliacao!BE57+1,df_extratos!G:G,"DEBITO")
+SUMIFS(df_extratos!I:I,df_extratos!F:F,"&gt;="&amp;Conciliacao!A57, df_extratos!F:F,"&lt;"&amp;Conciliacao!A57+1, df_extratos!G:G,"DEBITO")
+SUMIFS(df_extratos!I:I,df_extratos!F:F,"&gt;="&amp;Conciliacao!BF57,df_extratos!F:F,"&lt;"&amp;Conciliacao!BF57+1,df_extratos!G:G,"DEBITO")
+SUMIFS(df_extratos!I:I,df_extratos!F:F,"&gt;="&amp;Conciliacao!BG57,df_extratos!F:F,"&lt;"&amp;Conciliacao!BG57+1,df_extratos!G:G,"DEBITO")
+SUMIFS(df_extratos!I:I,df_extratos!F:F,"&gt;="&amp;Conciliacao!BH57,df_extratos!F:F,"&lt;"&amp;Conciliacao!BH57+1,df_extratos!G:G,"DEBITO")</f>
        <v/>
      </c>
      <c r="O57" s="11">
        <f>N57-SUM(J57:M57)</f>
        <v/>
      </c>
      <c r="P57" s="25">
        <f>SUMIFS(df_ajustes_conciliaco!D:D,df_ajustes_conciliaco!C:C,Conciliacao!A57)</f>
        <v/>
      </c>
      <c r="Q57" s="22">
        <f>O57+I57-P57</f>
        <v/>
      </c>
      <c r="BE57" s="20" t="n">
        <v>45713.5</v>
      </c>
      <c r="BF57" s="20" t="n">
        <v>45713.125</v>
      </c>
      <c r="BG57" s="20" t="n">
        <v>45713.54166666666</v>
      </c>
      <c r="BH57" s="20" t="n">
        <v>45713.625</v>
      </c>
    </row>
    <row r="58">
      <c r="A58" s="5">
        <f>A57+1</f>
        <v/>
      </c>
      <c r="B58" s="3">
        <f>-SUMIFS(df_extrato_zig!G:G,df_extrato_zig!E:E,Conciliacao!A58,df_extrato_zig!D:D,"Saque")-SUMIFS(df_extrato_zig!G:G,df_extrato_zig!E:E,Conciliacao!A58,df_extrato_zig!D:D,"Antecipação")</f>
        <v/>
      </c>
      <c r="C58" s="3">
        <f>SUMIFS(df_extrato_zig!E:E,df_extrato_zig!L:L,Conciliacao!A58,df_extrato_zig!F:F,"DINHEIRO")</f>
        <v/>
      </c>
      <c r="D58" s="3">
        <f>SUMIFS(view_parc_agrup!H:H,view_parc_agrup!G:G,Conciliacao!A58)</f>
        <v/>
      </c>
      <c r="E58" s="3">
        <f>SUMIFS(df_eventos!F:F,df_eventos!H:H,Conciliacao!A58)</f>
        <v/>
      </c>
      <c r="F58" s="3">
        <f>SUMIFS(df_mutuos!M:M,df_mutuos!B:B,Conciliacao!A58)</f>
        <v/>
      </c>
      <c r="G58" s="6">
        <f>SUMIFS(df_bloqueios_judiciais!G:G,df_bloqueios_judiciais!D:D,Conciliacao!A58,df_bloqueios_judiciais!G:G,"&gt;0")</f>
        <v/>
      </c>
      <c r="H58" s="7">
        <f>SUMIFS(df_extratos!I:I,df_extratos!F:F,"&gt;="&amp;Conciliacao!BE58,df_extratos!F:F,"&lt;"&amp;Conciliacao!BE58+1,df_extratos!G:G,"CREDITO")
+SUMIFS(df_extratos!I:I,df_extratos!F:F,"&gt;="&amp;Conciliacao!A58, df_extratos!F:F,"&lt;"&amp;Conciliacao!A58+1, df_extratos!G:G,"CREDITO")
+SUMIFS(df_extratos!I:I,df_extratos!F:F,"&gt;="&amp;Conciliacao!BF58,df_extratos!F:F,"&lt;"&amp;Conciliacao!BF58+1,df_extratos!G:G,"CREDITO")
+SUMIFS(df_extratos!I:I,df_extratos!F:F,"&gt;="&amp;Conciliacao!BG58,df_extratos!F:F,"&lt;"&amp;Conciliacao!BG58+1,df_extratos!G:G,"CREDITO")
+SUMIFS(df_extratos!I:I,df_extratos!F:F,"&gt;="&amp;Conciliacao!BH58,df_extratos!F:F,"&lt;"&amp;Conciliacao!BH58+1,df_extratos!G:G,"CREDITO")</f>
        <v/>
      </c>
      <c r="I58" s="9">
        <f>H58-SUM(B58:G58)</f>
        <v/>
      </c>
      <c r="J58" s="4">
        <f>SUMIFS(df_blueme_sem_parcelamento!E:E,df_blueme_sem_parcelamento!H:H,Conciliacao!A58)*(-1)</f>
        <v/>
      </c>
      <c r="K58" s="4">
        <f>SUMIFS(df_blueme_com_parcelamento!J:J,df_blueme_com_parcelamento!M:M,Conciliacao!A58)*(-1)</f>
        <v/>
      </c>
      <c r="L58" s="4">
        <f>SUMIFS(df_mutuos!N:N,df_mutuos!B:B,Conciliacao!A58)*(-1)</f>
        <v/>
      </c>
      <c r="M58" s="8">
        <f>SUMIFS(df_bloqueios_judiciais!G:G,df_bloqueios_judiciais!D:D,Conciliacao!A58,df_bloqueios_judiciais!G:G,"&lt;0")</f>
        <v/>
      </c>
      <c r="N58" s="10">
        <f>SUMIFS(df_extratos!I:I,df_extratos!F:F,"&gt;="&amp;Conciliacao!BE58,df_extratos!F:F,"&lt;"&amp;Conciliacao!BE58+1,df_extratos!G:G,"DEBITO")
+SUMIFS(df_extratos!I:I,df_extratos!F:F,"&gt;="&amp;Conciliacao!A58, df_extratos!F:F,"&lt;"&amp;Conciliacao!A58+1, df_extratos!G:G,"DEBITO")
+SUMIFS(df_extratos!I:I,df_extratos!F:F,"&gt;="&amp;Conciliacao!BF58,df_extratos!F:F,"&lt;"&amp;Conciliacao!BF58+1,df_extratos!G:G,"DEBITO")
+SUMIFS(df_extratos!I:I,df_extratos!F:F,"&gt;="&amp;Conciliacao!BG58,df_extratos!F:F,"&lt;"&amp;Conciliacao!BG58+1,df_extratos!G:G,"DEBITO")
+SUMIFS(df_extratos!I:I,df_extratos!F:F,"&gt;="&amp;Conciliacao!BH58,df_extratos!F:F,"&lt;"&amp;Conciliacao!BH58+1,df_extratos!G:G,"DEBITO")</f>
        <v/>
      </c>
      <c r="O58" s="11">
        <f>N58-SUM(J58:M58)</f>
        <v/>
      </c>
      <c r="P58" s="25">
        <f>SUMIFS(df_ajustes_conciliaco!D:D,df_ajustes_conciliaco!C:C,Conciliacao!A58)</f>
        <v/>
      </c>
      <c r="Q58" s="22">
        <f>O58+I58-P58</f>
        <v/>
      </c>
      <c r="BE58" s="20" t="n">
        <v>45714.5</v>
      </c>
      <c r="BF58" s="20" t="n">
        <v>45714.125</v>
      </c>
      <c r="BG58" s="20" t="n">
        <v>45714.54166666666</v>
      </c>
      <c r="BH58" s="20" t="n">
        <v>45714.625</v>
      </c>
    </row>
    <row r="59">
      <c r="A59" s="5">
        <f>A58+1</f>
        <v/>
      </c>
      <c r="B59" s="3">
        <f>-SUMIFS(df_extrato_zig!G:G,df_extrato_zig!E:E,Conciliacao!A59,df_extrato_zig!D:D,"Saque")-SUMIFS(df_extrato_zig!G:G,df_extrato_zig!E:E,Conciliacao!A59,df_extrato_zig!D:D,"Antecipação")</f>
        <v/>
      </c>
      <c r="C59" s="3">
        <f>SUMIFS(df_extrato_zig!E:E,df_extrato_zig!L:L,Conciliacao!A59,df_extrato_zig!F:F,"DINHEIRO")</f>
        <v/>
      </c>
      <c r="D59" s="3">
        <f>SUMIFS(view_parc_agrup!H:H,view_parc_agrup!G:G,Conciliacao!A59)</f>
        <v/>
      </c>
      <c r="E59" s="3">
        <f>SUMIFS(df_eventos!F:F,df_eventos!H:H,Conciliacao!A59)</f>
        <v/>
      </c>
      <c r="F59" s="3">
        <f>SUMIFS(df_mutuos!M:M,df_mutuos!B:B,Conciliacao!A59)</f>
        <v/>
      </c>
      <c r="G59" s="6">
        <f>SUMIFS(df_bloqueios_judiciais!G:G,df_bloqueios_judiciais!D:D,Conciliacao!A59,df_bloqueios_judiciais!G:G,"&gt;0")</f>
        <v/>
      </c>
      <c r="H59" s="7">
        <f>SUMIFS(df_extratos!I:I,df_extratos!F:F,"&gt;="&amp;Conciliacao!BE59,df_extratos!F:F,"&lt;"&amp;Conciliacao!BE59+1,df_extratos!G:G,"CREDITO")
+SUMIFS(df_extratos!I:I,df_extratos!F:F,"&gt;="&amp;Conciliacao!A59, df_extratos!F:F,"&lt;"&amp;Conciliacao!A59+1, df_extratos!G:G,"CREDITO")
+SUMIFS(df_extratos!I:I,df_extratos!F:F,"&gt;="&amp;Conciliacao!BF59,df_extratos!F:F,"&lt;"&amp;Conciliacao!BF59+1,df_extratos!G:G,"CREDITO")
+SUMIFS(df_extratos!I:I,df_extratos!F:F,"&gt;="&amp;Conciliacao!BG59,df_extratos!F:F,"&lt;"&amp;Conciliacao!BG59+1,df_extratos!G:G,"CREDITO")
+SUMIFS(df_extratos!I:I,df_extratos!F:F,"&gt;="&amp;Conciliacao!BH59,df_extratos!F:F,"&lt;"&amp;Conciliacao!BH59+1,df_extratos!G:G,"CREDITO")</f>
        <v/>
      </c>
      <c r="I59" s="9">
        <f>H59-SUM(B59:G59)</f>
        <v/>
      </c>
      <c r="J59" s="4">
        <f>SUMIFS(df_blueme_sem_parcelamento!E:E,df_blueme_sem_parcelamento!H:H,Conciliacao!A59)*(-1)</f>
        <v/>
      </c>
      <c r="K59" s="4">
        <f>SUMIFS(df_blueme_com_parcelamento!J:J,df_blueme_com_parcelamento!M:M,Conciliacao!A59)*(-1)</f>
        <v/>
      </c>
      <c r="L59" s="4">
        <f>SUMIFS(df_mutuos!N:N,df_mutuos!B:B,Conciliacao!A59)*(-1)</f>
        <v/>
      </c>
      <c r="M59" s="8">
        <f>SUMIFS(df_bloqueios_judiciais!G:G,df_bloqueios_judiciais!D:D,Conciliacao!A59,df_bloqueios_judiciais!G:G,"&lt;0")</f>
        <v/>
      </c>
      <c r="N59" s="10">
        <f>SUMIFS(df_extratos!I:I,df_extratos!F:F,"&gt;="&amp;Conciliacao!BE59,df_extratos!F:F,"&lt;"&amp;Conciliacao!BE59+1,df_extratos!G:G,"DEBITO")
+SUMIFS(df_extratos!I:I,df_extratos!F:F,"&gt;="&amp;Conciliacao!A59, df_extratos!F:F,"&lt;"&amp;Conciliacao!A59+1, df_extratos!G:G,"DEBITO")
+SUMIFS(df_extratos!I:I,df_extratos!F:F,"&gt;="&amp;Conciliacao!BF59,df_extratos!F:F,"&lt;"&amp;Conciliacao!BF59+1,df_extratos!G:G,"DEBITO")
+SUMIFS(df_extratos!I:I,df_extratos!F:F,"&gt;="&amp;Conciliacao!BG59,df_extratos!F:F,"&lt;"&amp;Conciliacao!BG59+1,df_extratos!G:G,"DEBITO")
+SUMIFS(df_extratos!I:I,df_extratos!F:F,"&gt;="&amp;Conciliacao!BH59,df_extratos!F:F,"&lt;"&amp;Conciliacao!BH59+1,df_extratos!G:G,"DEBITO")</f>
        <v/>
      </c>
      <c r="O59" s="11">
        <f>N59-SUM(J59:M59)</f>
        <v/>
      </c>
      <c r="P59" s="25">
        <f>SUMIFS(df_ajustes_conciliaco!D:D,df_ajustes_conciliaco!C:C,Conciliacao!A59)</f>
        <v/>
      </c>
      <c r="Q59" s="22">
        <f>O59+I59-P59</f>
        <v/>
      </c>
      <c r="BE59" s="20" t="n">
        <v>45715.5</v>
      </c>
      <c r="BF59" s="20" t="n">
        <v>45715.125</v>
      </c>
      <c r="BG59" s="20" t="n">
        <v>45715.54166666666</v>
      </c>
      <c r="BH59" s="20" t="n">
        <v>45715.625</v>
      </c>
    </row>
    <row r="60">
      <c r="A60" s="5">
        <f>A59+1</f>
        <v/>
      </c>
      <c r="B60" s="3">
        <f>-SUMIFS(df_extrato_zig!G:G,df_extrato_zig!E:E,Conciliacao!A60,df_extrato_zig!D:D,"Saque")-SUMIFS(df_extrato_zig!G:G,df_extrato_zig!E:E,Conciliacao!A60,df_extrato_zig!D:D,"Antecipação")</f>
        <v/>
      </c>
      <c r="C60" s="3">
        <f>SUMIFS(df_extrato_zig!E:E,df_extrato_zig!L:L,Conciliacao!A60,df_extrato_zig!F:F,"DINHEIRO")</f>
        <v/>
      </c>
      <c r="D60" s="3">
        <f>SUMIFS(view_parc_agrup!H:H,view_parc_agrup!G:G,Conciliacao!A60)</f>
        <v/>
      </c>
      <c r="E60" s="3">
        <f>SUMIFS(df_eventos!F:F,df_eventos!H:H,Conciliacao!A60)</f>
        <v/>
      </c>
      <c r="F60" s="3">
        <f>SUMIFS(df_mutuos!M:M,df_mutuos!B:B,Conciliacao!A60)</f>
        <v/>
      </c>
      <c r="G60" s="6">
        <f>SUMIFS(df_bloqueios_judiciais!G:G,df_bloqueios_judiciais!D:D,Conciliacao!A60,df_bloqueios_judiciais!G:G,"&gt;0")</f>
        <v/>
      </c>
      <c r="H60" s="7">
        <f>SUMIFS(df_extratos!I:I,df_extratos!F:F,"&gt;="&amp;Conciliacao!BE60,df_extratos!F:F,"&lt;"&amp;Conciliacao!BE60+1,df_extratos!G:G,"CREDITO")
+SUMIFS(df_extratos!I:I,df_extratos!F:F,"&gt;="&amp;Conciliacao!A60, df_extratos!F:F,"&lt;"&amp;Conciliacao!A60+1, df_extratos!G:G,"CREDITO")
+SUMIFS(df_extratos!I:I,df_extratos!F:F,"&gt;="&amp;Conciliacao!BF60,df_extratos!F:F,"&lt;"&amp;Conciliacao!BF60+1,df_extratos!G:G,"CREDITO")
+SUMIFS(df_extratos!I:I,df_extratos!F:F,"&gt;="&amp;Conciliacao!BG60,df_extratos!F:F,"&lt;"&amp;Conciliacao!BG60+1,df_extratos!G:G,"CREDITO")
+SUMIFS(df_extratos!I:I,df_extratos!F:F,"&gt;="&amp;Conciliacao!BH60,df_extratos!F:F,"&lt;"&amp;Conciliacao!BH60+1,df_extratos!G:G,"CREDITO")</f>
        <v/>
      </c>
      <c r="I60" s="9">
        <f>H60-SUM(B60:G60)</f>
        <v/>
      </c>
      <c r="J60" s="4">
        <f>SUMIFS(df_blueme_sem_parcelamento!E:E,df_blueme_sem_parcelamento!H:H,Conciliacao!A60)*(-1)</f>
        <v/>
      </c>
      <c r="K60" s="4">
        <f>SUMIFS(df_blueme_com_parcelamento!J:J,df_blueme_com_parcelamento!M:M,Conciliacao!A60)*(-1)</f>
        <v/>
      </c>
      <c r="L60" s="4">
        <f>SUMIFS(df_mutuos!N:N,df_mutuos!B:B,Conciliacao!A60)*(-1)</f>
        <v/>
      </c>
      <c r="M60" s="8">
        <f>SUMIFS(df_bloqueios_judiciais!G:G,df_bloqueios_judiciais!D:D,Conciliacao!A60,df_bloqueios_judiciais!G:G,"&lt;0")</f>
        <v/>
      </c>
      <c r="N60" s="10">
        <f>SUMIFS(df_extratos!I:I,df_extratos!F:F,"&gt;="&amp;Conciliacao!BE60,df_extratos!F:F,"&lt;"&amp;Conciliacao!BE60+1,df_extratos!G:G,"DEBITO")
+SUMIFS(df_extratos!I:I,df_extratos!F:F,"&gt;="&amp;Conciliacao!A60, df_extratos!F:F,"&lt;"&amp;Conciliacao!A60+1, df_extratos!G:G,"DEBITO")
+SUMIFS(df_extratos!I:I,df_extratos!F:F,"&gt;="&amp;Conciliacao!BF60,df_extratos!F:F,"&lt;"&amp;Conciliacao!BF60+1,df_extratos!G:G,"DEBITO")
+SUMIFS(df_extratos!I:I,df_extratos!F:F,"&gt;="&amp;Conciliacao!BG60,df_extratos!F:F,"&lt;"&amp;Conciliacao!BG60+1,df_extratos!G:G,"DEBITO")
+SUMIFS(df_extratos!I:I,df_extratos!F:F,"&gt;="&amp;Conciliacao!BH60,df_extratos!F:F,"&lt;"&amp;Conciliacao!BH60+1,df_extratos!G:G,"DEBITO")</f>
        <v/>
      </c>
      <c r="O60" s="11">
        <f>N60-SUM(J60:M60)</f>
        <v/>
      </c>
      <c r="P60" s="25">
        <f>SUMIFS(df_ajustes_conciliaco!D:D,df_ajustes_conciliaco!C:C,Conciliacao!A60)</f>
        <v/>
      </c>
      <c r="Q60" s="22">
        <f>O60+I60-P60</f>
        <v/>
      </c>
      <c r="BE60" s="20" t="n">
        <v>45716.5</v>
      </c>
      <c r="BF60" s="20" t="n">
        <v>45716.125</v>
      </c>
      <c r="BG60" s="20" t="n">
        <v>45716.54166666666</v>
      </c>
      <c r="BH60" s="20" t="n">
        <v>45716.625</v>
      </c>
    </row>
    <row r="61">
      <c r="A61" s="5">
        <f>A60+1</f>
        <v/>
      </c>
      <c r="B61" s="3">
        <f>-SUMIFS(df_extrato_zig!G:G,df_extrato_zig!E:E,Conciliacao!A61,df_extrato_zig!D:D,"Saque")-SUMIFS(df_extrato_zig!G:G,df_extrato_zig!E:E,Conciliacao!A61,df_extrato_zig!D:D,"Antecipação")</f>
        <v/>
      </c>
      <c r="C61" s="3">
        <f>SUMIFS(df_extrato_zig!E:E,df_extrato_zig!L:L,Conciliacao!A61,df_extrato_zig!F:F,"DINHEIRO")</f>
        <v/>
      </c>
      <c r="D61" s="3">
        <f>SUMIFS(view_parc_agrup!H:H,view_parc_agrup!G:G,Conciliacao!A61)</f>
        <v/>
      </c>
      <c r="E61" s="3">
        <f>SUMIFS(df_eventos!F:F,df_eventos!H:H,Conciliacao!A61)</f>
        <v/>
      </c>
      <c r="F61" s="3">
        <f>SUMIFS(df_mutuos!M:M,df_mutuos!B:B,Conciliacao!A61)</f>
        <v/>
      </c>
      <c r="G61" s="6">
        <f>SUMIFS(df_bloqueios_judiciais!G:G,df_bloqueios_judiciais!D:D,Conciliacao!A61,df_bloqueios_judiciais!G:G,"&gt;0")</f>
        <v/>
      </c>
      <c r="H61" s="7">
        <f>SUMIFS(df_extratos!I:I,df_extratos!F:F,"&gt;="&amp;Conciliacao!BE61,df_extratos!F:F,"&lt;"&amp;Conciliacao!BE61+1,df_extratos!G:G,"CREDITO")
+SUMIFS(df_extratos!I:I,df_extratos!F:F,"&gt;="&amp;Conciliacao!A61, df_extratos!F:F,"&lt;"&amp;Conciliacao!A61+1, df_extratos!G:G,"CREDITO")
+SUMIFS(df_extratos!I:I,df_extratos!F:F,"&gt;="&amp;Conciliacao!BF61,df_extratos!F:F,"&lt;"&amp;Conciliacao!BF61+1,df_extratos!G:G,"CREDITO")
+SUMIFS(df_extratos!I:I,df_extratos!F:F,"&gt;="&amp;Conciliacao!BG61,df_extratos!F:F,"&lt;"&amp;Conciliacao!BG61+1,df_extratos!G:G,"CREDITO")
+SUMIFS(df_extratos!I:I,df_extratos!F:F,"&gt;="&amp;Conciliacao!BH61,df_extratos!F:F,"&lt;"&amp;Conciliacao!BH61+1,df_extratos!G:G,"CREDITO")</f>
        <v/>
      </c>
      <c r="I61" s="9">
        <f>H61-SUM(B61:G61)</f>
        <v/>
      </c>
      <c r="J61" s="4">
        <f>SUMIFS(df_blueme_sem_parcelamento!E:E,df_blueme_sem_parcelamento!H:H,Conciliacao!A61)*(-1)</f>
        <v/>
      </c>
      <c r="K61" s="4">
        <f>SUMIFS(df_blueme_com_parcelamento!J:J,df_blueme_com_parcelamento!M:M,Conciliacao!A61)*(-1)</f>
        <v/>
      </c>
      <c r="L61" s="4">
        <f>SUMIFS(df_mutuos!N:N,df_mutuos!B:B,Conciliacao!A61)*(-1)</f>
        <v/>
      </c>
      <c r="M61" s="8">
        <f>SUMIFS(df_bloqueios_judiciais!G:G,df_bloqueios_judiciais!D:D,Conciliacao!A61,df_bloqueios_judiciais!G:G,"&lt;0")</f>
        <v/>
      </c>
      <c r="N61" s="10">
        <f>SUMIFS(df_extratos!I:I,df_extratos!F:F,"&gt;="&amp;Conciliacao!BE61,df_extratos!F:F,"&lt;"&amp;Conciliacao!BE61+1,df_extratos!G:G,"DEBITO")
+SUMIFS(df_extratos!I:I,df_extratos!F:F,"&gt;="&amp;Conciliacao!A61, df_extratos!F:F,"&lt;"&amp;Conciliacao!A61+1, df_extratos!G:G,"DEBITO")
+SUMIFS(df_extratos!I:I,df_extratos!F:F,"&gt;="&amp;Conciliacao!BF61,df_extratos!F:F,"&lt;"&amp;Conciliacao!BF61+1,df_extratos!G:G,"DEBITO")
+SUMIFS(df_extratos!I:I,df_extratos!F:F,"&gt;="&amp;Conciliacao!BG61,df_extratos!F:F,"&lt;"&amp;Conciliacao!BG61+1,df_extratos!G:G,"DEBITO")
+SUMIFS(df_extratos!I:I,df_extratos!F:F,"&gt;="&amp;Conciliacao!BH61,df_extratos!F:F,"&lt;"&amp;Conciliacao!BH61+1,df_extratos!G:G,"DEBITO")</f>
        <v/>
      </c>
      <c r="O61" s="11">
        <f>N61-SUM(J61:M61)</f>
        <v/>
      </c>
      <c r="P61" s="25">
        <f>SUMIFS(df_ajustes_conciliaco!D:D,df_ajustes_conciliaco!C:C,Conciliacao!A61)</f>
        <v/>
      </c>
      <c r="Q61" s="22">
        <f>O61+I61-P61</f>
        <v/>
      </c>
      <c r="BE61" s="20" t="n">
        <v>45717.5</v>
      </c>
      <c r="BF61" s="20" t="n">
        <v>45717.125</v>
      </c>
      <c r="BG61" s="20" t="n">
        <v>45717.54166666666</v>
      </c>
      <c r="BH61" s="20" t="n">
        <v>45717.625</v>
      </c>
    </row>
    <row r="62">
      <c r="A62" s="5">
        <f>A61+1</f>
        <v/>
      </c>
      <c r="B62" s="3">
        <f>-SUMIFS(df_extrato_zig!G:G,df_extrato_zig!E:E,Conciliacao!A62,df_extrato_zig!D:D,"Saque")-SUMIFS(df_extrato_zig!G:G,df_extrato_zig!E:E,Conciliacao!A62,df_extrato_zig!D:D,"Antecipação")</f>
        <v/>
      </c>
      <c r="C62" s="3">
        <f>SUMIFS(df_extrato_zig!E:E,df_extrato_zig!L:L,Conciliacao!A62,df_extrato_zig!F:F,"DINHEIRO")</f>
        <v/>
      </c>
      <c r="D62" s="3">
        <f>SUMIFS(view_parc_agrup!H:H,view_parc_agrup!G:G,Conciliacao!A62)</f>
        <v/>
      </c>
      <c r="E62" s="3">
        <f>SUMIFS(df_eventos!F:F,df_eventos!H:H,Conciliacao!A62)</f>
        <v/>
      </c>
      <c r="F62" s="3">
        <f>SUMIFS(df_mutuos!M:M,df_mutuos!B:B,Conciliacao!A62)</f>
        <v/>
      </c>
      <c r="G62" s="6">
        <f>SUMIFS(df_bloqueios_judiciais!G:G,df_bloqueios_judiciais!D:D,Conciliacao!A62,df_bloqueios_judiciais!G:G,"&gt;0")</f>
        <v/>
      </c>
      <c r="H62" s="7">
        <f>SUMIFS(df_extratos!I:I,df_extratos!F:F,"&gt;="&amp;Conciliacao!BE62,df_extratos!F:F,"&lt;"&amp;Conciliacao!BE62+1,df_extratos!G:G,"CREDITO")
+SUMIFS(df_extratos!I:I,df_extratos!F:F,"&gt;="&amp;Conciliacao!A62, df_extratos!F:F,"&lt;"&amp;Conciliacao!A62+1, df_extratos!G:G,"CREDITO")
+SUMIFS(df_extratos!I:I,df_extratos!F:F,"&gt;="&amp;Conciliacao!BF62,df_extratos!F:F,"&lt;"&amp;Conciliacao!BF62+1,df_extratos!G:G,"CREDITO")
+SUMIFS(df_extratos!I:I,df_extratos!F:F,"&gt;="&amp;Conciliacao!BG62,df_extratos!F:F,"&lt;"&amp;Conciliacao!BG62+1,df_extratos!G:G,"CREDITO")
+SUMIFS(df_extratos!I:I,df_extratos!F:F,"&gt;="&amp;Conciliacao!BH62,df_extratos!F:F,"&lt;"&amp;Conciliacao!BH62+1,df_extratos!G:G,"CREDITO")</f>
        <v/>
      </c>
      <c r="I62" s="9">
        <f>H62-SUM(B62:G62)</f>
        <v/>
      </c>
      <c r="J62" s="4">
        <f>SUMIFS(df_blueme_sem_parcelamento!E:E,df_blueme_sem_parcelamento!H:H,Conciliacao!A62)*(-1)</f>
        <v/>
      </c>
      <c r="K62" s="4">
        <f>SUMIFS(df_blueme_com_parcelamento!J:J,df_blueme_com_parcelamento!M:M,Conciliacao!A62)*(-1)</f>
        <v/>
      </c>
      <c r="L62" s="4">
        <f>SUMIFS(df_mutuos!N:N,df_mutuos!B:B,Conciliacao!A62)*(-1)</f>
        <v/>
      </c>
      <c r="M62" s="8">
        <f>SUMIFS(df_bloqueios_judiciais!G:G,df_bloqueios_judiciais!D:D,Conciliacao!A62,df_bloqueios_judiciais!G:G,"&lt;0")</f>
        <v/>
      </c>
      <c r="N62" s="10">
        <f>SUMIFS(df_extratos!I:I,df_extratos!F:F,"&gt;="&amp;Conciliacao!BE62,df_extratos!F:F,"&lt;"&amp;Conciliacao!BE62+1,df_extratos!G:G,"DEBITO")
+SUMIFS(df_extratos!I:I,df_extratos!F:F,"&gt;="&amp;Conciliacao!A62, df_extratos!F:F,"&lt;"&amp;Conciliacao!A62+1, df_extratos!G:G,"DEBITO")
+SUMIFS(df_extratos!I:I,df_extratos!F:F,"&gt;="&amp;Conciliacao!BF62,df_extratos!F:F,"&lt;"&amp;Conciliacao!BF62+1,df_extratos!G:G,"DEBITO")
+SUMIFS(df_extratos!I:I,df_extratos!F:F,"&gt;="&amp;Conciliacao!BG62,df_extratos!F:F,"&lt;"&amp;Conciliacao!BG62+1,df_extratos!G:G,"DEBITO")
+SUMIFS(df_extratos!I:I,df_extratos!F:F,"&gt;="&amp;Conciliacao!BH62,df_extratos!F:F,"&lt;"&amp;Conciliacao!BH62+1,df_extratos!G:G,"DEBITO")</f>
        <v/>
      </c>
      <c r="O62" s="11">
        <f>N62-SUM(J62:M62)</f>
        <v/>
      </c>
      <c r="P62" s="25">
        <f>SUMIFS(df_ajustes_conciliaco!D:D,df_ajustes_conciliaco!C:C,Conciliacao!A62)</f>
        <v/>
      </c>
      <c r="Q62" s="22">
        <f>O62+I62-P62</f>
        <v/>
      </c>
      <c r="BE62" s="20" t="n">
        <v>45718.5</v>
      </c>
      <c r="BF62" s="20" t="n">
        <v>45718.125</v>
      </c>
      <c r="BG62" s="20" t="n">
        <v>45718.54166666666</v>
      </c>
      <c r="BH62" s="20" t="n">
        <v>45718.625</v>
      </c>
    </row>
    <row r="63">
      <c r="A63" s="5">
        <f>A62+1</f>
        <v/>
      </c>
      <c r="B63" s="3">
        <f>-SUMIFS(df_extrato_zig!G:G,df_extrato_zig!E:E,Conciliacao!A63,df_extrato_zig!D:D,"Saque")-SUMIFS(df_extrato_zig!G:G,df_extrato_zig!E:E,Conciliacao!A63,df_extrato_zig!D:D,"Antecipação")</f>
        <v/>
      </c>
      <c r="C63" s="3">
        <f>SUMIFS(df_extrato_zig!E:E,df_extrato_zig!L:L,Conciliacao!A63,df_extrato_zig!F:F,"DINHEIRO")</f>
        <v/>
      </c>
      <c r="D63" s="3">
        <f>SUMIFS(view_parc_agrup!H:H,view_parc_agrup!G:G,Conciliacao!A63)</f>
        <v/>
      </c>
      <c r="E63" s="3">
        <f>SUMIFS(df_eventos!F:F,df_eventos!H:H,Conciliacao!A63)</f>
        <v/>
      </c>
      <c r="F63" s="3">
        <f>SUMIFS(df_mutuos!M:M,df_mutuos!B:B,Conciliacao!A63)</f>
        <v/>
      </c>
      <c r="G63" s="6">
        <f>SUMIFS(df_bloqueios_judiciais!G:G,df_bloqueios_judiciais!D:D,Conciliacao!A63,df_bloqueios_judiciais!G:G,"&gt;0")</f>
        <v/>
      </c>
      <c r="H63" s="7">
        <f>SUMIFS(df_extratos!I:I,df_extratos!F:F,"&gt;="&amp;Conciliacao!BE63,df_extratos!F:F,"&lt;"&amp;Conciliacao!BE63+1,df_extratos!G:G,"CREDITO")
+SUMIFS(df_extratos!I:I,df_extratos!F:F,"&gt;="&amp;Conciliacao!A63, df_extratos!F:F,"&lt;"&amp;Conciliacao!A63+1, df_extratos!G:G,"CREDITO")
+SUMIFS(df_extratos!I:I,df_extratos!F:F,"&gt;="&amp;Conciliacao!BF63,df_extratos!F:F,"&lt;"&amp;Conciliacao!BF63+1,df_extratos!G:G,"CREDITO")
+SUMIFS(df_extratos!I:I,df_extratos!F:F,"&gt;="&amp;Conciliacao!BG63,df_extratos!F:F,"&lt;"&amp;Conciliacao!BG63+1,df_extratos!G:G,"CREDITO")
+SUMIFS(df_extratos!I:I,df_extratos!F:F,"&gt;="&amp;Conciliacao!BH63,df_extratos!F:F,"&lt;"&amp;Conciliacao!BH63+1,df_extratos!G:G,"CREDITO")</f>
        <v/>
      </c>
      <c r="I63" s="9">
        <f>H63-SUM(B63:G63)</f>
        <v/>
      </c>
      <c r="J63" s="4">
        <f>SUMIFS(df_blueme_sem_parcelamento!E:E,df_blueme_sem_parcelamento!H:H,Conciliacao!A63)*(-1)</f>
        <v/>
      </c>
      <c r="K63" s="4">
        <f>SUMIFS(df_blueme_com_parcelamento!J:J,df_blueme_com_parcelamento!M:M,Conciliacao!A63)*(-1)</f>
        <v/>
      </c>
      <c r="L63" s="4">
        <f>SUMIFS(df_mutuos!N:N,df_mutuos!B:B,Conciliacao!A63)*(-1)</f>
        <v/>
      </c>
      <c r="M63" s="8">
        <f>SUMIFS(df_bloqueios_judiciais!G:G,df_bloqueios_judiciais!D:D,Conciliacao!A63,df_bloqueios_judiciais!G:G,"&lt;0")</f>
        <v/>
      </c>
      <c r="N63" s="10">
        <f>SUMIFS(df_extratos!I:I,df_extratos!F:F,"&gt;="&amp;Conciliacao!BE63,df_extratos!F:F,"&lt;"&amp;Conciliacao!BE63+1,df_extratos!G:G,"DEBITO")
+SUMIFS(df_extratos!I:I,df_extratos!F:F,"&gt;="&amp;Conciliacao!A63, df_extratos!F:F,"&lt;"&amp;Conciliacao!A63+1, df_extratos!G:G,"DEBITO")
+SUMIFS(df_extratos!I:I,df_extratos!F:F,"&gt;="&amp;Conciliacao!BF63,df_extratos!F:F,"&lt;"&amp;Conciliacao!BF63+1,df_extratos!G:G,"DEBITO")
+SUMIFS(df_extratos!I:I,df_extratos!F:F,"&gt;="&amp;Conciliacao!BG63,df_extratos!F:F,"&lt;"&amp;Conciliacao!BG63+1,df_extratos!G:G,"DEBITO")
+SUMIFS(df_extratos!I:I,df_extratos!F:F,"&gt;="&amp;Conciliacao!BH63,df_extratos!F:F,"&lt;"&amp;Conciliacao!BH63+1,df_extratos!G:G,"DEBITO")</f>
        <v/>
      </c>
      <c r="O63" s="11">
        <f>N63-SUM(J63:M63)</f>
        <v/>
      </c>
      <c r="P63" s="25">
        <f>SUMIFS(df_ajustes_conciliaco!D:D,df_ajustes_conciliaco!C:C,Conciliacao!A63)</f>
        <v/>
      </c>
      <c r="Q63" s="22">
        <f>O63+I63-P63</f>
        <v/>
      </c>
      <c r="BE63" s="20" t="n">
        <v>45719.5</v>
      </c>
      <c r="BF63" s="20" t="n">
        <v>45719.125</v>
      </c>
      <c r="BG63" s="20" t="n">
        <v>45719.54166666666</v>
      </c>
      <c r="BH63" s="20" t="n">
        <v>45719.625</v>
      </c>
    </row>
    <row r="64">
      <c r="A64" s="5">
        <f>A63+1</f>
        <v/>
      </c>
      <c r="B64" s="3">
        <f>-SUMIFS(df_extrato_zig!G:G,df_extrato_zig!E:E,Conciliacao!A64,df_extrato_zig!D:D,"Saque")-SUMIFS(df_extrato_zig!G:G,df_extrato_zig!E:E,Conciliacao!A64,df_extrato_zig!D:D,"Antecipação")</f>
        <v/>
      </c>
      <c r="C64" s="3">
        <f>SUMIFS(df_extrato_zig!E:E,df_extrato_zig!L:L,Conciliacao!A64,df_extrato_zig!F:F,"DINHEIRO")</f>
        <v/>
      </c>
      <c r="D64" s="3">
        <f>SUMIFS(view_parc_agrup!H:H,view_parc_agrup!G:G,Conciliacao!A64)</f>
        <v/>
      </c>
      <c r="E64" s="3">
        <f>SUMIFS(df_eventos!F:F,df_eventos!H:H,Conciliacao!A64)</f>
        <v/>
      </c>
      <c r="F64" s="3">
        <f>SUMIFS(df_mutuos!M:M,df_mutuos!B:B,Conciliacao!A64)</f>
        <v/>
      </c>
      <c r="G64" s="6">
        <f>SUMIFS(df_bloqueios_judiciais!G:G,df_bloqueios_judiciais!D:D,Conciliacao!A64,df_bloqueios_judiciais!G:G,"&gt;0")</f>
        <v/>
      </c>
      <c r="H64" s="7">
        <f>SUMIFS(df_extratos!I:I,df_extratos!F:F,"&gt;="&amp;Conciliacao!BE64,df_extratos!F:F,"&lt;"&amp;Conciliacao!BE64+1,df_extratos!G:G,"CREDITO")
+SUMIFS(df_extratos!I:I,df_extratos!F:F,"&gt;="&amp;Conciliacao!A64, df_extratos!F:F,"&lt;"&amp;Conciliacao!A64+1, df_extratos!G:G,"CREDITO")
+SUMIFS(df_extratos!I:I,df_extratos!F:F,"&gt;="&amp;Conciliacao!BF64,df_extratos!F:F,"&lt;"&amp;Conciliacao!BF64+1,df_extratos!G:G,"CREDITO")
+SUMIFS(df_extratos!I:I,df_extratos!F:F,"&gt;="&amp;Conciliacao!BG64,df_extratos!F:F,"&lt;"&amp;Conciliacao!BG64+1,df_extratos!G:G,"CREDITO")
+SUMIFS(df_extratos!I:I,df_extratos!F:F,"&gt;="&amp;Conciliacao!BH64,df_extratos!F:F,"&lt;"&amp;Conciliacao!BH64+1,df_extratos!G:G,"CREDITO")</f>
        <v/>
      </c>
      <c r="I64" s="9">
        <f>H64-SUM(B64:G64)</f>
        <v/>
      </c>
      <c r="J64" s="4">
        <f>SUMIFS(df_blueme_sem_parcelamento!E:E,df_blueme_sem_parcelamento!H:H,Conciliacao!A64)*(-1)</f>
        <v/>
      </c>
      <c r="K64" s="4">
        <f>SUMIFS(df_blueme_com_parcelamento!J:J,df_blueme_com_parcelamento!M:M,Conciliacao!A64)*(-1)</f>
        <v/>
      </c>
      <c r="L64" s="4">
        <f>SUMIFS(df_mutuos!N:N,df_mutuos!B:B,Conciliacao!A64)*(-1)</f>
        <v/>
      </c>
      <c r="M64" s="8">
        <f>SUMIFS(df_bloqueios_judiciais!G:G,df_bloqueios_judiciais!D:D,Conciliacao!A64,df_bloqueios_judiciais!G:G,"&lt;0")</f>
        <v/>
      </c>
      <c r="N64" s="10">
        <f>SUMIFS(df_extratos!I:I,df_extratos!F:F,"&gt;="&amp;Conciliacao!BE64,df_extratos!F:F,"&lt;"&amp;Conciliacao!BE64+1,df_extratos!G:G,"DEBITO")
+SUMIFS(df_extratos!I:I,df_extratos!F:F,"&gt;="&amp;Conciliacao!A64, df_extratos!F:F,"&lt;"&amp;Conciliacao!A64+1, df_extratos!G:G,"DEBITO")
+SUMIFS(df_extratos!I:I,df_extratos!F:F,"&gt;="&amp;Conciliacao!BF64,df_extratos!F:F,"&lt;"&amp;Conciliacao!BF64+1,df_extratos!G:G,"DEBITO")
+SUMIFS(df_extratos!I:I,df_extratos!F:F,"&gt;="&amp;Conciliacao!BG64,df_extratos!F:F,"&lt;"&amp;Conciliacao!BG64+1,df_extratos!G:G,"DEBITO")
+SUMIFS(df_extratos!I:I,df_extratos!F:F,"&gt;="&amp;Conciliacao!BH64,df_extratos!F:F,"&lt;"&amp;Conciliacao!BH64+1,df_extratos!G:G,"DEBITO")</f>
        <v/>
      </c>
      <c r="O64" s="11">
        <f>N64-SUM(J64:M64)</f>
        <v/>
      </c>
      <c r="P64" s="25">
        <f>SUMIFS(df_ajustes_conciliaco!D:D,df_ajustes_conciliaco!C:C,Conciliacao!A64)</f>
        <v/>
      </c>
      <c r="Q64" s="22">
        <f>O64+I64-P64</f>
        <v/>
      </c>
      <c r="BE64" s="20" t="n">
        <v>45720.5</v>
      </c>
      <c r="BF64" s="20" t="n">
        <v>45720.125</v>
      </c>
      <c r="BG64" s="20" t="n">
        <v>45720.54166666666</v>
      </c>
      <c r="BH64" s="20" t="n">
        <v>45720.625</v>
      </c>
    </row>
    <row r="65">
      <c r="A65" s="5">
        <f>A64+1</f>
        <v/>
      </c>
      <c r="B65" s="3">
        <f>-SUMIFS(df_extrato_zig!G:G,df_extrato_zig!E:E,Conciliacao!A65,df_extrato_zig!D:D,"Saque")-SUMIFS(df_extrato_zig!G:G,df_extrato_zig!E:E,Conciliacao!A65,df_extrato_zig!D:D,"Antecipação")</f>
        <v/>
      </c>
      <c r="C65" s="3">
        <f>SUMIFS(df_extrato_zig!E:E,df_extrato_zig!L:L,Conciliacao!A65,df_extrato_zig!F:F,"DINHEIRO")</f>
        <v/>
      </c>
      <c r="D65" s="3">
        <f>SUMIFS(view_parc_agrup!H:H,view_parc_agrup!G:G,Conciliacao!A65)</f>
        <v/>
      </c>
      <c r="E65" s="3">
        <f>SUMIFS(df_eventos!F:F,df_eventos!H:H,Conciliacao!A65)</f>
        <v/>
      </c>
      <c r="F65" s="3">
        <f>SUMIFS(df_mutuos!M:M,df_mutuos!B:B,Conciliacao!A65)</f>
        <v/>
      </c>
      <c r="G65" s="6">
        <f>SUMIFS(df_bloqueios_judiciais!G:G,df_bloqueios_judiciais!D:D,Conciliacao!A65,df_bloqueios_judiciais!G:G,"&gt;0")</f>
        <v/>
      </c>
      <c r="H65" s="7">
        <f>SUMIFS(df_extratos!I:I,df_extratos!F:F,"&gt;="&amp;Conciliacao!BE65,df_extratos!F:F,"&lt;"&amp;Conciliacao!BE65+1,df_extratos!G:G,"CREDITO")
+SUMIFS(df_extratos!I:I,df_extratos!F:F,"&gt;="&amp;Conciliacao!A65, df_extratos!F:F,"&lt;"&amp;Conciliacao!A65+1, df_extratos!G:G,"CREDITO")
+SUMIFS(df_extratos!I:I,df_extratos!F:F,"&gt;="&amp;Conciliacao!BF65,df_extratos!F:F,"&lt;"&amp;Conciliacao!BF65+1,df_extratos!G:G,"CREDITO")
+SUMIFS(df_extratos!I:I,df_extratos!F:F,"&gt;="&amp;Conciliacao!BG65,df_extratos!F:F,"&lt;"&amp;Conciliacao!BG65+1,df_extratos!G:G,"CREDITO")
+SUMIFS(df_extratos!I:I,df_extratos!F:F,"&gt;="&amp;Conciliacao!BH65,df_extratos!F:F,"&lt;"&amp;Conciliacao!BH65+1,df_extratos!G:G,"CREDITO")</f>
        <v/>
      </c>
      <c r="I65" s="9">
        <f>H65-SUM(B65:G65)</f>
        <v/>
      </c>
      <c r="J65" s="4">
        <f>SUMIFS(df_blueme_sem_parcelamento!E:E,df_blueme_sem_parcelamento!H:H,Conciliacao!A65)*(-1)</f>
        <v/>
      </c>
      <c r="K65" s="4">
        <f>SUMIFS(df_blueme_com_parcelamento!J:J,df_blueme_com_parcelamento!M:M,Conciliacao!A65)*(-1)</f>
        <v/>
      </c>
      <c r="L65" s="4">
        <f>SUMIFS(df_mutuos!N:N,df_mutuos!B:B,Conciliacao!A65)*(-1)</f>
        <v/>
      </c>
      <c r="M65" s="8">
        <f>SUMIFS(df_bloqueios_judiciais!G:G,df_bloqueios_judiciais!D:D,Conciliacao!A65,df_bloqueios_judiciais!G:G,"&lt;0")</f>
        <v/>
      </c>
      <c r="N65" s="10">
        <f>SUMIFS(df_extratos!I:I,df_extratos!F:F,"&gt;="&amp;Conciliacao!BE65,df_extratos!F:F,"&lt;"&amp;Conciliacao!BE65+1,df_extratos!G:G,"DEBITO")
+SUMIFS(df_extratos!I:I,df_extratos!F:F,"&gt;="&amp;Conciliacao!A65, df_extratos!F:F,"&lt;"&amp;Conciliacao!A65+1, df_extratos!G:G,"DEBITO")
+SUMIFS(df_extratos!I:I,df_extratos!F:F,"&gt;="&amp;Conciliacao!BF65,df_extratos!F:F,"&lt;"&amp;Conciliacao!BF65+1,df_extratos!G:G,"DEBITO")
+SUMIFS(df_extratos!I:I,df_extratos!F:F,"&gt;="&amp;Conciliacao!BG65,df_extratos!F:F,"&lt;"&amp;Conciliacao!BG65+1,df_extratos!G:G,"DEBITO")
+SUMIFS(df_extratos!I:I,df_extratos!F:F,"&gt;="&amp;Conciliacao!BH65,df_extratos!F:F,"&lt;"&amp;Conciliacao!BH65+1,df_extratos!G:G,"DEBITO")</f>
        <v/>
      </c>
      <c r="O65" s="11">
        <f>N65-SUM(J65:M65)</f>
        <v/>
      </c>
      <c r="P65" s="25">
        <f>SUMIFS(df_ajustes_conciliaco!D:D,df_ajustes_conciliaco!C:C,Conciliacao!A65)</f>
        <v/>
      </c>
      <c r="Q65" s="22">
        <f>O65+I65-P65</f>
        <v/>
      </c>
      <c r="BE65" s="20" t="n">
        <v>45721.5</v>
      </c>
      <c r="BF65" s="20" t="n">
        <v>45721.125</v>
      </c>
      <c r="BG65" s="20" t="n">
        <v>45721.54166666666</v>
      </c>
      <c r="BH65" s="20" t="n">
        <v>45721.625</v>
      </c>
    </row>
    <row r="66">
      <c r="A66" s="5">
        <f>A65+1</f>
        <v/>
      </c>
      <c r="B66" s="3">
        <f>-SUMIFS(df_extrato_zig!G:G,df_extrato_zig!E:E,Conciliacao!A66,df_extrato_zig!D:D,"Saque")-SUMIFS(df_extrato_zig!G:G,df_extrato_zig!E:E,Conciliacao!A66,df_extrato_zig!D:D,"Antecipação")</f>
        <v/>
      </c>
      <c r="C66" s="3">
        <f>SUMIFS(df_extrato_zig!E:E,df_extrato_zig!L:L,Conciliacao!A66,df_extrato_zig!F:F,"DINHEIRO")</f>
        <v/>
      </c>
      <c r="D66" s="3">
        <f>SUMIFS(view_parc_agrup!H:H,view_parc_agrup!G:G,Conciliacao!A66)</f>
        <v/>
      </c>
      <c r="E66" s="3">
        <f>SUMIFS(df_eventos!F:F,df_eventos!H:H,Conciliacao!A66)</f>
        <v/>
      </c>
      <c r="F66" s="3">
        <f>SUMIFS(df_mutuos!M:M,df_mutuos!B:B,Conciliacao!A66)</f>
        <v/>
      </c>
      <c r="G66" s="6">
        <f>SUMIFS(df_bloqueios_judiciais!G:G,df_bloqueios_judiciais!D:D,Conciliacao!A66,df_bloqueios_judiciais!G:G,"&gt;0")</f>
        <v/>
      </c>
      <c r="H66" s="7">
        <f>SUMIFS(df_extratos!I:I,df_extratos!F:F,"&gt;="&amp;Conciliacao!BE66,df_extratos!F:F,"&lt;"&amp;Conciliacao!BE66+1,df_extratos!G:G,"CREDITO")
+SUMIFS(df_extratos!I:I,df_extratos!F:F,"&gt;="&amp;Conciliacao!A66, df_extratos!F:F,"&lt;"&amp;Conciliacao!A66+1, df_extratos!G:G,"CREDITO")
+SUMIFS(df_extratos!I:I,df_extratos!F:F,"&gt;="&amp;Conciliacao!BF66,df_extratos!F:F,"&lt;"&amp;Conciliacao!BF66+1,df_extratos!G:G,"CREDITO")
+SUMIFS(df_extratos!I:I,df_extratos!F:F,"&gt;="&amp;Conciliacao!BG66,df_extratos!F:F,"&lt;"&amp;Conciliacao!BG66+1,df_extratos!G:G,"CREDITO")
+SUMIFS(df_extratos!I:I,df_extratos!F:F,"&gt;="&amp;Conciliacao!BH66,df_extratos!F:F,"&lt;"&amp;Conciliacao!BH66+1,df_extratos!G:G,"CREDITO")</f>
        <v/>
      </c>
      <c r="I66" s="9">
        <f>H66-SUM(B66:G66)</f>
        <v/>
      </c>
      <c r="J66" s="4">
        <f>SUMIFS(df_blueme_sem_parcelamento!E:E,df_blueme_sem_parcelamento!H:H,Conciliacao!A66)*(-1)</f>
        <v/>
      </c>
      <c r="K66" s="4">
        <f>SUMIFS(df_blueme_com_parcelamento!J:J,df_blueme_com_parcelamento!M:M,Conciliacao!A66)*(-1)</f>
        <v/>
      </c>
      <c r="L66" s="4">
        <f>SUMIFS(df_mutuos!N:N,df_mutuos!B:B,Conciliacao!A66)*(-1)</f>
        <v/>
      </c>
      <c r="M66" s="8">
        <f>SUMIFS(df_bloqueios_judiciais!G:G,df_bloqueios_judiciais!D:D,Conciliacao!A66,df_bloqueios_judiciais!G:G,"&lt;0")</f>
        <v/>
      </c>
      <c r="N66" s="10">
        <f>SUMIFS(df_extratos!I:I,df_extratos!F:F,"&gt;="&amp;Conciliacao!BE66,df_extratos!F:F,"&lt;"&amp;Conciliacao!BE66+1,df_extratos!G:G,"DEBITO")
+SUMIFS(df_extratos!I:I,df_extratos!F:F,"&gt;="&amp;Conciliacao!A66, df_extratos!F:F,"&lt;"&amp;Conciliacao!A66+1, df_extratos!G:G,"DEBITO")
+SUMIFS(df_extratos!I:I,df_extratos!F:F,"&gt;="&amp;Conciliacao!BF66,df_extratos!F:F,"&lt;"&amp;Conciliacao!BF66+1,df_extratos!G:G,"DEBITO")
+SUMIFS(df_extratos!I:I,df_extratos!F:F,"&gt;="&amp;Conciliacao!BG66,df_extratos!F:F,"&lt;"&amp;Conciliacao!BG66+1,df_extratos!G:G,"DEBITO")
+SUMIFS(df_extratos!I:I,df_extratos!F:F,"&gt;="&amp;Conciliacao!BH66,df_extratos!F:F,"&lt;"&amp;Conciliacao!BH66+1,df_extratos!G:G,"DEBITO")</f>
        <v/>
      </c>
      <c r="O66" s="11">
        <f>N66-SUM(J66:M66)</f>
        <v/>
      </c>
      <c r="P66" s="25">
        <f>SUMIFS(df_ajustes_conciliaco!D:D,df_ajustes_conciliaco!C:C,Conciliacao!A66)</f>
        <v/>
      </c>
      <c r="Q66" s="22">
        <f>O66+I66-P66</f>
        <v/>
      </c>
      <c r="BE66" s="20" t="n">
        <v>45722.5</v>
      </c>
      <c r="BF66" s="20" t="n">
        <v>45722.125</v>
      </c>
      <c r="BG66" s="20" t="n">
        <v>45722.54166666666</v>
      </c>
      <c r="BH66" s="20" t="n">
        <v>45722.625</v>
      </c>
    </row>
    <row r="67">
      <c r="A67" s="5">
        <f>A66+1</f>
        <v/>
      </c>
      <c r="B67" s="3">
        <f>-SUMIFS(df_extrato_zig!G:G,df_extrato_zig!E:E,Conciliacao!A67,df_extrato_zig!D:D,"Saque")-SUMIFS(df_extrato_zig!G:G,df_extrato_zig!E:E,Conciliacao!A67,df_extrato_zig!D:D,"Antecipação")</f>
        <v/>
      </c>
      <c r="C67" s="3">
        <f>SUMIFS(df_extrato_zig!E:E,df_extrato_zig!L:L,Conciliacao!A67,df_extrato_zig!F:F,"DINHEIRO")</f>
        <v/>
      </c>
      <c r="D67" s="3">
        <f>SUMIFS(view_parc_agrup!H:H,view_parc_agrup!G:G,Conciliacao!A67)</f>
        <v/>
      </c>
      <c r="E67" s="3">
        <f>SUMIFS(df_eventos!F:F,df_eventos!H:H,Conciliacao!A67)</f>
        <v/>
      </c>
      <c r="F67" s="3">
        <f>SUMIFS(df_mutuos!M:M,df_mutuos!B:B,Conciliacao!A67)</f>
        <v/>
      </c>
      <c r="G67" s="6">
        <f>SUMIFS(df_bloqueios_judiciais!G:G,df_bloqueios_judiciais!D:D,Conciliacao!A67,df_bloqueios_judiciais!G:G,"&gt;0")</f>
        <v/>
      </c>
      <c r="H67" s="7">
        <f>SUMIFS(df_extratos!I:I,df_extratos!F:F,"&gt;="&amp;Conciliacao!BE67,df_extratos!F:F,"&lt;"&amp;Conciliacao!BE67+1,df_extratos!G:G,"CREDITO")
+SUMIFS(df_extratos!I:I,df_extratos!F:F,"&gt;="&amp;Conciliacao!A67, df_extratos!F:F,"&lt;"&amp;Conciliacao!A67+1, df_extratos!G:G,"CREDITO")
+SUMIFS(df_extratos!I:I,df_extratos!F:F,"&gt;="&amp;Conciliacao!BF67,df_extratos!F:F,"&lt;"&amp;Conciliacao!BF67+1,df_extratos!G:G,"CREDITO")
+SUMIFS(df_extratos!I:I,df_extratos!F:F,"&gt;="&amp;Conciliacao!BG67,df_extratos!F:F,"&lt;"&amp;Conciliacao!BG67+1,df_extratos!G:G,"CREDITO")
+SUMIFS(df_extratos!I:I,df_extratos!F:F,"&gt;="&amp;Conciliacao!BH67,df_extratos!F:F,"&lt;"&amp;Conciliacao!BH67+1,df_extratos!G:G,"CREDITO")</f>
        <v/>
      </c>
      <c r="I67" s="9">
        <f>H67-SUM(B67:G67)</f>
        <v/>
      </c>
      <c r="J67" s="4">
        <f>SUMIFS(df_blueme_sem_parcelamento!E:E,df_blueme_sem_parcelamento!H:H,Conciliacao!A67)*(-1)</f>
        <v/>
      </c>
      <c r="K67" s="4">
        <f>SUMIFS(df_blueme_com_parcelamento!J:J,df_blueme_com_parcelamento!M:M,Conciliacao!A67)*(-1)</f>
        <v/>
      </c>
      <c r="L67" s="4">
        <f>SUMIFS(df_mutuos!N:N,df_mutuos!B:B,Conciliacao!A67)*(-1)</f>
        <v/>
      </c>
      <c r="M67" s="8">
        <f>SUMIFS(df_bloqueios_judiciais!G:G,df_bloqueios_judiciais!D:D,Conciliacao!A67,df_bloqueios_judiciais!G:G,"&lt;0")</f>
        <v/>
      </c>
      <c r="N67" s="10">
        <f>SUMIFS(df_extratos!I:I,df_extratos!F:F,"&gt;="&amp;Conciliacao!BE67,df_extratos!F:F,"&lt;"&amp;Conciliacao!BE67+1,df_extratos!G:G,"DEBITO")
+SUMIFS(df_extratos!I:I,df_extratos!F:F,"&gt;="&amp;Conciliacao!A67, df_extratos!F:F,"&lt;"&amp;Conciliacao!A67+1, df_extratos!G:G,"DEBITO")
+SUMIFS(df_extratos!I:I,df_extratos!F:F,"&gt;="&amp;Conciliacao!BF67,df_extratos!F:F,"&lt;"&amp;Conciliacao!BF67+1,df_extratos!G:G,"DEBITO")
+SUMIFS(df_extratos!I:I,df_extratos!F:F,"&gt;="&amp;Conciliacao!BG67,df_extratos!F:F,"&lt;"&amp;Conciliacao!BG67+1,df_extratos!G:G,"DEBITO")
+SUMIFS(df_extratos!I:I,df_extratos!F:F,"&gt;="&amp;Conciliacao!BH67,df_extratos!F:F,"&lt;"&amp;Conciliacao!BH67+1,df_extratos!G:G,"DEBITO")</f>
        <v/>
      </c>
      <c r="O67" s="11">
        <f>N67-SUM(J67:M67)</f>
        <v/>
      </c>
      <c r="P67" s="25">
        <f>SUMIFS(df_ajustes_conciliaco!D:D,df_ajustes_conciliaco!C:C,Conciliacao!A67)</f>
        <v/>
      </c>
      <c r="Q67" s="22">
        <f>O67+I67-P67</f>
        <v/>
      </c>
      <c r="BE67" s="20" t="n">
        <v>45723.5</v>
      </c>
      <c r="BF67" s="20" t="n">
        <v>45723.125</v>
      </c>
      <c r="BG67" s="20" t="n">
        <v>45723.54166666666</v>
      </c>
      <c r="BH67" s="20" t="n">
        <v>45723.625</v>
      </c>
    </row>
    <row r="68">
      <c r="A68" s="5">
        <f>A67+1</f>
        <v/>
      </c>
      <c r="B68" s="3">
        <f>-SUMIFS(df_extrato_zig!G:G,df_extrato_zig!E:E,Conciliacao!A68,df_extrato_zig!D:D,"Saque")-SUMIFS(df_extrato_zig!G:G,df_extrato_zig!E:E,Conciliacao!A68,df_extrato_zig!D:D,"Antecipação")</f>
        <v/>
      </c>
      <c r="C68" s="3">
        <f>SUMIFS(df_extrato_zig!E:E,df_extrato_zig!L:L,Conciliacao!A68,df_extrato_zig!F:F,"DINHEIRO")</f>
        <v/>
      </c>
      <c r="D68" s="3">
        <f>SUMIFS(view_parc_agrup!H:H,view_parc_agrup!G:G,Conciliacao!A68)</f>
        <v/>
      </c>
      <c r="E68" s="3">
        <f>SUMIFS(df_eventos!F:F,df_eventos!H:H,Conciliacao!A68)</f>
        <v/>
      </c>
      <c r="F68" s="3">
        <f>SUMIFS(df_mutuos!M:M,df_mutuos!B:B,Conciliacao!A68)</f>
        <v/>
      </c>
      <c r="G68" s="6">
        <f>SUMIFS(df_bloqueios_judiciais!G:G,df_bloqueios_judiciais!D:D,Conciliacao!A68,df_bloqueios_judiciais!G:G,"&gt;0")</f>
        <v/>
      </c>
      <c r="H68" s="7">
        <f>SUMIFS(df_extratos!I:I,df_extratos!F:F,"&gt;="&amp;Conciliacao!BE68,df_extratos!F:F,"&lt;"&amp;Conciliacao!BE68+1,df_extratos!G:G,"CREDITO")
+SUMIFS(df_extratos!I:I,df_extratos!F:F,"&gt;="&amp;Conciliacao!A68, df_extratos!F:F,"&lt;"&amp;Conciliacao!A68+1, df_extratos!G:G,"CREDITO")
+SUMIFS(df_extratos!I:I,df_extratos!F:F,"&gt;="&amp;Conciliacao!BF68,df_extratos!F:F,"&lt;"&amp;Conciliacao!BF68+1,df_extratos!G:G,"CREDITO")
+SUMIFS(df_extratos!I:I,df_extratos!F:F,"&gt;="&amp;Conciliacao!BG68,df_extratos!F:F,"&lt;"&amp;Conciliacao!BG68+1,df_extratos!G:G,"CREDITO")
+SUMIFS(df_extratos!I:I,df_extratos!F:F,"&gt;="&amp;Conciliacao!BH68,df_extratos!F:F,"&lt;"&amp;Conciliacao!BH68+1,df_extratos!G:G,"CREDITO")</f>
        <v/>
      </c>
      <c r="I68" s="9">
        <f>H68-SUM(B68:G68)</f>
        <v/>
      </c>
      <c r="J68" s="4">
        <f>SUMIFS(df_blueme_sem_parcelamento!E:E,df_blueme_sem_parcelamento!H:H,Conciliacao!A68)*(-1)</f>
        <v/>
      </c>
      <c r="K68" s="4">
        <f>SUMIFS(df_blueme_com_parcelamento!J:J,df_blueme_com_parcelamento!M:M,Conciliacao!A68)*(-1)</f>
        <v/>
      </c>
      <c r="L68" s="4">
        <f>SUMIFS(df_mutuos!N:N,df_mutuos!B:B,Conciliacao!A68)*(-1)</f>
        <v/>
      </c>
      <c r="M68" s="8">
        <f>SUMIFS(df_bloqueios_judiciais!G:G,df_bloqueios_judiciais!D:D,Conciliacao!A68,df_bloqueios_judiciais!G:G,"&lt;0")</f>
        <v/>
      </c>
      <c r="N68" s="10">
        <f>SUMIFS(df_extratos!I:I,df_extratos!F:F,"&gt;="&amp;Conciliacao!BE68,df_extratos!F:F,"&lt;"&amp;Conciliacao!BE68+1,df_extratos!G:G,"DEBITO")
+SUMIFS(df_extratos!I:I,df_extratos!F:F,"&gt;="&amp;Conciliacao!A68, df_extratos!F:F,"&lt;"&amp;Conciliacao!A68+1, df_extratos!G:G,"DEBITO")
+SUMIFS(df_extratos!I:I,df_extratos!F:F,"&gt;="&amp;Conciliacao!BF68,df_extratos!F:F,"&lt;"&amp;Conciliacao!BF68+1,df_extratos!G:G,"DEBITO")
+SUMIFS(df_extratos!I:I,df_extratos!F:F,"&gt;="&amp;Conciliacao!BG68,df_extratos!F:F,"&lt;"&amp;Conciliacao!BG68+1,df_extratos!G:G,"DEBITO")
+SUMIFS(df_extratos!I:I,df_extratos!F:F,"&gt;="&amp;Conciliacao!BH68,df_extratos!F:F,"&lt;"&amp;Conciliacao!BH68+1,df_extratos!G:G,"DEBITO")</f>
        <v/>
      </c>
      <c r="O68" s="11">
        <f>N68-SUM(J68:M68)</f>
        <v/>
      </c>
      <c r="P68" s="25">
        <f>SUMIFS(df_ajustes_conciliaco!D:D,df_ajustes_conciliaco!C:C,Conciliacao!A68)</f>
        <v/>
      </c>
      <c r="Q68" s="22">
        <f>O68+I68-P68</f>
        <v/>
      </c>
      <c r="BE68" s="20" t="n">
        <v>45724.5</v>
      </c>
      <c r="BF68" s="20" t="n">
        <v>45724.125</v>
      </c>
      <c r="BG68" s="20" t="n">
        <v>45724.54166666666</v>
      </c>
      <c r="BH68" s="20" t="n">
        <v>45724.625</v>
      </c>
    </row>
    <row r="69">
      <c r="A69" s="5">
        <f>A68+1</f>
        <v/>
      </c>
      <c r="B69" s="3">
        <f>-SUMIFS(df_extrato_zig!G:G,df_extrato_zig!E:E,Conciliacao!A69,df_extrato_zig!D:D,"Saque")-SUMIFS(df_extrato_zig!G:G,df_extrato_zig!E:E,Conciliacao!A69,df_extrato_zig!D:D,"Antecipação")</f>
        <v/>
      </c>
      <c r="C69" s="3">
        <f>SUMIFS(df_extrato_zig!E:E,df_extrato_zig!L:L,Conciliacao!A69,df_extrato_zig!F:F,"DINHEIRO")</f>
        <v/>
      </c>
      <c r="D69" s="3">
        <f>SUMIFS(view_parc_agrup!H:H,view_parc_agrup!G:G,Conciliacao!A69)</f>
        <v/>
      </c>
      <c r="E69" s="3">
        <f>SUMIFS(df_eventos!F:F,df_eventos!H:H,Conciliacao!A69)</f>
        <v/>
      </c>
      <c r="F69" s="3">
        <f>SUMIFS(df_mutuos!M:M,df_mutuos!B:B,Conciliacao!A69)</f>
        <v/>
      </c>
      <c r="G69" s="6">
        <f>SUMIFS(df_bloqueios_judiciais!G:G,df_bloqueios_judiciais!D:D,Conciliacao!A69,df_bloqueios_judiciais!G:G,"&gt;0")</f>
        <v/>
      </c>
      <c r="H69" s="7">
        <f>SUMIFS(df_extratos!I:I,df_extratos!F:F,"&gt;="&amp;Conciliacao!BE69,df_extratos!F:F,"&lt;"&amp;Conciliacao!BE69+1,df_extratos!G:G,"CREDITO")
+SUMIFS(df_extratos!I:I,df_extratos!F:F,"&gt;="&amp;Conciliacao!A69, df_extratos!F:F,"&lt;"&amp;Conciliacao!A69+1, df_extratos!G:G,"CREDITO")
+SUMIFS(df_extratos!I:I,df_extratos!F:F,"&gt;="&amp;Conciliacao!BF69,df_extratos!F:F,"&lt;"&amp;Conciliacao!BF69+1,df_extratos!G:G,"CREDITO")
+SUMIFS(df_extratos!I:I,df_extratos!F:F,"&gt;="&amp;Conciliacao!BG69,df_extratos!F:F,"&lt;"&amp;Conciliacao!BG69+1,df_extratos!G:G,"CREDITO")
+SUMIFS(df_extratos!I:I,df_extratos!F:F,"&gt;="&amp;Conciliacao!BH69,df_extratos!F:F,"&lt;"&amp;Conciliacao!BH69+1,df_extratos!G:G,"CREDITO")</f>
        <v/>
      </c>
      <c r="I69" s="9">
        <f>H69-SUM(B69:G69)</f>
        <v/>
      </c>
      <c r="J69" s="4">
        <f>SUMIFS(df_blueme_sem_parcelamento!E:E,df_blueme_sem_parcelamento!H:H,Conciliacao!A69)*(-1)</f>
        <v/>
      </c>
      <c r="K69" s="4">
        <f>SUMIFS(df_blueme_com_parcelamento!J:J,df_blueme_com_parcelamento!M:M,Conciliacao!A69)*(-1)</f>
        <v/>
      </c>
      <c r="L69" s="4">
        <f>SUMIFS(df_mutuos!N:N,df_mutuos!B:B,Conciliacao!A69)*(-1)</f>
        <v/>
      </c>
      <c r="M69" s="8">
        <f>SUMIFS(df_bloqueios_judiciais!G:G,df_bloqueios_judiciais!D:D,Conciliacao!A69,df_bloqueios_judiciais!G:G,"&lt;0")</f>
        <v/>
      </c>
      <c r="N69" s="10">
        <f>SUMIFS(df_extratos!I:I,df_extratos!F:F,"&gt;="&amp;Conciliacao!BE69,df_extratos!F:F,"&lt;"&amp;Conciliacao!BE69+1,df_extratos!G:G,"DEBITO")
+SUMIFS(df_extratos!I:I,df_extratos!F:F,"&gt;="&amp;Conciliacao!A69, df_extratos!F:F,"&lt;"&amp;Conciliacao!A69+1, df_extratos!G:G,"DEBITO")
+SUMIFS(df_extratos!I:I,df_extratos!F:F,"&gt;="&amp;Conciliacao!BF69,df_extratos!F:F,"&lt;"&amp;Conciliacao!BF69+1,df_extratos!G:G,"DEBITO")
+SUMIFS(df_extratos!I:I,df_extratos!F:F,"&gt;="&amp;Conciliacao!BG69,df_extratos!F:F,"&lt;"&amp;Conciliacao!BG69+1,df_extratos!G:G,"DEBITO")
+SUMIFS(df_extratos!I:I,df_extratos!F:F,"&gt;="&amp;Conciliacao!BH69,df_extratos!F:F,"&lt;"&amp;Conciliacao!BH69+1,df_extratos!G:G,"DEBITO")</f>
        <v/>
      </c>
      <c r="O69" s="11">
        <f>N69-SUM(J69:M69)</f>
        <v/>
      </c>
      <c r="P69" s="25">
        <f>SUMIFS(df_ajustes_conciliaco!D:D,df_ajustes_conciliaco!C:C,Conciliacao!A69)</f>
        <v/>
      </c>
      <c r="Q69" s="22">
        <f>O69+I69-P69</f>
        <v/>
      </c>
      <c r="BE69" s="20" t="n">
        <v>45725.5</v>
      </c>
      <c r="BF69" s="20" t="n">
        <v>45725.125</v>
      </c>
      <c r="BG69" s="20" t="n">
        <v>45725.54166666666</v>
      </c>
      <c r="BH69" s="20" t="n">
        <v>45725.625</v>
      </c>
    </row>
    <row r="70">
      <c r="A70" s="5">
        <f>A69+1</f>
        <v/>
      </c>
      <c r="B70" s="3">
        <f>-SUMIFS(df_extrato_zig!G:G,df_extrato_zig!E:E,Conciliacao!A70,df_extrato_zig!D:D,"Saque")-SUMIFS(df_extrato_zig!G:G,df_extrato_zig!E:E,Conciliacao!A70,df_extrato_zig!D:D,"Antecipação")</f>
        <v/>
      </c>
      <c r="C70" s="3">
        <f>SUMIFS(df_extrato_zig!E:E,df_extrato_zig!L:L,Conciliacao!A70,df_extrato_zig!F:F,"DINHEIRO")</f>
        <v/>
      </c>
      <c r="D70" s="3">
        <f>SUMIFS(view_parc_agrup!H:H,view_parc_agrup!G:G,Conciliacao!A70)</f>
        <v/>
      </c>
      <c r="E70" s="3">
        <f>SUMIFS(df_eventos!F:F,df_eventos!H:H,Conciliacao!A70)</f>
        <v/>
      </c>
      <c r="F70" s="3">
        <f>SUMIFS(df_mutuos!M:M,df_mutuos!B:B,Conciliacao!A70)</f>
        <v/>
      </c>
      <c r="G70" s="6">
        <f>SUMIFS(df_bloqueios_judiciais!G:G,df_bloqueios_judiciais!D:D,Conciliacao!A70,df_bloqueios_judiciais!G:G,"&gt;0")</f>
        <v/>
      </c>
      <c r="H70" s="7">
        <f>SUMIFS(df_extratos!I:I,df_extratos!F:F,"&gt;="&amp;Conciliacao!BE70,df_extratos!F:F,"&lt;"&amp;Conciliacao!BE70+1,df_extratos!G:G,"CREDITO")
+SUMIFS(df_extratos!I:I,df_extratos!F:F,"&gt;="&amp;Conciliacao!A70, df_extratos!F:F,"&lt;"&amp;Conciliacao!A70+1, df_extratos!G:G,"CREDITO")
+SUMIFS(df_extratos!I:I,df_extratos!F:F,"&gt;="&amp;Conciliacao!BF70,df_extratos!F:F,"&lt;"&amp;Conciliacao!BF70+1,df_extratos!G:G,"CREDITO")
+SUMIFS(df_extratos!I:I,df_extratos!F:F,"&gt;="&amp;Conciliacao!BG70,df_extratos!F:F,"&lt;"&amp;Conciliacao!BG70+1,df_extratos!G:G,"CREDITO")
+SUMIFS(df_extratos!I:I,df_extratos!F:F,"&gt;="&amp;Conciliacao!BH70,df_extratos!F:F,"&lt;"&amp;Conciliacao!BH70+1,df_extratos!G:G,"CREDITO")</f>
        <v/>
      </c>
      <c r="I70" s="9">
        <f>H70-SUM(B70:G70)</f>
        <v/>
      </c>
      <c r="J70" s="4">
        <f>SUMIFS(df_blueme_sem_parcelamento!E:E,df_blueme_sem_parcelamento!H:H,Conciliacao!A70)*(-1)</f>
        <v/>
      </c>
      <c r="K70" s="4">
        <f>SUMIFS(df_blueme_com_parcelamento!J:J,df_blueme_com_parcelamento!M:M,Conciliacao!A70)*(-1)</f>
        <v/>
      </c>
      <c r="L70" s="4">
        <f>SUMIFS(df_mutuos!N:N,df_mutuos!B:B,Conciliacao!A70)*(-1)</f>
        <v/>
      </c>
      <c r="M70" s="8">
        <f>SUMIFS(df_bloqueios_judiciais!G:G,df_bloqueios_judiciais!D:D,Conciliacao!A70,df_bloqueios_judiciais!G:G,"&lt;0")</f>
        <v/>
      </c>
      <c r="N70" s="10">
        <f>SUMIFS(df_extratos!I:I,df_extratos!F:F,"&gt;="&amp;Conciliacao!BE70,df_extratos!F:F,"&lt;"&amp;Conciliacao!BE70+1,df_extratos!G:G,"DEBITO")
+SUMIFS(df_extratos!I:I,df_extratos!F:F,"&gt;="&amp;Conciliacao!A70, df_extratos!F:F,"&lt;"&amp;Conciliacao!A70+1, df_extratos!G:G,"DEBITO")
+SUMIFS(df_extratos!I:I,df_extratos!F:F,"&gt;="&amp;Conciliacao!BF70,df_extratos!F:F,"&lt;"&amp;Conciliacao!BF70+1,df_extratos!G:G,"DEBITO")
+SUMIFS(df_extratos!I:I,df_extratos!F:F,"&gt;="&amp;Conciliacao!BG70,df_extratos!F:F,"&lt;"&amp;Conciliacao!BG70+1,df_extratos!G:G,"DEBITO")
+SUMIFS(df_extratos!I:I,df_extratos!F:F,"&gt;="&amp;Conciliacao!BH70,df_extratos!F:F,"&lt;"&amp;Conciliacao!BH70+1,df_extratos!G:G,"DEBITO")</f>
        <v/>
      </c>
      <c r="O70" s="11">
        <f>N70-SUM(J70:M70)</f>
        <v/>
      </c>
      <c r="P70" s="25">
        <f>SUMIFS(df_ajustes_conciliaco!D:D,df_ajustes_conciliaco!C:C,Conciliacao!A70)</f>
        <v/>
      </c>
      <c r="Q70" s="22">
        <f>O70+I70-P70</f>
        <v/>
      </c>
      <c r="BE70" s="20" t="n">
        <v>45726.5</v>
      </c>
      <c r="BF70" s="20" t="n">
        <v>45726.125</v>
      </c>
      <c r="BG70" s="20" t="n">
        <v>45726.54166666666</v>
      </c>
      <c r="BH70" s="20" t="n">
        <v>45726.625</v>
      </c>
    </row>
    <row r="71">
      <c r="A71" s="5">
        <f>A70+1</f>
        <v/>
      </c>
      <c r="B71" s="3">
        <f>-SUMIFS(df_extrato_zig!G:G,df_extrato_zig!E:E,Conciliacao!A71,df_extrato_zig!D:D,"Saque")-SUMIFS(df_extrato_zig!G:G,df_extrato_zig!E:E,Conciliacao!A71,df_extrato_zig!D:D,"Antecipação")</f>
        <v/>
      </c>
      <c r="C71" s="3">
        <f>SUMIFS(df_extrato_zig!E:E,df_extrato_zig!L:L,Conciliacao!A71,df_extrato_zig!F:F,"DINHEIRO")</f>
        <v/>
      </c>
      <c r="D71" s="3">
        <f>SUMIFS(view_parc_agrup!H:H,view_parc_agrup!G:G,Conciliacao!A71)</f>
        <v/>
      </c>
      <c r="E71" s="3">
        <f>SUMIFS(df_eventos!F:F,df_eventos!H:H,Conciliacao!A71)</f>
        <v/>
      </c>
      <c r="F71" s="3">
        <f>SUMIFS(df_mutuos!M:M,df_mutuos!B:B,Conciliacao!A71)</f>
        <v/>
      </c>
      <c r="G71" s="6">
        <f>SUMIFS(df_bloqueios_judiciais!G:G,df_bloqueios_judiciais!D:D,Conciliacao!A71,df_bloqueios_judiciais!G:G,"&gt;0")</f>
        <v/>
      </c>
      <c r="H71" s="7">
        <f>SUMIFS(df_extratos!I:I,df_extratos!F:F,"&gt;="&amp;Conciliacao!BE71,df_extratos!F:F,"&lt;"&amp;Conciliacao!BE71+1,df_extratos!G:G,"CREDITO")
+SUMIFS(df_extratos!I:I,df_extratos!F:F,"&gt;="&amp;Conciliacao!A71, df_extratos!F:F,"&lt;"&amp;Conciliacao!A71+1, df_extratos!G:G,"CREDITO")
+SUMIFS(df_extratos!I:I,df_extratos!F:F,"&gt;="&amp;Conciliacao!BF71,df_extratos!F:F,"&lt;"&amp;Conciliacao!BF71+1,df_extratos!G:G,"CREDITO")
+SUMIFS(df_extratos!I:I,df_extratos!F:F,"&gt;="&amp;Conciliacao!BG71,df_extratos!F:F,"&lt;"&amp;Conciliacao!BG71+1,df_extratos!G:G,"CREDITO")
+SUMIFS(df_extratos!I:I,df_extratos!F:F,"&gt;="&amp;Conciliacao!BH71,df_extratos!F:F,"&lt;"&amp;Conciliacao!BH71+1,df_extratos!G:G,"CREDITO")</f>
        <v/>
      </c>
      <c r="I71" s="9">
        <f>H71-SUM(B71:G71)</f>
        <v/>
      </c>
      <c r="J71" s="4">
        <f>SUMIFS(df_blueme_sem_parcelamento!E:E,df_blueme_sem_parcelamento!H:H,Conciliacao!A71)*(-1)</f>
        <v/>
      </c>
      <c r="K71" s="4">
        <f>SUMIFS(df_blueme_com_parcelamento!J:J,df_blueme_com_parcelamento!M:M,Conciliacao!A71)*(-1)</f>
        <v/>
      </c>
      <c r="L71" s="4">
        <f>SUMIFS(df_mutuos!N:N,df_mutuos!B:B,Conciliacao!A71)*(-1)</f>
        <v/>
      </c>
      <c r="M71" s="8">
        <f>SUMIFS(df_bloqueios_judiciais!G:G,df_bloqueios_judiciais!D:D,Conciliacao!A71,df_bloqueios_judiciais!G:G,"&lt;0")</f>
        <v/>
      </c>
      <c r="N71" s="10">
        <f>SUMIFS(df_extratos!I:I,df_extratos!F:F,"&gt;="&amp;Conciliacao!BE71,df_extratos!F:F,"&lt;"&amp;Conciliacao!BE71+1,df_extratos!G:G,"DEBITO")
+SUMIFS(df_extratos!I:I,df_extratos!F:F,"&gt;="&amp;Conciliacao!A71, df_extratos!F:F,"&lt;"&amp;Conciliacao!A71+1, df_extratos!G:G,"DEBITO")
+SUMIFS(df_extratos!I:I,df_extratos!F:F,"&gt;="&amp;Conciliacao!BF71,df_extratos!F:F,"&lt;"&amp;Conciliacao!BF71+1,df_extratos!G:G,"DEBITO")
+SUMIFS(df_extratos!I:I,df_extratos!F:F,"&gt;="&amp;Conciliacao!BG71,df_extratos!F:F,"&lt;"&amp;Conciliacao!BG71+1,df_extratos!G:G,"DEBITO")
+SUMIFS(df_extratos!I:I,df_extratos!F:F,"&gt;="&amp;Conciliacao!BH71,df_extratos!F:F,"&lt;"&amp;Conciliacao!BH71+1,df_extratos!G:G,"DEBITO")</f>
        <v/>
      </c>
      <c r="O71" s="11">
        <f>N71-SUM(J71:M71)</f>
        <v/>
      </c>
      <c r="P71" s="25">
        <f>SUMIFS(df_ajustes_conciliaco!D:D,df_ajustes_conciliaco!C:C,Conciliacao!A71)</f>
        <v/>
      </c>
      <c r="Q71" s="22">
        <f>O71+I71-P71</f>
        <v/>
      </c>
      <c r="BE71" s="20" t="n">
        <v>45727.5</v>
      </c>
      <c r="BF71" s="20" t="n">
        <v>45727.125</v>
      </c>
      <c r="BG71" s="20" t="n">
        <v>45727.54166666666</v>
      </c>
      <c r="BH71" s="20" t="n">
        <v>45727.625</v>
      </c>
    </row>
    <row r="72">
      <c r="A72" s="5">
        <f>A71+1</f>
        <v/>
      </c>
      <c r="B72" s="3">
        <f>-SUMIFS(df_extrato_zig!G:G,df_extrato_zig!E:E,Conciliacao!A72,df_extrato_zig!D:D,"Saque")-SUMIFS(df_extrato_zig!G:G,df_extrato_zig!E:E,Conciliacao!A72,df_extrato_zig!D:D,"Antecipação")</f>
        <v/>
      </c>
      <c r="C72" s="3">
        <f>SUMIFS(df_extrato_zig!E:E,df_extrato_zig!L:L,Conciliacao!A72,df_extrato_zig!F:F,"DINHEIRO")</f>
        <v/>
      </c>
      <c r="D72" s="3">
        <f>SUMIFS(view_parc_agrup!H:H,view_parc_agrup!G:G,Conciliacao!A72)</f>
        <v/>
      </c>
      <c r="E72" s="3">
        <f>SUMIFS(df_eventos!F:F,df_eventos!H:H,Conciliacao!A72)</f>
        <v/>
      </c>
      <c r="F72" s="3">
        <f>SUMIFS(df_mutuos!M:M,df_mutuos!B:B,Conciliacao!A72)</f>
        <v/>
      </c>
      <c r="G72" s="6">
        <f>SUMIFS(df_bloqueios_judiciais!G:G,df_bloqueios_judiciais!D:D,Conciliacao!A72,df_bloqueios_judiciais!G:G,"&gt;0")</f>
        <v/>
      </c>
      <c r="H72" s="7">
        <f>SUMIFS(df_extratos!I:I,df_extratos!F:F,"&gt;="&amp;Conciliacao!BE72,df_extratos!F:F,"&lt;"&amp;Conciliacao!BE72+1,df_extratos!G:G,"CREDITO")
+SUMIFS(df_extratos!I:I,df_extratos!F:F,"&gt;="&amp;Conciliacao!A72, df_extratos!F:F,"&lt;"&amp;Conciliacao!A72+1, df_extratos!G:G,"CREDITO")
+SUMIFS(df_extratos!I:I,df_extratos!F:F,"&gt;="&amp;Conciliacao!BF72,df_extratos!F:F,"&lt;"&amp;Conciliacao!BF72+1,df_extratos!G:G,"CREDITO")
+SUMIFS(df_extratos!I:I,df_extratos!F:F,"&gt;="&amp;Conciliacao!BG72,df_extratos!F:F,"&lt;"&amp;Conciliacao!BG72+1,df_extratos!G:G,"CREDITO")
+SUMIFS(df_extratos!I:I,df_extratos!F:F,"&gt;="&amp;Conciliacao!BH72,df_extratos!F:F,"&lt;"&amp;Conciliacao!BH72+1,df_extratos!G:G,"CREDITO")</f>
        <v/>
      </c>
      <c r="I72" s="9">
        <f>H72-SUM(B72:G72)</f>
        <v/>
      </c>
      <c r="J72" s="4">
        <f>SUMIFS(df_blueme_sem_parcelamento!E:E,df_blueme_sem_parcelamento!H:H,Conciliacao!A72)*(-1)</f>
        <v/>
      </c>
      <c r="K72" s="4">
        <f>SUMIFS(df_blueme_com_parcelamento!J:J,df_blueme_com_parcelamento!M:M,Conciliacao!A72)*(-1)</f>
        <v/>
      </c>
      <c r="L72" s="4">
        <f>SUMIFS(df_mutuos!N:N,df_mutuos!B:B,Conciliacao!A72)*(-1)</f>
        <v/>
      </c>
      <c r="M72" s="8">
        <f>SUMIFS(df_bloqueios_judiciais!G:G,df_bloqueios_judiciais!D:D,Conciliacao!A72,df_bloqueios_judiciais!G:G,"&lt;0")</f>
        <v/>
      </c>
      <c r="N72" s="10">
        <f>SUMIFS(df_extratos!I:I,df_extratos!F:F,"&gt;="&amp;Conciliacao!BE72,df_extratos!F:F,"&lt;"&amp;Conciliacao!BE72+1,df_extratos!G:G,"DEBITO")
+SUMIFS(df_extratos!I:I,df_extratos!F:F,"&gt;="&amp;Conciliacao!A72, df_extratos!F:F,"&lt;"&amp;Conciliacao!A72+1, df_extratos!G:G,"DEBITO")
+SUMIFS(df_extratos!I:I,df_extratos!F:F,"&gt;="&amp;Conciliacao!BF72,df_extratos!F:F,"&lt;"&amp;Conciliacao!BF72+1,df_extratos!G:G,"DEBITO")
+SUMIFS(df_extratos!I:I,df_extratos!F:F,"&gt;="&amp;Conciliacao!BG72,df_extratos!F:F,"&lt;"&amp;Conciliacao!BG72+1,df_extratos!G:G,"DEBITO")
+SUMIFS(df_extratos!I:I,df_extratos!F:F,"&gt;="&amp;Conciliacao!BH72,df_extratos!F:F,"&lt;"&amp;Conciliacao!BH72+1,df_extratos!G:G,"DEBITO")</f>
        <v/>
      </c>
      <c r="O72" s="11">
        <f>N72-SUM(J72:M72)</f>
        <v/>
      </c>
      <c r="P72" s="25">
        <f>SUMIFS(df_ajustes_conciliaco!D:D,df_ajustes_conciliaco!C:C,Conciliacao!A72)</f>
        <v/>
      </c>
      <c r="Q72" s="22">
        <f>O72+I72-P72</f>
        <v/>
      </c>
      <c r="BE72" s="20" t="n">
        <v>45728.5</v>
      </c>
      <c r="BF72" s="20" t="n">
        <v>45728.125</v>
      </c>
      <c r="BG72" s="20" t="n">
        <v>45728.54166666666</v>
      </c>
      <c r="BH72" s="20" t="n">
        <v>45728.625</v>
      </c>
    </row>
    <row r="73">
      <c r="A73" s="5">
        <f>A72+1</f>
        <v/>
      </c>
      <c r="B73" s="3">
        <f>-SUMIFS(df_extrato_zig!G:G,df_extrato_zig!E:E,Conciliacao!A73,df_extrato_zig!D:D,"Saque")-SUMIFS(df_extrato_zig!G:G,df_extrato_zig!E:E,Conciliacao!A73,df_extrato_zig!D:D,"Antecipação")</f>
        <v/>
      </c>
      <c r="C73" s="3">
        <f>SUMIFS(df_extrato_zig!E:E,df_extrato_zig!L:L,Conciliacao!A73,df_extrato_zig!F:F,"DINHEIRO")</f>
        <v/>
      </c>
      <c r="D73" s="3">
        <f>SUMIFS(view_parc_agrup!H:H,view_parc_agrup!G:G,Conciliacao!A73)</f>
        <v/>
      </c>
      <c r="E73" s="3">
        <f>SUMIFS(df_eventos!F:F,df_eventos!H:H,Conciliacao!A73)</f>
        <v/>
      </c>
      <c r="F73" s="3">
        <f>SUMIFS(df_mutuos!M:M,df_mutuos!B:B,Conciliacao!A73)</f>
        <v/>
      </c>
      <c r="G73" s="6">
        <f>SUMIFS(df_bloqueios_judiciais!G:G,df_bloqueios_judiciais!D:D,Conciliacao!A73,df_bloqueios_judiciais!G:G,"&gt;0")</f>
        <v/>
      </c>
      <c r="H73" s="7">
        <f>SUMIFS(df_extratos!I:I,df_extratos!F:F,"&gt;="&amp;Conciliacao!BE73,df_extratos!F:F,"&lt;"&amp;Conciliacao!BE73+1,df_extratos!G:G,"CREDITO")
+SUMIFS(df_extratos!I:I,df_extratos!F:F,"&gt;="&amp;Conciliacao!A73, df_extratos!F:F,"&lt;"&amp;Conciliacao!A73+1, df_extratos!G:G,"CREDITO")
+SUMIFS(df_extratos!I:I,df_extratos!F:F,"&gt;="&amp;Conciliacao!BF73,df_extratos!F:F,"&lt;"&amp;Conciliacao!BF73+1,df_extratos!G:G,"CREDITO")
+SUMIFS(df_extratos!I:I,df_extratos!F:F,"&gt;="&amp;Conciliacao!BG73,df_extratos!F:F,"&lt;"&amp;Conciliacao!BG73+1,df_extratos!G:G,"CREDITO")
+SUMIFS(df_extratos!I:I,df_extratos!F:F,"&gt;="&amp;Conciliacao!BH73,df_extratos!F:F,"&lt;"&amp;Conciliacao!BH73+1,df_extratos!G:G,"CREDITO")</f>
        <v/>
      </c>
      <c r="I73" s="9">
        <f>H73-SUM(B73:G73)</f>
        <v/>
      </c>
      <c r="J73" s="4">
        <f>SUMIFS(df_blueme_sem_parcelamento!E:E,df_blueme_sem_parcelamento!H:H,Conciliacao!A73)*(-1)</f>
        <v/>
      </c>
      <c r="K73" s="4">
        <f>SUMIFS(df_blueme_com_parcelamento!J:J,df_blueme_com_parcelamento!M:M,Conciliacao!A73)*(-1)</f>
        <v/>
      </c>
      <c r="L73" s="4">
        <f>SUMIFS(df_mutuos!N:N,df_mutuos!B:B,Conciliacao!A73)*(-1)</f>
        <v/>
      </c>
      <c r="M73" s="8">
        <f>SUMIFS(df_bloqueios_judiciais!G:G,df_bloqueios_judiciais!D:D,Conciliacao!A73,df_bloqueios_judiciais!G:G,"&lt;0")</f>
        <v/>
      </c>
      <c r="N73" s="10">
        <f>SUMIFS(df_extratos!I:I,df_extratos!F:F,"&gt;="&amp;Conciliacao!BE73,df_extratos!F:F,"&lt;"&amp;Conciliacao!BE73+1,df_extratos!G:G,"DEBITO")
+SUMIFS(df_extratos!I:I,df_extratos!F:F,"&gt;="&amp;Conciliacao!A73, df_extratos!F:F,"&lt;"&amp;Conciliacao!A73+1, df_extratos!G:G,"DEBITO")
+SUMIFS(df_extratos!I:I,df_extratos!F:F,"&gt;="&amp;Conciliacao!BF73,df_extratos!F:F,"&lt;"&amp;Conciliacao!BF73+1,df_extratos!G:G,"DEBITO")
+SUMIFS(df_extratos!I:I,df_extratos!F:F,"&gt;="&amp;Conciliacao!BG73,df_extratos!F:F,"&lt;"&amp;Conciliacao!BG73+1,df_extratos!G:G,"DEBITO")
+SUMIFS(df_extratos!I:I,df_extratos!F:F,"&gt;="&amp;Conciliacao!BH73,df_extratos!F:F,"&lt;"&amp;Conciliacao!BH73+1,df_extratos!G:G,"DEBITO")</f>
        <v/>
      </c>
      <c r="O73" s="11">
        <f>N73-SUM(J73:M73)</f>
        <v/>
      </c>
      <c r="P73" s="25">
        <f>SUMIFS(df_ajustes_conciliaco!D:D,df_ajustes_conciliaco!C:C,Conciliacao!A73)</f>
        <v/>
      </c>
      <c r="Q73" s="22">
        <f>O73+I73-P73</f>
        <v/>
      </c>
      <c r="BE73" s="20" t="n">
        <v>45729.5</v>
      </c>
      <c r="BF73" s="20" t="n">
        <v>45729.125</v>
      </c>
      <c r="BG73" s="20" t="n">
        <v>45729.54166666666</v>
      </c>
      <c r="BH73" s="20" t="n">
        <v>45729.625</v>
      </c>
    </row>
    <row r="74">
      <c r="A74" s="5">
        <f>A73+1</f>
        <v/>
      </c>
      <c r="B74" s="3">
        <f>-SUMIFS(df_extrato_zig!G:G,df_extrato_zig!E:E,Conciliacao!A74,df_extrato_zig!D:D,"Saque")-SUMIFS(df_extrato_zig!G:G,df_extrato_zig!E:E,Conciliacao!A74,df_extrato_zig!D:D,"Antecipação")</f>
        <v/>
      </c>
      <c r="C74" s="3">
        <f>SUMIFS(df_extrato_zig!E:E,df_extrato_zig!L:L,Conciliacao!A74,df_extrato_zig!F:F,"DINHEIRO")</f>
        <v/>
      </c>
      <c r="D74" s="3">
        <f>SUMIFS(view_parc_agrup!H:H,view_parc_agrup!G:G,Conciliacao!A74)</f>
        <v/>
      </c>
      <c r="E74" s="3">
        <f>SUMIFS(df_eventos!F:F,df_eventos!H:H,Conciliacao!A74)</f>
        <v/>
      </c>
      <c r="F74" s="3">
        <f>SUMIFS(df_mutuos!M:M,df_mutuos!B:B,Conciliacao!A74)</f>
        <v/>
      </c>
      <c r="G74" s="6">
        <f>SUMIFS(df_bloqueios_judiciais!G:G,df_bloqueios_judiciais!D:D,Conciliacao!A74,df_bloqueios_judiciais!G:G,"&gt;0")</f>
        <v/>
      </c>
      <c r="H74" s="7">
        <f>SUMIFS(df_extratos!I:I,df_extratos!F:F,"&gt;="&amp;Conciliacao!BE74,df_extratos!F:F,"&lt;"&amp;Conciliacao!BE74+1,df_extratos!G:G,"CREDITO")
+SUMIFS(df_extratos!I:I,df_extratos!F:F,"&gt;="&amp;Conciliacao!A74, df_extratos!F:F,"&lt;"&amp;Conciliacao!A74+1, df_extratos!G:G,"CREDITO")
+SUMIFS(df_extratos!I:I,df_extratos!F:F,"&gt;="&amp;Conciliacao!BF74,df_extratos!F:F,"&lt;"&amp;Conciliacao!BF74+1,df_extratos!G:G,"CREDITO")
+SUMIFS(df_extratos!I:I,df_extratos!F:F,"&gt;="&amp;Conciliacao!BG74,df_extratos!F:F,"&lt;"&amp;Conciliacao!BG74+1,df_extratos!G:G,"CREDITO")
+SUMIFS(df_extratos!I:I,df_extratos!F:F,"&gt;="&amp;Conciliacao!BH74,df_extratos!F:F,"&lt;"&amp;Conciliacao!BH74+1,df_extratos!G:G,"CREDITO")</f>
        <v/>
      </c>
      <c r="I74" s="9">
        <f>H74-SUM(B74:G74)</f>
        <v/>
      </c>
      <c r="J74" s="4">
        <f>SUMIFS(df_blueme_sem_parcelamento!E:E,df_blueme_sem_parcelamento!H:H,Conciliacao!A74)*(-1)</f>
        <v/>
      </c>
      <c r="K74" s="4">
        <f>SUMIFS(df_blueme_com_parcelamento!J:J,df_blueme_com_parcelamento!M:M,Conciliacao!A74)*(-1)</f>
        <v/>
      </c>
      <c r="L74" s="4">
        <f>SUMIFS(df_mutuos!N:N,df_mutuos!B:B,Conciliacao!A74)*(-1)</f>
        <v/>
      </c>
      <c r="M74" s="8">
        <f>SUMIFS(df_bloqueios_judiciais!G:G,df_bloqueios_judiciais!D:D,Conciliacao!A74,df_bloqueios_judiciais!G:G,"&lt;0")</f>
        <v/>
      </c>
      <c r="N74" s="10">
        <f>SUMIFS(df_extratos!I:I,df_extratos!F:F,"&gt;="&amp;Conciliacao!BE74,df_extratos!F:F,"&lt;"&amp;Conciliacao!BE74+1,df_extratos!G:G,"DEBITO")
+SUMIFS(df_extratos!I:I,df_extratos!F:F,"&gt;="&amp;Conciliacao!A74, df_extratos!F:F,"&lt;"&amp;Conciliacao!A74+1, df_extratos!G:G,"DEBITO")
+SUMIFS(df_extratos!I:I,df_extratos!F:F,"&gt;="&amp;Conciliacao!BF74,df_extratos!F:F,"&lt;"&amp;Conciliacao!BF74+1,df_extratos!G:G,"DEBITO")
+SUMIFS(df_extratos!I:I,df_extratos!F:F,"&gt;="&amp;Conciliacao!BG74,df_extratos!F:F,"&lt;"&amp;Conciliacao!BG74+1,df_extratos!G:G,"DEBITO")
+SUMIFS(df_extratos!I:I,df_extratos!F:F,"&gt;="&amp;Conciliacao!BH74,df_extratos!F:F,"&lt;"&amp;Conciliacao!BH74+1,df_extratos!G:G,"DEBITO")</f>
        <v/>
      </c>
      <c r="O74" s="11">
        <f>N74-SUM(J74:M74)</f>
        <v/>
      </c>
      <c r="P74" s="25">
        <f>SUMIFS(df_ajustes_conciliaco!D:D,df_ajustes_conciliaco!C:C,Conciliacao!A74)</f>
        <v/>
      </c>
      <c r="Q74" s="22">
        <f>O74+I74-P74</f>
        <v/>
      </c>
      <c r="BE74" s="20" t="n">
        <v>45730.5</v>
      </c>
      <c r="BF74" s="20" t="n">
        <v>45730.125</v>
      </c>
      <c r="BG74" s="20" t="n">
        <v>45730.54166666666</v>
      </c>
      <c r="BH74" s="20" t="n">
        <v>45730.625</v>
      </c>
    </row>
    <row r="75">
      <c r="A75" s="5">
        <f>A74+1</f>
        <v/>
      </c>
      <c r="B75" s="3">
        <f>-SUMIFS(df_extrato_zig!G:G,df_extrato_zig!E:E,Conciliacao!A75,df_extrato_zig!D:D,"Saque")-SUMIFS(df_extrato_zig!G:G,df_extrato_zig!E:E,Conciliacao!A75,df_extrato_zig!D:D,"Antecipação")</f>
        <v/>
      </c>
      <c r="C75" s="3">
        <f>SUMIFS(df_extrato_zig!E:E,df_extrato_zig!L:L,Conciliacao!A75,df_extrato_zig!F:F,"DINHEIRO")</f>
        <v/>
      </c>
      <c r="D75" s="3">
        <f>SUMIFS(view_parc_agrup!H:H,view_parc_agrup!G:G,Conciliacao!A75)</f>
        <v/>
      </c>
      <c r="E75" s="3">
        <f>SUMIFS(df_eventos!F:F,df_eventos!H:H,Conciliacao!A75)</f>
        <v/>
      </c>
      <c r="F75" s="3">
        <f>SUMIFS(df_mutuos!M:M,df_mutuos!B:B,Conciliacao!A75)</f>
        <v/>
      </c>
      <c r="G75" s="6">
        <f>SUMIFS(df_bloqueios_judiciais!G:G,df_bloqueios_judiciais!D:D,Conciliacao!A75,df_bloqueios_judiciais!G:G,"&gt;0")</f>
        <v/>
      </c>
      <c r="H75" s="7">
        <f>SUMIFS(df_extratos!I:I,df_extratos!F:F,"&gt;="&amp;Conciliacao!BE75,df_extratos!F:F,"&lt;"&amp;Conciliacao!BE75+1,df_extratos!G:G,"CREDITO")
+SUMIFS(df_extratos!I:I,df_extratos!F:F,"&gt;="&amp;Conciliacao!A75, df_extratos!F:F,"&lt;"&amp;Conciliacao!A75+1, df_extratos!G:G,"CREDITO")
+SUMIFS(df_extratos!I:I,df_extratos!F:F,"&gt;="&amp;Conciliacao!BF75,df_extratos!F:F,"&lt;"&amp;Conciliacao!BF75+1,df_extratos!G:G,"CREDITO")
+SUMIFS(df_extratos!I:I,df_extratos!F:F,"&gt;="&amp;Conciliacao!BG75,df_extratos!F:F,"&lt;"&amp;Conciliacao!BG75+1,df_extratos!G:G,"CREDITO")
+SUMIFS(df_extratos!I:I,df_extratos!F:F,"&gt;="&amp;Conciliacao!BH75,df_extratos!F:F,"&lt;"&amp;Conciliacao!BH75+1,df_extratos!G:G,"CREDITO")</f>
        <v/>
      </c>
      <c r="I75" s="9">
        <f>H75-SUM(B75:G75)</f>
        <v/>
      </c>
      <c r="J75" s="4">
        <f>SUMIFS(df_blueme_sem_parcelamento!E:E,df_blueme_sem_parcelamento!H:H,Conciliacao!A75)*(-1)</f>
        <v/>
      </c>
      <c r="K75" s="4">
        <f>SUMIFS(df_blueme_com_parcelamento!J:J,df_blueme_com_parcelamento!M:M,Conciliacao!A75)*(-1)</f>
        <v/>
      </c>
      <c r="L75" s="4">
        <f>SUMIFS(df_mutuos!N:N,df_mutuos!B:B,Conciliacao!A75)*(-1)</f>
        <v/>
      </c>
      <c r="M75" s="8">
        <f>SUMIFS(df_bloqueios_judiciais!G:G,df_bloqueios_judiciais!D:D,Conciliacao!A75,df_bloqueios_judiciais!G:G,"&lt;0")</f>
        <v/>
      </c>
      <c r="N75" s="10">
        <f>SUMIFS(df_extratos!I:I,df_extratos!F:F,"&gt;="&amp;Conciliacao!BE75,df_extratos!F:F,"&lt;"&amp;Conciliacao!BE75+1,df_extratos!G:G,"DEBITO")
+SUMIFS(df_extratos!I:I,df_extratos!F:F,"&gt;="&amp;Conciliacao!A75, df_extratos!F:F,"&lt;"&amp;Conciliacao!A75+1, df_extratos!G:G,"DEBITO")
+SUMIFS(df_extratos!I:I,df_extratos!F:F,"&gt;="&amp;Conciliacao!BF75,df_extratos!F:F,"&lt;"&amp;Conciliacao!BF75+1,df_extratos!G:G,"DEBITO")
+SUMIFS(df_extratos!I:I,df_extratos!F:F,"&gt;="&amp;Conciliacao!BG75,df_extratos!F:F,"&lt;"&amp;Conciliacao!BG75+1,df_extratos!G:G,"DEBITO")
+SUMIFS(df_extratos!I:I,df_extratos!F:F,"&gt;="&amp;Conciliacao!BH75,df_extratos!F:F,"&lt;"&amp;Conciliacao!BH75+1,df_extratos!G:G,"DEBITO")</f>
        <v/>
      </c>
      <c r="O75" s="11">
        <f>N75-SUM(J75:M75)</f>
        <v/>
      </c>
      <c r="P75" s="25">
        <f>SUMIFS(df_ajustes_conciliaco!D:D,df_ajustes_conciliaco!C:C,Conciliacao!A75)</f>
        <v/>
      </c>
      <c r="Q75" s="22">
        <f>O75+I75-P75</f>
        <v/>
      </c>
      <c r="BE75" s="20" t="n">
        <v>45731.5</v>
      </c>
      <c r="BF75" s="20" t="n">
        <v>45731.125</v>
      </c>
      <c r="BG75" s="20" t="n">
        <v>45731.54166666666</v>
      </c>
      <c r="BH75" s="20" t="n">
        <v>45731.625</v>
      </c>
    </row>
    <row r="76">
      <c r="A76" s="5">
        <f>A75+1</f>
        <v/>
      </c>
      <c r="B76" s="3">
        <f>-SUMIFS(df_extrato_zig!G:G,df_extrato_zig!E:E,Conciliacao!A76,df_extrato_zig!D:D,"Saque")-SUMIFS(df_extrato_zig!G:G,df_extrato_zig!E:E,Conciliacao!A76,df_extrato_zig!D:D,"Antecipação")</f>
        <v/>
      </c>
      <c r="C76" s="3">
        <f>SUMIFS(df_extrato_zig!E:E,df_extrato_zig!L:L,Conciliacao!A76,df_extrato_zig!F:F,"DINHEIRO")</f>
        <v/>
      </c>
      <c r="D76" s="3">
        <f>SUMIFS(view_parc_agrup!H:H,view_parc_agrup!G:G,Conciliacao!A76)</f>
        <v/>
      </c>
      <c r="E76" s="3">
        <f>SUMIFS(df_eventos!F:F,df_eventos!H:H,Conciliacao!A76)</f>
        <v/>
      </c>
      <c r="F76" s="3">
        <f>SUMIFS(df_mutuos!M:M,df_mutuos!B:B,Conciliacao!A76)</f>
        <v/>
      </c>
      <c r="G76" s="6">
        <f>SUMIFS(df_bloqueios_judiciais!G:G,df_bloqueios_judiciais!D:D,Conciliacao!A76,df_bloqueios_judiciais!G:G,"&gt;0")</f>
        <v/>
      </c>
      <c r="H76" s="7">
        <f>SUMIFS(df_extratos!I:I,df_extratos!F:F,"&gt;="&amp;Conciliacao!BE76,df_extratos!F:F,"&lt;"&amp;Conciliacao!BE76+1,df_extratos!G:G,"CREDITO")
+SUMIFS(df_extratos!I:I,df_extratos!F:F,"&gt;="&amp;Conciliacao!A76, df_extratos!F:F,"&lt;"&amp;Conciliacao!A76+1, df_extratos!G:G,"CREDITO")
+SUMIFS(df_extratos!I:I,df_extratos!F:F,"&gt;="&amp;Conciliacao!BF76,df_extratos!F:F,"&lt;"&amp;Conciliacao!BF76+1,df_extratos!G:G,"CREDITO")
+SUMIFS(df_extratos!I:I,df_extratos!F:F,"&gt;="&amp;Conciliacao!BG76,df_extratos!F:F,"&lt;"&amp;Conciliacao!BG76+1,df_extratos!G:G,"CREDITO")
+SUMIFS(df_extratos!I:I,df_extratos!F:F,"&gt;="&amp;Conciliacao!BH76,df_extratos!F:F,"&lt;"&amp;Conciliacao!BH76+1,df_extratos!G:G,"CREDITO")</f>
        <v/>
      </c>
      <c r="I76" s="9">
        <f>H76-SUM(B76:G76)</f>
        <v/>
      </c>
      <c r="J76" s="4">
        <f>SUMIFS(df_blueme_sem_parcelamento!E:E,df_blueme_sem_parcelamento!H:H,Conciliacao!A76)*(-1)</f>
        <v/>
      </c>
      <c r="K76" s="4">
        <f>SUMIFS(df_blueme_com_parcelamento!J:J,df_blueme_com_parcelamento!M:M,Conciliacao!A76)*(-1)</f>
        <v/>
      </c>
      <c r="L76" s="4">
        <f>SUMIFS(df_mutuos!N:N,df_mutuos!B:B,Conciliacao!A76)*(-1)</f>
        <v/>
      </c>
      <c r="M76" s="8">
        <f>SUMIFS(df_bloqueios_judiciais!G:G,df_bloqueios_judiciais!D:D,Conciliacao!A76,df_bloqueios_judiciais!G:G,"&lt;0")</f>
        <v/>
      </c>
      <c r="N76" s="10">
        <f>SUMIFS(df_extratos!I:I,df_extratos!F:F,"&gt;="&amp;Conciliacao!BE76,df_extratos!F:F,"&lt;"&amp;Conciliacao!BE76+1,df_extratos!G:G,"DEBITO")
+SUMIFS(df_extratos!I:I,df_extratos!F:F,"&gt;="&amp;Conciliacao!A76, df_extratos!F:F,"&lt;"&amp;Conciliacao!A76+1, df_extratos!G:G,"DEBITO")
+SUMIFS(df_extratos!I:I,df_extratos!F:F,"&gt;="&amp;Conciliacao!BF76,df_extratos!F:F,"&lt;"&amp;Conciliacao!BF76+1,df_extratos!G:G,"DEBITO")
+SUMIFS(df_extratos!I:I,df_extratos!F:F,"&gt;="&amp;Conciliacao!BG76,df_extratos!F:F,"&lt;"&amp;Conciliacao!BG76+1,df_extratos!G:G,"DEBITO")
+SUMIFS(df_extratos!I:I,df_extratos!F:F,"&gt;="&amp;Conciliacao!BH76,df_extratos!F:F,"&lt;"&amp;Conciliacao!BH76+1,df_extratos!G:G,"DEBITO")</f>
        <v/>
      </c>
      <c r="O76" s="11">
        <f>N76-SUM(J76:M76)</f>
        <v/>
      </c>
      <c r="P76" s="25">
        <f>SUMIFS(df_ajustes_conciliaco!D:D,df_ajustes_conciliaco!C:C,Conciliacao!A76)</f>
        <v/>
      </c>
      <c r="Q76" s="22">
        <f>O76+I76-P76</f>
        <v/>
      </c>
      <c r="BE76" s="20" t="n">
        <v>45732.5</v>
      </c>
      <c r="BF76" s="20" t="n">
        <v>45732.125</v>
      </c>
      <c r="BG76" s="20" t="n">
        <v>45732.54166666666</v>
      </c>
      <c r="BH76" s="20" t="n">
        <v>45732.625</v>
      </c>
    </row>
    <row r="77">
      <c r="A77" s="5">
        <f>A76+1</f>
        <v/>
      </c>
      <c r="B77" s="3">
        <f>-SUMIFS(df_extrato_zig!G:G,df_extrato_zig!E:E,Conciliacao!A77,df_extrato_zig!D:D,"Saque")-SUMIFS(df_extrato_zig!G:G,df_extrato_zig!E:E,Conciliacao!A77,df_extrato_zig!D:D,"Antecipação")</f>
        <v/>
      </c>
      <c r="C77" s="3">
        <f>SUMIFS(df_extrato_zig!E:E,df_extrato_zig!L:L,Conciliacao!A77,df_extrato_zig!F:F,"DINHEIRO")</f>
        <v/>
      </c>
      <c r="D77" s="3">
        <f>SUMIFS(view_parc_agrup!H:H,view_parc_agrup!G:G,Conciliacao!A77)</f>
        <v/>
      </c>
      <c r="E77" s="3">
        <f>SUMIFS(df_eventos!F:F,df_eventos!H:H,Conciliacao!A77)</f>
        <v/>
      </c>
      <c r="F77" s="3">
        <f>SUMIFS(df_mutuos!M:M,df_mutuos!B:B,Conciliacao!A77)</f>
        <v/>
      </c>
      <c r="G77" s="6">
        <f>SUMIFS(df_bloqueios_judiciais!G:G,df_bloqueios_judiciais!D:D,Conciliacao!A77,df_bloqueios_judiciais!G:G,"&gt;0")</f>
        <v/>
      </c>
      <c r="H77" s="7">
        <f>SUMIFS(df_extratos!I:I,df_extratos!F:F,"&gt;="&amp;Conciliacao!BE77,df_extratos!F:F,"&lt;"&amp;Conciliacao!BE77+1,df_extratos!G:G,"CREDITO")
+SUMIFS(df_extratos!I:I,df_extratos!F:F,"&gt;="&amp;Conciliacao!A77, df_extratos!F:F,"&lt;"&amp;Conciliacao!A77+1, df_extratos!G:G,"CREDITO")
+SUMIFS(df_extratos!I:I,df_extratos!F:F,"&gt;="&amp;Conciliacao!BF77,df_extratos!F:F,"&lt;"&amp;Conciliacao!BF77+1,df_extratos!G:G,"CREDITO")
+SUMIFS(df_extratos!I:I,df_extratos!F:F,"&gt;="&amp;Conciliacao!BG77,df_extratos!F:F,"&lt;"&amp;Conciliacao!BG77+1,df_extratos!G:G,"CREDITO")
+SUMIFS(df_extratos!I:I,df_extratos!F:F,"&gt;="&amp;Conciliacao!BH77,df_extratos!F:F,"&lt;"&amp;Conciliacao!BH77+1,df_extratos!G:G,"CREDITO")</f>
        <v/>
      </c>
      <c r="I77" s="9">
        <f>H77-SUM(B77:G77)</f>
        <v/>
      </c>
      <c r="J77" s="4">
        <f>SUMIFS(df_blueme_sem_parcelamento!E:E,df_blueme_sem_parcelamento!H:H,Conciliacao!A77)*(-1)</f>
        <v/>
      </c>
      <c r="K77" s="4">
        <f>SUMIFS(df_blueme_com_parcelamento!J:J,df_blueme_com_parcelamento!M:M,Conciliacao!A77)*(-1)</f>
        <v/>
      </c>
      <c r="L77" s="4">
        <f>SUMIFS(df_mutuos!N:N,df_mutuos!B:B,Conciliacao!A77)*(-1)</f>
        <v/>
      </c>
      <c r="M77" s="8">
        <f>SUMIFS(df_bloqueios_judiciais!G:G,df_bloqueios_judiciais!D:D,Conciliacao!A77,df_bloqueios_judiciais!G:G,"&lt;0")</f>
        <v/>
      </c>
      <c r="N77" s="10">
        <f>SUMIFS(df_extratos!I:I,df_extratos!F:F,"&gt;="&amp;Conciliacao!BE77,df_extratos!F:F,"&lt;"&amp;Conciliacao!BE77+1,df_extratos!G:G,"DEBITO")
+SUMIFS(df_extratos!I:I,df_extratos!F:F,"&gt;="&amp;Conciliacao!A77, df_extratos!F:F,"&lt;"&amp;Conciliacao!A77+1, df_extratos!G:G,"DEBITO")
+SUMIFS(df_extratos!I:I,df_extratos!F:F,"&gt;="&amp;Conciliacao!BF77,df_extratos!F:F,"&lt;"&amp;Conciliacao!BF77+1,df_extratos!G:G,"DEBITO")
+SUMIFS(df_extratos!I:I,df_extratos!F:F,"&gt;="&amp;Conciliacao!BG77,df_extratos!F:F,"&lt;"&amp;Conciliacao!BG77+1,df_extratos!G:G,"DEBITO")
+SUMIFS(df_extratos!I:I,df_extratos!F:F,"&gt;="&amp;Conciliacao!BH77,df_extratos!F:F,"&lt;"&amp;Conciliacao!BH77+1,df_extratos!G:G,"DEBITO")</f>
        <v/>
      </c>
      <c r="O77" s="11">
        <f>N77-SUM(J77:M77)</f>
        <v/>
      </c>
      <c r="P77" s="25">
        <f>SUMIFS(df_ajustes_conciliaco!D:D,df_ajustes_conciliaco!C:C,Conciliacao!A77)</f>
        <v/>
      </c>
      <c r="Q77" s="22">
        <f>O77+I77-P77</f>
        <v/>
      </c>
      <c r="BE77" s="20" t="n">
        <v>45733.5</v>
      </c>
      <c r="BF77" s="20" t="n">
        <v>45733.125</v>
      </c>
      <c r="BG77" s="20" t="n">
        <v>45733.54166666666</v>
      </c>
      <c r="BH77" s="20" t="n">
        <v>45733.625</v>
      </c>
    </row>
    <row r="78">
      <c r="A78" s="5">
        <f>A77+1</f>
        <v/>
      </c>
      <c r="B78" s="3">
        <f>-SUMIFS(df_extrato_zig!G:G,df_extrato_zig!E:E,Conciliacao!A78,df_extrato_zig!D:D,"Saque")-SUMIFS(df_extrato_zig!G:G,df_extrato_zig!E:E,Conciliacao!A78,df_extrato_zig!D:D,"Antecipação")</f>
        <v/>
      </c>
      <c r="C78" s="3">
        <f>SUMIFS(df_extrato_zig!E:E,df_extrato_zig!L:L,Conciliacao!A78,df_extrato_zig!F:F,"DINHEIRO")</f>
        <v/>
      </c>
      <c r="D78" s="3">
        <f>SUMIFS(view_parc_agrup!H:H,view_parc_agrup!G:G,Conciliacao!A78)</f>
        <v/>
      </c>
      <c r="E78" s="3">
        <f>SUMIFS(df_eventos!F:F,df_eventos!H:H,Conciliacao!A78)</f>
        <v/>
      </c>
      <c r="F78" s="3">
        <f>SUMIFS(df_mutuos!M:M,df_mutuos!B:B,Conciliacao!A78)</f>
        <v/>
      </c>
      <c r="G78" s="6">
        <f>SUMIFS(df_bloqueios_judiciais!G:G,df_bloqueios_judiciais!D:D,Conciliacao!A78,df_bloqueios_judiciais!G:G,"&gt;0")</f>
        <v/>
      </c>
      <c r="H78" s="7">
        <f>SUMIFS(df_extratos!I:I,df_extratos!F:F,"&gt;="&amp;Conciliacao!BE78,df_extratos!F:F,"&lt;"&amp;Conciliacao!BE78+1,df_extratos!G:G,"CREDITO")
+SUMIFS(df_extratos!I:I,df_extratos!F:F,"&gt;="&amp;Conciliacao!A78, df_extratos!F:F,"&lt;"&amp;Conciliacao!A78+1, df_extratos!G:G,"CREDITO")
+SUMIFS(df_extratos!I:I,df_extratos!F:F,"&gt;="&amp;Conciliacao!BF78,df_extratos!F:F,"&lt;"&amp;Conciliacao!BF78+1,df_extratos!G:G,"CREDITO")
+SUMIFS(df_extratos!I:I,df_extratos!F:F,"&gt;="&amp;Conciliacao!BG78,df_extratos!F:F,"&lt;"&amp;Conciliacao!BG78+1,df_extratos!G:G,"CREDITO")
+SUMIFS(df_extratos!I:I,df_extratos!F:F,"&gt;="&amp;Conciliacao!BH78,df_extratos!F:F,"&lt;"&amp;Conciliacao!BH78+1,df_extratos!G:G,"CREDITO")</f>
        <v/>
      </c>
      <c r="I78" s="9">
        <f>H78-SUM(B78:G78)</f>
        <v/>
      </c>
      <c r="J78" s="4">
        <f>SUMIFS(df_blueme_sem_parcelamento!E:E,df_blueme_sem_parcelamento!H:H,Conciliacao!A78)*(-1)</f>
        <v/>
      </c>
      <c r="K78" s="4">
        <f>SUMIFS(df_blueme_com_parcelamento!J:J,df_blueme_com_parcelamento!M:M,Conciliacao!A78)*(-1)</f>
        <v/>
      </c>
      <c r="L78" s="4">
        <f>SUMIFS(df_mutuos!N:N,df_mutuos!B:B,Conciliacao!A78)*(-1)</f>
        <v/>
      </c>
      <c r="M78" s="8">
        <f>SUMIFS(df_bloqueios_judiciais!G:G,df_bloqueios_judiciais!D:D,Conciliacao!A78,df_bloqueios_judiciais!G:G,"&lt;0")</f>
        <v/>
      </c>
      <c r="N78" s="10">
        <f>SUMIFS(df_extratos!I:I,df_extratos!F:F,"&gt;="&amp;Conciliacao!BE78,df_extratos!F:F,"&lt;"&amp;Conciliacao!BE78+1,df_extratos!G:G,"DEBITO")
+SUMIFS(df_extratos!I:I,df_extratos!F:F,"&gt;="&amp;Conciliacao!A78, df_extratos!F:F,"&lt;"&amp;Conciliacao!A78+1, df_extratos!G:G,"DEBITO")
+SUMIFS(df_extratos!I:I,df_extratos!F:F,"&gt;="&amp;Conciliacao!BF78,df_extratos!F:F,"&lt;"&amp;Conciliacao!BF78+1,df_extratos!G:G,"DEBITO")
+SUMIFS(df_extratos!I:I,df_extratos!F:F,"&gt;="&amp;Conciliacao!BG78,df_extratos!F:F,"&lt;"&amp;Conciliacao!BG78+1,df_extratos!G:G,"DEBITO")
+SUMIFS(df_extratos!I:I,df_extratos!F:F,"&gt;="&amp;Conciliacao!BH78,df_extratos!F:F,"&lt;"&amp;Conciliacao!BH78+1,df_extratos!G:G,"DEBITO")</f>
        <v/>
      </c>
      <c r="O78" s="11">
        <f>N78-SUM(J78:M78)</f>
        <v/>
      </c>
      <c r="P78" s="25">
        <f>SUMIFS(df_ajustes_conciliaco!D:D,df_ajustes_conciliaco!C:C,Conciliacao!A78)</f>
        <v/>
      </c>
      <c r="Q78" s="22">
        <f>O78+I78-P78</f>
        <v/>
      </c>
      <c r="BE78" s="20" t="n">
        <v>45734.5</v>
      </c>
      <c r="BF78" s="20" t="n">
        <v>45734.125</v>
      </c>
      <c r="BG78" s="20" t="n">
        <v>45734.54166666666</v>
      </c>
      <c r="BH78" s="20" t="n">
        <v>45734.625</v>
      </c>
    </row>
    <row r="79">
      <c r="A79" s="5">
        <f>A78+1</f>
        <v/>
      </c>
      <c r="B79" s="3">
        <f>-SUMIFS(df_extrato_zig!G:G,df_extrato_zig!E:E,Conciliacao!A79,df_extrato_zig!D:D,"Saque")-SUMIFS(df_extrato_zig!G:G,df_extrato_zig!E:E,Conciliacao!A79,df_extrato_zig!D:D,"Antecipação")</f>
        <v/>
      </c>
      <c r="C79" s="3">
        <f>SUMIFS(df_extrato_zig!E:E,df_extrato_zig!L:L,Conciliacao!A79,df_extrato_zig!F:F,"DINHEIRO")</f>
        <v/>
      </c>
      <c r="D79" s="3">
        <f>SUMIFS(view_parc_agrup!H:H,view_parc_agrup!G:G,Conciliacao!A79)</f>
        <v/>
      </c>
      <c r="E79" s="3">
        <f>SUMIFS(df_eventos!F:F,df_eventos!H:H,Conciliacao!A79)</f>
        <v/>
      </c>
      <c r="F79" s="3">
        <f>SUMIFS(df_mutuos!M:M,df_mutuos!B:B,Conciliacao!A79)</f>
        <v/>
      </c>
      <c r="G79" s="6">
        <f>SUMIFS(df_bloqueios_judiciais!G:G,df_bloqueios_judiciais!D:D,Conciliacao!A79,df_bloqueios_judiciais!G:G,"&gt;0")</f>
        <v/>
      </c>
      <c r="H79" s="7">
        <f>SUMIFS(df_extratos!I:I,df_extratos!F:F,"&gt;="&amp;Conciliacao!BE79,df_extratos!F:F,"&lt;"&amp;Conciliacao!BE79+1,df_extratos!G:G,"CREDITO")
+SUMIFS(df_extratos!I:I,df_extratos!F:F,"&gt;="&amp;Conciliacao!A79, df_extratos!F:F,"&lt;"&amp;Conciliacao!A79+1, df_extratos!G:G,"CREDITO")
+SUMIFS(df_extratos!I:I,df_extratos!F:F,"&gt;="&amp;Conciliacao!BF79,df_extratos!F:F,"&lt;"&amp;Conciliacao!BF79+1,df_extratos!G:G,"CREDITO")
+SUMIFS(df_extratos!I:I,df_extratos!F:F,"&gt;="&amp;Conciliacao!BG79,df_extratos!F:F,"&lt;"&amp;Conciliacao!BG79+1,df_extratos!G:G,"CREDITO")
+SUMIFS(df_extratos!I:I,df_extratos!F:F,"&gt;="&amp;Conciliacao!BH79,df_extratos!F:F,"&lt;"&amp;Conciliacao!BH79+1,df_extratos!G:G,"CREDITO")</f>
        <v/>
      </c>
      <c r="I79" s="9">
        <f>H79-SUM(B79:G79)</f>
        <v/>
      </c>
      <c r="J79" s="4">
        <f>SUMIFS(df_blueme_sem_parcelamento!E:E,df_blueme_sem_parcelamento!H:H,Conciliacao!A79)*(-1)</f>
        <v/>
      </c>
      <c r="K79" s="4">
        <f>SUMIFS(df_blueme_com_parcelamento!J:J,df_blueme_com_parcelamento!M:M,Conciliacao!A79)*(-1)</f>
        <v/>
      </c>
      <c r="L79" s="4">
        <f>SUMIFS(df_mutuos!N:N,df_mutuos!B:B,Conciliacao!A79)*(-1)</f>
        <v/>
      </c>
      <c r="M79" s="8">
        <f>SUMIFS(df_bloqueios_judiciais!G:G,df_bloqueios_judiciais!D:D,Conciliacao!A79,df_bloqueios_judiciais!G:G,"&lt;0")</f>
        <v/>
      </c>
      <c r="N79" s="10">
        <f>SUMIFS(df_extratos!I:I,df_extratos!F:F,"&gt;="&amp;Conciliacao!BE79,df_extratos!F:F,"&lt;"&amp;Conciliacao!BE79+1,df_extratos!G:G,"DEBITO")
+SUMIFS(df_extratos!I:I,df_extratos!F:F,"&gt;="&amp;Conciliacao!A79, df_extratos!F:F,"&lt;"&amp;Conciliacao!A79+1, df_extratos!G:G,"DEBITO")
+SUMIFS(df_extratos!I:I,df_extratos!F:F,"&gt;="&amp;Conciliacao!BF79,df_extratos!F:F,"&lt;"&amp;Conciliacao!BF79+1,df_extratos!G:G,"DEBITO")
+SUMIFS(df_extratos!I:I,df_extratos!F:F,"&gt;="&amp;Conciliacao!BG79,df_extratos!F:F,"&lt;"&amp;Conciliacao!BG79+1,df_extratos!G:G,"DEBITO")
+SUMIFS(df_extratos!I:I,df_extratos!F:F,"&gt;="&amp;Conciliacao!BH79,df_extratos!F:F,"&lt;"&amp;Conciliacao!BH79+1,df_extratos!G:G,"DEBITO")</f>
        <v/>
      </c>
      <c r="O79" s="11">
        <f>N79-SUM(J79:M79)</f>
        <v/>
      </c>
      <c r="P79" s="25">
        <f>SUMIFS(df_ajustes_conciliaco!D:D,df_ajustes_conciliaco!C:C,Conciliacao!A79)</f>
        <v/>
      </c>
      <c r="Q79" s="22">
        <f>O79+I79-P79</f>
        <v/>
      </c>
      <c r="BE79" s="20" t="n">
        <v>45735.5</v>
      </c>
      <c r="BF79" s="20" t="n">
        <v>45735.125</v>
      </c>
      <c r="BG79" s="20" t="n">
        <v>45735.54166666666</v>
      </c>
      <c r="BH79" s="20" t="n">
        <v>45735.625</v>
      </c>
    </row>
    <row r="80">
      <c r="A80" s="5">
        <f>A79+1</f>
        <v/>
      </c>
      <c r="B80" s="3">
        <f>-SUMIFS(df_extrato_zig!G:G,df_extrato_zig!E:E,Conciliacao!A80,df_extrato_zig!D:D,"Saque")-SUMIFS(df_extrato_zig!G:G,df_extrato_zig!E:E,Conciliacao!A80,df_extrato_zig!D:D,"Antecipação")</f>
        <v/>
      </c>
      <c r="C80" s="3">
        <f>SUMIFS(df_extrato_zig!E:E,df_extrato_zig!L:L,Conciliacao!A80,df_extrato_zig!F:F,"DINHEIRO")</f>
        <v/>
      </c>
      <c r="D80" s="3">
        <f>SUMIFS(view_parc_agrup!H:H,view_parc_agrup!G:G,Conciliacao!A80)</f>
        <v/>
      </c>
      <c r="E80" s="3">
        <f>SUMIFS(df_eventos!F:F,df_eventos!H:H,Conciliacao!A80)</f>
        <v/>
      </c>
      <c r="F80" s="3">
        <f>SUMIFS(df_mutuos!M:M,df_mutuos!B:B,Conciliacao!A80)</f>
        <v/>
      </c>
      <c r="G80" s="6">
        <f>SUMIFS(df_bloqueios_judiciais!G:G,df_bloqueios_judiciais!D:D,Conciliacao!A80,df_bloqueios_judiciais!G:G,"&gt;0")</f>
        <v/>
      </c>
      <c r="H80" s="7">
        <f>SUMIFS(df_extratos!I:I,df_extratos!F:F,"&gt;="&amp;Conciliacao!BE80,df_extratos!F:F,"&lt;"&amp;Conciliacao!BE80+1,df_extratos!G:G,"CREDITO")
+SUMIFS(df_extratos!I:I,df_extratos!F:F,"&gt;="&amp;Conciliacao!A80, df_extratos!F:F,"&lt;"&amp;Conciliacao!A80+1, df_extratos!G:G,"CREDITO")
+SUMIFS(df_extratos!I:I,df_extratos!F:F,"&gt;="&amp;Conciliacao!BF80,df_extratos!F:F,"&lt;"&amp;Conciliacao!BF80+1,df_extratos!G:G,"CREDITO")
+SUMIFS(df_extratos!I:I,df_extratos!F:F,"&gt;="&amp;Conciliacao!BG80,df_extratos!F:F,"&lt;"&amp;Conciliacao!BG80+1,df_extratos!G:G,"CREDITO")
+SUMIFS(df_extratos!I:I,df_extratos!F:F,"&gt;="&amp;Conciliacao!BH80,df_extratos!F:F,"&lt;"&amp;Conciliacao!BH80+1,df_extratos!G:G,"CREDITO")</f>
        <v/>
      </c>
      <c r="I80" s="9">
        <f>H80-SUM(B80:G80)</f>
        <v/>
      </c>
      <c r="J80" s="4">
        <f>SUMIFS(df_blueme_sem_parcelamento!E:E,df_blueme_sem_parcelamento!H:H,Conciliacao!A80)*(-1)</f>
        <v/>
      </c>
      <c r="K80" s="4">
        <f>SUMIFS(df_blueme_com_parcelamento!J:J,df_blueme_com_parcelamento!M:M,Conciliacao!A80)*(-1)</f>
        <v/>
      </c>
      <c r="L80" s="4">
        <f>SUMIFS(df_mutuos!N:N,df_mutuos!B:B,Conciliacao!A80)*(-1)</f>
        <v/>
      </c>
      <c r="M80" s="8">
        <f>SUMIFS(df_bloqueios_judiciais!G:G,df_bloqueios_judiciais!D:D,Conciliacao!A80,df_bloqueios_judiciais!G:G,"&lt;0")</f>
        <v/>
      </c>
      <c r="N80" s="10">
        <f>SUMIFS(df_extratos!I:I,df_extratos!F:F,"&gt;="&amp;Conciliacao!BE80,df_extratos!F:F,"&lt;"&amp;Conciliacao!BE80+1,df_extratos!G:G,"DEBITO")
+SUMIFS(df_extratos!I:I,df_extratos!F:F,"&gt;="&amp;Conciliacao!A80, df_extratos!F:F,"&lt;"&amp;Conciliacao!A80+1, df_extratos!G:G,"DEBITO")
+SUMIFS(df_extratos!I:I,df_extratos!F:F,"&gt;="&amp;Conciliacao!BF80,df_extratos!F:F,"&lt;"&amp;Conciliacao!BF80+1,df_extratos!G:G,"DEBITO")
+SUMIFS(df_extratos!I:I,df_extratos!F:F,"&gt;="&amp;Conciliacao!BG80,df_extratos!F:F,"&lt;"&amp;Conciliacao!BG80+1,df_extratos!G:G,"DEBITO")
+SUMIFS(df_extratos!I:I,df_extratos!F:F,"&gt;="&amp;Conciliacao!BH80,df_extratos!F:F,"&lt;"&amp;Conciliacao!BH80+1,df_extratos!G:G,"DEBITO")</f>
        <v/>
      </c>
      <c r="O80" s="11">
        <f>N80-SUM(J80:M80)</f>
        <v/>
      </c>
      <c r="P80" s="25">
        <f>SUMIFS(df_ajustes_conciliaco!D:D,df_ajustes_conciliaco!C:C,Conciliacao!A80)</f>
        <v/>
      </c>
      <c r="Q80" s="22">
        <f>O80+I80-P80</f>
        <v/>
      </c>
      <c r="BE80" s="20" t="n">
        <v>45736.5</v>
      </c>
      <c r="BF80" s="20" t="n">
        <v>45736.125</v>
      </c>
      <c r="BG80" s="20" t="n">
        <v>45736.54166666666</v>
      </c>
      <c r="BH80" s="20" t="n">
        <v>45736.625</v>
      </c>
    </row>
    <row r="81">
      <c r="A81" s="5">
        <f>A80+1</f>
        <v/>
      </c>
      <c r="B81" s="3">
        <f>-SUMIFS(df_extrato_zig!G:G,df_extrato_zig!E:E,Conciliacao!A81,df_extrato_zig!D:D,"Saque")-SUMIFS(df_extrato_zig!G:G,df_extrato_zig!E:E,Conciliacao!A81,df_extrato_zig!D:D,"Antecipação")</f>
        <v/>
      </c>
      <c r="C81" s="3">
        <f>SUMIFS(df_extrato_zig!E:E,df_extrato_zig!L:L,Conciliacao!A81,df_extrato_zig!F:F,"DINHEIRO")</f>
        <v/>
      </c>
      <c r="D81" s="3">
        <f>SUMIFS(view_parc_agrup!H:H,view_parc_agrup!G:G,Conciliacao!A81)</f>
        <v/>
      </c>
      <c r="E81" s="3">
        <f>SUMIFS(df_eventos!F:F,df_eventos!H:H,Conciliacao!A81)</f>
        <v/>
      </c>
      <c r="F81" s="3">
        <f>SUMIFS(df_mutuos!M:M,df_mutuos!B:B,Conciliacao!A81)</f>
        <v/>
      </c>
      <c r="G81" s="6">
        <f>SUMIFS(df_bloqueios_judiciais!G:G,df_bloqueios_judiciais!D:D,Conciliacao!A81,df_bloqueios_judiciais!G:G,"&gt;0")</f>
        <v/>
      </c>
      <c r="H81" s="7">
        <f>SUMIFS(df_extratos!I:I,df_extratos!F:F,"&gt;="&amp;Conciliacao!BE81,df_extratos!F:F,"&lt;"&amp;Conciliacao!BE81+1,df_extratos!G:G,"CREDITO")
+SUMIFS(df_extratos!I:I,df_extratos!F:F,"&gt;="&amp;Conciliacao!A81, df_extratos!F:F,"&lt;"&amp;Conciliacao!A81+1, df_extratos!G:G,"CREDITO")
+SUMIFS(df_extratos!I:I,df_extratos!F:F,"&gt;="&amp;Conciliacao!BF81,df_extratos!F:F,"&lt;"&amp;Conciliacao!BF81+1,df_extratos!G:G,"CREDITO")
+SUMIFS(df_extratos!I:I,df_extratos!F:F,"&gt;="&amp;Conciliacao!BG81,df_extratos!F:F,"&lt;"&amp;Conciliacao!BG81+1,df_extratos!G:G,"CREDITO")
+SUMIFS(df_extratos!I:I,df_extratos!F:F,"&gt;="&amp;Conciliacao!BH81,df_extratos!F:F,"&lt;"&amp;Conciliacao!BH81+1,df_extratos!G:G,"CREDITO")</f>
        <v/>
      </c>
      <c r="I81" s="9">
        <f>H81-SUM(B81:G81)</f>
        <v/>
      </c>
      <c r="J81" s="4">
        <f>SUMIFS(df_blueme_sem_parcelamento!E:E,df_blueme_sem_parcelamento!H:H,Conciliacao!A81)*(-1)</f>
        <v/>
      </c>
      <c r="K81" s="4">
        <f>SUMIFS(df_blueme_com_parcelamento!J:J,df_blueme_com_parcelamento!M:M,Conciliacao!A81)*(-1)</f>
        <v/>
      </c>
      <c r="L81" s="4">
        <f>SUMIFS(df_mutuos!N:N,df_mutuos!B:B,Conciliacao!A81)*(-1)</f>
        <v/>
      </c>
      <c r="M81" s="8">
        <f>SUMIFS(df_bloqueios_judiciais!G:G,df_bloqueios_judiciais!D:D,Conciliacao!A81,df_bloqueios_judiciais!G:G,"&lt;0")</f>
        <v/>
      </c>
      <c r="N81" s="10">
        <f>SUMIFS(df_extratos!I:I,df_extratos!F:F,"&gt;="&amp;Conciliacao!BE81,df_extratos!F:F,"&lt;"&amp;Conciliacao!BE81+1,df_extratos!G:G,"DEBITO")
+SUMIFS(df_extratos!I:I,df_extratos!F:F,"&gt;="&amp;Conciliacao!A81, df_extratos!F:F,"&lt;"&amp;Conciliacao!A81+1, df_extratos!G:G,"DEBITO")
+SUMIFS(df_extratos!I:I,df_extratos!F:F,"&gt;="&amp;Conciliacao!BF81,df_extratos!F:F,"&lt;"&amp;Conciliacao!BF81+1,df_extratos!G:G,"DEBITO")
+SUMIFS(df_extratos!I:I,df_extratos!F:F,"&gt;="&amp;Conciliacao!BG81,df_extratos!F:F,"&lt;"&amp;Conciliacao!BG81+1,df_extratos!G:G,"DEBITO")
+SUMIFS(df_extratos!I:I,df_extratos!F:F,"&gt;="&amp;Conciliacao!BH81,df_extratos!F:F,"&lt;"&amp;Conciliacao!BH81+1,df_extratos!G:G,"DEBITO")</f>
        <v/>
      </c>
      <c r="O81" s="11">
        <f>N81-SUM(J81:M81)</f>
        <v/>
      </c>
      <c r="P81" s="25">
        <f>SUMIFS(df_ajustes_conciliaco!D:D,df_ajustes_conciliaco!C:C,Conciliacao!A81)</f>
        <v/>
      </c>
      <c r="Q81" s="22">
        <f>O81+I81-P81</f>
        <v/>
      </c>
      <c r="BE81" s="20" t="n">
        <v>45737.5</v>
      </c>
      <c r="BF81" s="20" t="n">
        <v>45737.125</v>
      </c>
      <c r="BG81" s="20" t="n">
        <v>45737.54166666666</v>
      </c>
      <c r="BH81" s="20" t="n">
        <v>45737.625</v>
      </c>
    </row>
    <row r="82">
      <c r="A82" s="5">
        <f>A81+1</f>
        <v/>
      </c>
      <c r="B82" s="3">
        <f>-SUMIFS(df_extrato_zig!G:G,df_extrato_zig!E:E,Conciliacao!A82,df_extrato_zig!D:D,"Saque")-SUMIFS(df_extrato_zig!G:G,df_extrato_zig!E:E,Conciliacao!A82,df_extrato_zig!D:D,"Antecipação")</f>
        <v/>
      </c>
      <c r="C82" s="3">
        <f>SUMIFS(df_extrato_zig!E:E,df_extrato_zig!L:L,Conciliacao!A82,df_extrato_zig!F:F,"DINHEIRO")</f>
        <v/>
      </c>
      <c r="D82" s="3">
        <f>SUMIFS(view_parc_agrup!H:H,view_parc_agrup!G:G,Conciliacao!A82)</f>
        <v/>
      </c>
      <c r="E82" s="3">
        <f>SUMIFS(df_eventos!F:F,df_eventos!H:H,Conciliacao!A82)</f>
        <v/>
      </c>
      <c r="F82" s="3">
        <f>SUMIFS(df_mutuos!M:M,df_mutuos!B:B,Conciliacao!A82)</f>
        <v/>
      </c>
      <c r="G82" s="6">
        <f>SUMIFS(df_bloqueios_judiciais!G:G,df_bloqueios_judiciais!D:D,Conciliacao!A82,df_bloqueios_judiciais!G:G,"&gt;0")</f>
        <v/>
      </c>
      <c r="H82" s="7">
        <f>SUMIFS(df_extratos!I:I,df_extratos!F:F,"&gt;="&amp;Conciliacao!BE82,df_extratos!F:F,"&lt;"&amp;Conciliacao!BE82+1,df_extratos!G:G,"CREDITO")
+SUMIFS(df_extratos!I:I,df_extratos!F:F,"&gt;="&amp;Conciliacao!A82, df_extratos!F:F,"&lt;"&amp;Conciliacao!A82+1, df_extratos!G:G,"CREDITO")
+SUMIFS(df_extratos!I:I,df_extratos!F:F,"&gt;="&amp;Conciliacao!BF82,df_extratos!F:F,"&lt;"&amp;Conciliacao!BF82+1,df_extratos!G:G,"CREDITO")
+SUMIFS(df_extratos!I:I,df_extratos!F:F,"&gt;="&amp;Conciliacao!BG82,df_extratos!F:F,"&lt;"&amp;Conciliacao!BG82+1,df_extratos!G:G,"CREDITO")
+SUMIFS(df_extratos!I:I,df_extratos!F:F,"&gt;="&amp;Conciliacao!BH82,df_extratos!F:F,"&lt;"&amp;Conciliacao!BH82+1,df_extratos!G:G,"CREDITO")</f>
        <v/>
      </c>
      <c r="I82" s="9">
        <f>H82-SUM(B82:G82)</f>
        <v/>
      </c>
      <c r="J82" s="4">
        <f>SUMIFS(df_blueme_sem_parcelamento!E:E,df_blueme_sem_parcelamento!H:H,Conciliacao!A82)*(-1)</f>
        <v/>
      </c>
      <c r="K82" s="4">
        <f>SUMIFS(df_blueme_com_parcelamento!J:J,df_blueme_com_parcelamento!M:M,Conciliacao!A82)*(-1)</f>
        <v/>
      </c>
      <c r="L82" s="4">
        <f>SUMIFS(df_mutuos!N:N,df_mutuos!B:B,Conciliacao!A82)*(-1)</f>
        <v/>
      </c>
      <c r="M82" s="8">
        <f>SUMIFS(df_bloqueios_judiciais!G:G,df_bloqueios_judiciais!D:D,Conciliacao!A82,df_bloqueios_judiciais!G:G,"&lt;0")</f>
        <v/>
      </c>
      <c r="N82" s="10">
        <f>SUMIFS(df_extratos!I:I,df_extratos!F:F,"&gt;="&amp;Conciliacao!BE82,df_extratos!F:F,"&lt;"&amp;Conciliacao!BE82+1,df_extratos!G:G,"DEBITO")
+SUMIFS(df_extratos!I:I,df_extratos!F:F,"&gt;="&amp;Conciliacao!A82, df_extratos!F:F,"&lt;"&amp;Conciliacao!A82+1, df_extratos!G:G,"DEBITO")
+SUMIFS(df_extratos!I:I,df_extratos!F:F,"&gt;="&amp;Conciliacao!BF82,df_extratos!F:F,"&lt;"&amp;Conciliacao!BF82+1,df_extratos!G:G,"DEBITO")
+SUMIFS(df_extratos!I:I,df_extratos!F:F,"&gt;="&amp;Conciliacao!BG82,df_extratos!F:F,"&lt;"&amp;Conciliacao!BG82+1,df_extratos!G:G,"DEBITO")
+SUMIFS(df_extratos!I:I,df_extratos!F:F,"&gt;="&amp;Conciliacao!BH82,df_extratos!F:F,"&lt;"&amp;Conciliacao!BH82+1,df_extratos!G:G,"DEBITO")</f>
        <v/>
      </c>
      <c r="O82" s="11">
        <f>N82-SUM(J82:M82)</f>
        <v/>
      </c>
      <c r="P82" s="25">
        <f>SUMIFS(df_ajustes_conciliaco!D:D,df_ajustes_conciliaco!C:C,Conciliacao!A82)</f>
        <v/>
      </c>
      <c r="Q82" s="22">
        <f>O82+I82-P82</f>
        <v/>
      </c>
      <c r="BE82" s="20" t="n">
        <v>45738.5</v>
      </c>
      <c r="BF82" s="20" t="n">
        <v>45738.125</v>
      </c>
      <c r="BG82" s="20" t="n">
        <v>45738.54166666666</v>
      </c>
      <c r="BH82" s="20" t="n">
        <v>45738.625</v>
      </c>
    </row>
    <row r="83">
      <c r="A83" s="5">
        <f>A82+1</f>
        <v/>
      </c>
      <c r="B83" s="3">
        <f>-SUMIFS(df_extrato_zig!G:G,df_extrato_zig!E:E,Conciliacao!A83,df_extrato_zig!D:D,"Saque")-SUMIFS(df_extrato_zig!G:G,df_extrato_zig!E:E,Conciliacao!A83,df_extrato_zig!D:D,"Antecipação")</f>
        <v/>
      </c>
      <c r="C83" s="3">
        <f>SUMIFS(df_extrato_zig!E:E,df_extrato_zig!L:L,Conciliacao!A83,df_extrato_zig!F:F,"DINHEIRO")</f>
        <v/>
      </c>
      <c r="D83" s="3">
        <f>SUMIFS(view_parc_agrup!H:H,view_parc_agrup!G:G,Conciliacao!A83)</f>
        <v/>
      </c>
      <c r="E83" s="3">
        <f>SUMIFS(df_eventos!F:F,df_eventos!H:H,Conciliacao!A83)</f>
        <v/>
      </c>
      <c r="F83" s="3">
        <f>SUMIFS(df_mutuos!M:M,df_mutuos!B:B,Conciliacao!A83)</f>
        <v/>
      </c>
      <c r="G83" s="6">
        <f>SUMIFS(df_bloqueios_judiciais!G:G,df_bloqueios_judiciais!D:D,Conciliacao!A83,df_bloqueios_judiciais!G:G,"&gt;0")</f>
        <v/>
      </c>
      <c r="H83" s="7">
        <f>SUMIFS(df_extratos!I:I,df_extratos!F:F,"&gt;="&amp;Conciliacao!BE83,df_extratos!F:F,"&lt;"&amp;Conciliacao!BE83+1,df_extratos!G:G,"CREDITO")
+SUMIFS(df_extratos!I:I,df_extratos!F:F,"&gt;="&amp;Conciliacao!A83, df_extratos!F:F,"&lt;"&amp;Conciliacao!A83+1, df_extratos!G:G,"CREDITO")
+SUMIFS(df_extratos!I:I,df_extratos!F:F,"&gt;="&amp;Conciliacao!BF83,df_extratos!F:F,"&lt;"&amp;Conciliacao!BF83+1,df_extratos!G:G,"CREDITO")
+SUMIFS(df_extratos!I:I,df_extratos!F:F,"&gt;="&amp;Conciliacao!BG83,df_extratos!F:F,"&lt;"&amp;Conciliacao!BG83+1,df_extratos!G:G,"CREDITO")
+SUMIFS(df_extratos!I:I,df_extratos!F:F,"&gt;="&amp;Conciliacao!BH83,df_extratos!F:F,"&lt;"&amp;Conciliacao!BH83+1,df_extratos!G:G,"CREDITO")</f>
        <v/>
      </c>
      <c r="I83" s="9">
        <f>H83-SUM(B83:G83)</f>
        <v/>
      </c>
      <c r="J83" s="4">
        <f>SUMIFS(df_blueme_sem_parcelamento!E:E,df_blueme_sem_parcelamento!H:H,Conciliacao!A83)*(-1)</f>
        <v/>
      </c>
      <c r="K83" s="4">
        <f>SUMIFS(df_blueme_com_parcelamento!J:J,df_blueme_com_parcelamento!M:M,Conciliacao!A83)*(-1)</f>
        <v/>
      </c>
      <c r="L83" s="4">
        <f>SUMIFS(df_mutuos!N:N,df_mutuos!B:B,Conciliacao!A83)*(-1)</f>
        <v/>
      </c>
      <c r="M83" s="8">
        <f>SUMIFS(df_bloqueios_judiciais!G:G,df_bloqueios_judiciais!D:D,Conciliacao!A83,df_bloqueios_judiciais!G:G,"&lt;0")</f>
        <v/>
      </c>
      <c r="N83" s="10">
        <f>SUMIFS(df_extratos!I:I,df_extratos!F:F,"&gt;="&amp;Conciliacao!BE83,df_extratos!F:F,"&lt;"&amp;Conciliacao!BE83+1,df_extratos!G:G,"DEBITO")
+SUMIFS(df_extratos!I:I,df_extratos!F:F,"&gt;="&amp;Conciliacao!A83, df_extratos!F:F,"&lt;"&amp;Conciliacao!A83+1, df_extratos!G:G,"DEBITO")
+SUMIFS(df_extratos!I:I,df_extratos!F:F,"&gt;="&amp;Conciliacao!BF83,df_extratos!F:F,"&lt;"&amp;Conciliacao!BF83+1,df_extratos!G:G,"DEBITO")
+SUMIFS(df_extratos!I:I,df_extratos!F:F,"&gt;="&amp;Conciliacao!BG83,df_extratos!F:F,"&lt;"&amp;Conciliacao!BG83+1,df_extratos!G:G,"DEBITO")
+SUMIFS(df_extratos!I:I,df_extratos!F:F,"&gt;="&amp;Conciliacao!BH83,df_extratos!F:F,"&lt;"&amp;Conciliacao!BH83+1,df_extratos!G:G,"DEBITO")</f>
        <v/>
      </c>
      <c r="O83" s="11">
        <f>N83-SUM(J83:M83)</f>
        <v/>
      </c>
      <c r="P83" s="25">
        <f>SUMIFS(df_ajustes_conciliaco!D:D,df_ajustes_conciliaco!C:C,Conciliacao!A83)</f>
        <v/>
      </c>
      <c r="Q83" s="22">
        <f>O83+I83-P83</f>
        <v/>
      </c>
      <c r="BE83" s="20" t="n">
        <v>45739.5</v>
      </c>
      <c r="BF83" s="20" t="n">
        <v>45739.125</v>
      </c>
      <c r="BG83" s="20" t="n">
        <v>45739.54166666666</v>
      </c>
      <c r="BH83" s="20" t="n">
        <v>45739.625</v>
      </c>
    </row>
    <row r="84">
      <c r="A84" s="5">
        <f>A83+1</f>
        <v/>
      </c>
      <c r="B84" s="3">
        <f>-SUMIFS(df_extrato_zig!G:G,df_extrato_zig!E:E,Conciliacao!A84,df_extrato_zig!D:D,"Saque")-SUMIFS(df_extrato_zig!G:G,df_extrato_zig!E:E,Conciliacao!A84,df_extrato_zig!D:D,"Antecipação")</f>
        <v/>
      </c>
      <c r="C84" s="3">
        <f>SUMIFS(df_extrato_zig!E:E,df_extrato_zig!L:L,Conciliacao!A84,df_extrato_zig!F:F,"DINHEIRO")</f>
        <v/>
      </c>
      <c r="D84" s="3">
        <f>SUMIFS(view_parc_agrup!H:H,view_parc_agrup!G:G,Conciliacao!A84)</f>
        <v/>
      </c>
      <c r="E84" s="3">
        <f>SUMIFS(df_eventos!F:F,df_eventos!H:H,Conciliacao!A84)</f>
        <v/>
      </c>
      <c r="F84" s="3">
        <f>SUMIFS(df_mutuos!M:M,df_mutuos!B:B,Conciliacao!A84)</f>
        <v/>
      </c>
      <c r="G84" s="6">
        <f>SUMIFS(df_bloqueios_judiciais!G:G,df_bloqueios_judiciais!D:D,Conciliacao!A84,df_bloqueios_judiciais!G:G,"&gt;0")</f>
        <v/>
      </c>
      <c r="H84" s="7">
        <f>SUMIFS(df_extratos!I:I,df_extratos!F:F,"&gt;="&amp;Conciliacao!BE84,df_extratos!F:F,"&lt;"&amp;Conciliacao!BE84+1,df_extratos!G:G,"CREDITO")
+SUMIFS(df_extratos!I:I,df_extratos!F:F,"&gt;="&amp;Conciliacao!A84, df_extratos!F:F,"&lt;"&amp;Conciliacao!A84+1, df_extratos!G:G,"CREDITO")
+SUMIFS(df_extratos!I:I,df_extratos!F:F,"&gt;="&amp;Conciliacao!BF84,df_extratos!F:F,"&lt;"&amp;Conciliacao!BF84+1,df_extratos!G:G,"CREDITO")
+SUMIFS(df_extratos!I:I,df_extratos!F:F,"&gt;="&amp;Conciliacao!BG84,df_extratos!F:F,"&lt;"&amp;Conciliacao!BG84+1,df_extratos!G:G,"CREDITO")
+SUMIFS(df_extratos!I:I,df_extratos!F:F,"&gt;="&amp;Conciliacao!BH84,df_extratos!F:F,"&lt;"&amp;Conciliacao!BH84+1,df_extratos!G:G,"CREDITO")</f>
        <v/>
      </c>
      <c r="I84" s="9">
        <f>H84-SUM(B84:G84)</f>
        <v/>
      </c>
      <c r="J84" s="4">
        <f>SUMIFS(df_blueme_sem_parcelamento!E:E,df_blueme_sem_parcelamento!H:H,Conciliacao!A84)*(-1)</f>
        <v/>
      </c>
      <c r="K84" s="4">
        <f>SUMIFS(df_blueme_com_parcelamento!J:J,df_blueme_com_parcelamento!M:M,Conciliacao!A84)*(-1)</f>
        <v/>
      </c>
      <c r="L84" s="4">
        <f>SUMIFS(df_mutuos!N:N,df_mutuos!B:B,Conciliacao!A84)*(-1)</f>
        <v/>
      </c>
      <c r="M84" s="8">
        <f>SUMIFS(df_bloqueios_judiciais!G:G,df_bloqueios_judiciais!D:D,Conciliacao!A84,df_bloqueios_judiciais!G:G,"&lt;0")</f>
        <v/>
      </c>
      <c r="N84" s="10">
        <f>SUMIFS(df_extratos!I:I,df_extratos!F:F,"&gt;="&amp;Conciliacao!BE84,df_extratos!F:F,"&lt;"&amp;Conciliacao!BE84+1,df_extratos!G:G,"DEBITO")
+SUMIFS(df_extratos!I:I,df_extratos!F:F,"&gt;="&amp;Conciliacao!A84, df_extratos!F:F,"&lt;"&amp;Conciliacao!A84+1, df_extratos!G:G,"DEBITO")
+SUMIFS(df_extratos!I:I,df_extratos!F:F,"&gt;="&amp;Conciliacao!BF84,df_extratos!F:F,"&lt;"&amp;Conciliacao!BF84+1,df_extratos!G:G,"DEBITO")
+SUMIFS(df_extratos!I:I,df_extratos!F:F,"&gt;="&amp;Conciliacao!BG84,df_extratos!F:F,"&lt;"&amp;Conciliacao!BG84+1,df_extratos!G:G,"DEBITO")
+SUMIFS(df_extratos!I:I,df_extratos!F:F,"&gt;="&amp;Conciliacao!BH84,df_extratos!F:F,"&lt;"&amp;Conciliacao!BH84+1,df_extratos!G:G,"DEBITO")</f>
        <v/>
      </c>
      <c r="O84" s="11">
        <f>N84-SUM(J84:M84)</f>
        <v/>
      </c>
      <c r="P84" s="25">
        <f>SUMIFS(df_ajustes_conciliaco!D:D,df_ajustes_conciliaco!C:C,Conciliacao!A84)</f>
        <v/>
      </c>
      <c r="Q84" s="22">
        <f>O84+I84-P84</f>
        <v/>
      </c>
      <c r="BE84" s="20" t="n">
        <v>45740.5</v>
      </c>
      <c r="BF84" s="20" t="n">
        <v>45740.125</v>
      </c>
      <c r="BG84" s="20" t="n">
        <v>45740.54166666666</v>
      </c>
      <c r="BH84" s="20" t="n">
        <v>45740.625</v>
      </c>
    </row>
    <row r="85">
      <c r="A85" s="5">
        <f>A84+1</f>
        <v/>
      </c>
      <c r="B85" s="3">
        <f>-SUMIFS(df_extrato_zig!G:G,df_extrato_zig!E:E,Conciliacao!A85,df_extrato_zig!D:D,"Saque")-SUMIFS(df_extrato_zig!G:G,df_extrato_zig!E:E,Conciliacao!A85,df_extrato_zig!D:D,"Antecipação")</f>
        <v/>
      </c>
      <c r="C85" s="3">
        <f>SUMIFS(df_extrato_zig!E:E,df_extrato_zig!L:L,Conciliacao!A85,df_extrato_zig!F:F,"DINHEIRO")</f>
        <v/>
      </c>
      <c r="D85" s="3">
        <f>SUMIFS(view_parc_agrup!H:H,view_parc_agrup!G:G,Conciliacao!A85)</f>
        <v/>
      </c>
      <c r="E85" s="3">
        <f>SUMIFS(df_eventos!F:F,df_eventos!H:H,Conciliacao!A85)</f>
        <v/>
      </c>
      <c r="F85" s="3">
        <f>SUMIFS(df_mutuos!M:M,df_mutuos!B:B,Conciliacao!A85)</f>
        <v/>
      </c>
      <c r="G85" s="6">
        <f>SUMIFS(df_bloqueios_judiciais!G:G,df_bloqueios_judiciais!D:D,Conciliacao!A85,df_bloqueios_judiciais!G:G,"&gt;0")</f>
        <v/>
      </c>
      <c r="H85" s="7">
        <f>SUMIFS(df_extratos!I:I,df_extratos!F:F,"&gt;="&amp;Conciliacao!BE85,df_extratos!F:F,"&lt;"&amp;Conciliacao!BE85+1,df_extratos!G:G,"CREDITO")
+SUMIFS(df_extratos!I:I,df_extratos!F:F,"&gt;="&amp;Conciliacao!A85, df_extratos!F:F,"&lt;"&amp;Conciliacao!A85+1, df_extratos!G:G,"CREDITO")
+SUMIFS(df_extratos!I:I,df_extratos!F:F,"&gt;="&amp;Conciliacao!BF85,df_extratos!F:F,"&lt;"&amp;Conciliacao!BF85+1,df_extratos!G:G,"CREDITO")
+SUMIFS(df_extratos!I:I,df_extratos!F:F,"&gt;="&amp;Conciliacao!BG85,df_extratos!F:F,"&lt;"&amp;Conciliacao!BG85+1,df_extratos!G:G,"CREDITO")
+SUMIFS(df_extratos!I:I,df_extratos!F:F,"&gt;="&amp;Conciliacao!BH85,df_extratos!F:F,"&lt;"&amp;Conciliacao!BH85+1,df_extratos!G:G,"CREDITO")</f>
        <v/>
      </c>
      <c r="I85" s="9">
        <f>H85-SUM(B85:G85)</f>
        <v/>
      </c>
      <c r="J85" s="4">
        <f>SUMIFS(df_blueme_sem_parcelamento!E:E,df_blueme_sem_parcelamento!H:H,Conciliacao!A85)*(-1)</f>
        <v/>
      </c>
      <c r="K85" s="4">
        <f>SUMIFS(df_blueme_com_parcelamento!J:J,df_blueme_com_parcelamento!M:M,Conciliacao!A85)*(-1)</f>
        <v/>
      </c>
      <c r="L85" s="4">
        <f>SUMIFS(df_mutuos!N:N,df_mutuos!B:B,Conciliacao!A85)*(-1)</f>
        <v/>
      </c>
      <c r="M85" s="8">
        <f>SUMIFS(df_bloqueios_judiciais!G:G,df_bloqueios_judiciais!D:D,Conciliacao!A85,df_bloqueios_judiciais!G:G,"&lt;0")</f>
        <v/>
      </c>
      <c r="N85" s="10">
        <f>SUMIFS(df_extratos!I:I,df_extratos!F:F,"&gt;="&amp;Conciliacao!BE85,df_extratos!F:F,"&lt;"&amp;Conciliacao!BE85+1,df_extratos!G:G,"DEBITO")
+SUMIFS(df_extratos!I:I,df_extratos!F:F,"&gt;="&amp;Conciliacao!A85, df_extratos!F:F,"&lt;"&amp;Conciliacao!A85+1, df_extratos!G:G,"DEBITO")
+SUMIFS(df_extratos!I:I,df_extratos!F:F,"&gt;="&amp;Conciliacao!BF85,df_extratos!F:F,"&lt;"&amp;Conciliacao!BF85+1,df_extratos!G:G,"DEBITO")
+SUMIFS(df_extratos!I:I,df_extratos!F:F,"&gt;="&amp;Conciliacao!BG85,df_extratos!F:F,"&lt;"&amp;Conciliacao!BG85+1,df_extratos!G:G,"DEBITO")
+SUMIFS(df_extratos!I:I,df_extratos!F:F,"&gt;="&amp;Conciliacao!BH85,df_extratos!F:F,"&lt;"&amp;Conciliacao!BH85+1,df_extratos!G:G,"DEBITO")</f>
        <v/>
      </c>
      <c r="O85" s="11">
        <f>N85-SUM(J85:M85)</f>
        <v/>
      </c>
      <c r="P85" s="25">
        <f>SUMIFS(df_ajustes_conciliaco!D:D,df_ajustes_conciliaco!C:C,Conciliacao!A85)</f>
        <v/>
      </c>
      <c r="Q85" s="22">
        <f>O85+I85-P85</f>
        <v/>
      </c>
      <c r="BE85" s="20" t="n">
        <v>45741.5</v>
      </c>
      <c r="BF85" s="20" t="n">
        <v>45741.125</v>
      </c>
      <c r="BG85" s="20" t="n">
        <v>45741.54166666666</v>
      </c>
      <c r="BH85" s="20" t="n">
        <v>45741.625</v>
      </c>
    </row>
    <row r="86">
      <c r="A86" s="5">
        <f>A85+1</f>
        <v/>
      </c>
      <c r="B86" s="3">
        <f>-SUMIFS(df_extrato_zig!G:G,df_extrato_zig!E:E,Conciliacao!A86,df_extrato_zig!D:D,"Saque")-SUMIFS(df_extrato_zig!G:G,df_extrato_zig!E:E,Conciliacao!A86,df_extrato_zig!D:D,"Antecipação")</f>
        <v/>
      </c>
      <c r="C86" s="3">
        <f>SUMIFS(df_extrato_zig!E:E,df_extrato_zig!L:L,Conciliacao!A86,df_extrato_zig!F:F,"DINHEIRO")</f>
        <v/>
      </c>
      <c r="D86" s="3">
        <f>SUMIFS(view_parc_agrup!H:H,view_parc_agrup!G:G,Conciliacao!A86)</f>
        <v/>
      </c>
      <c r="E86" s="3">
        <f>SUMIFS(df_eventos!F:F,df_eventos!H:H,Conciliacao!A86)</f>
        <v/>
      </c>
      <c r="F86" s="3">
        <f>SUMIFS(df_mutuos!M:M,df_mutuos!B:B,Conciliacao!A86)</f>
        <v/>
      </c>
      <c r="G86" s="6">
        <f>SUMIFS(df_bloqueios_judiciais!G:G,df_bloqueios_judiciais!D:D,Conciliacao!A86,df_bloqueios_judiciais!G:G,"&gt;0")</f>
        <v/>
      </c>
      <c r="H86" s="7">
        <f>SUMIFS(df_extratos!I:I,df_extratos!F:F,"&gt;="&amp;Conciliacao!BE86,df_extratos!F:F,"&lt;"&amp;Conciliacao!BE86+1,df_extratos!G:G,"CREDITO")
+SUMIFS(df_extratos!I:I,df_extratos!F:F,"&gt;="&amp;Conciliacao!A86, df_extratos!F:F,"&lt;"&amp;Conciliacao!A86+1, df_extratos!G:G,"CREDITO")
+SUMIFS(df_extratos!I:I,df_extratos!F:F,"&gt;="&amp;Conciliacao!BF86,df_extratos!F:F,"&lt;"&amp;Conciliacao!BF86+1,df_extratos!G:G,"CREDITO")
+SUMIFS(df_extratos!I:I,df_extratos!F:F,"&gt;="&amp;Conciliacao!BG86,df_extratos!F:F,"&lt;"&amp;Conciliacao!BG86+1,df_extratos!G:G,"CREDITO")
+SUMIFS(df_extratos!I:I,df_extratos!F:F,"&gt;="&amp;Conciliacao!BH86,df_extratos!F:F,"&lt;"&amp;Conciliacao!BH86+1,df_extratos!G:G,"CREDITO")</f>
        <v/>
      </c>
      <c r="I86" s="9">
        <f>H86-SUM(B86:G86)</f>
        <v/>
      </c>
      <c r="J86" s="4">
        <f>SUMIFS(df_blueme_sem_parcelamento!E:E,df_blueme_sem_parcelamento!H:H,Conciliacao!A86)*(-1)</f>
        <v/>
      </c>
      <c r="K86" s="4">
        <f>SUMIFS(df_blueme_com_parcelamento!J:J,df_blueme_com_parcelamento!M:M,Conciliacao!A86)*(-1)</f>
        <v/>
      </c>
      <c r="L86" s="4">
        <f>SUMIFS(df_mutuos!N:N,df_mutuos!B:B,Conciliacao!A86)*(-1)</f>
        <v/>
      </c>
      <c r="M86" s="8">
        <f>SUMIFS(df_bloqueios_judiciais!G:G,df_bloqueios_judiciais!D:D,Conciliacao!A86,df_bloqueios_judiciais!G:G,"&lt;0")</f>
        <v/>
      </c>
      <c r="N86" s="10">
        <f>SUMIFS(df_extratos!I:I,df_extratos!F:F,"&gt;="&amp;Conciliacao!BE86,df_extratos!F:F,"&lt;"&amp;Conciliacao!BE86+1,df_extratos!G:G,"DEBITO")
+SUMIFS(df_extratos!I:I,df_extratos!F:F,"&gt;="&amp;Conciliacao!A86, df_extratos!F:F,"&lt;"&amp;Conciliacao!A86+1, df_extratos!G:G,"DEBITO")
+SUMIFS(df_extratos!I:I,df_extratos!F:F,"&gt;="&amp;Conciliacao!BF86,df_extratos!F:F,"&lt;"&amp;Conciliacao!BF86+1,df_extratos!G:G,"DEBITO")
+SUMIFS(df_extratos!I:I,df_extratos!F:F,"&gt;="&amp;Conciliacao!BG86,df_extratos!F:F,"&lt;"&amp;Conciliacao!BG86+1,df_extratos!G:G,"DEBITO")
+SUMIFS(df_extratos!I:I,df_extratos!F:F,"&gt;="&amp;Conciliacao!BH86,df_extratos!F:F,"&lt;"&amp;Conciliacao!BH86+1,df_extratos!G:G,"DEBITO")</f>
        <v/>
      </c>
      <c r="O86" s="11">
        <f>N86-SUM(J86:M86)</f>
        <v/>
      </c>
      <c r="P86" s="25">
        <f>SUMIFS(df_ajustes_conciliaco!D:D,df_ajustes_conciliaco!C:C,Conciliacao!A86)</f>
        <v/>
      </c>
      <c r="Q86" s="22">
        <f>O86+I86-P86</f>
        <v/>
      </c>
      <c r="BE86" s="20" t="n">
        <v>45742.5</v>
      </c>
      <c r="BF86" s="20" t="n">
        <v>45742.125</v>
      </c>
      <c r="BG86" s="20" t="n">
        <v>45742.54166666666</v>
      </c>
      <c r="BH86" s="20" t="n">
        <v>45742.625</v>
      </c>
    </row>
    <row r="87">
      <c r="A87" s="5">
        <f>A86+1</f>
        <v/>
      </c>
      <c r="B87" s="3">
        <f>-SUMIFS(df_extrato_zig!G:G,df_extrato_zig!E:E,Conciliacao!A87,df_extrato_zig!D:D,"Saque")-SUMIFS(df_extrato_zig!G:G,df_extrato_zig!E:E,Conciliacao!A87,df_extrato_zig!D:D,"Antecipação")</f>
        <v/>
      </c>
      <c r="C87" s="3">
        <f>SUMIFS(df_extrato_zig!E:E,df_extrato_zig!L:L,Conciliacao!A87,df_extrato_zig!F:F,"DINHEIRO")</f>
        <v/>
      </c>
      <c r="D87" s="3">
        <f>SUMIFS(view_parc_agrup!H:H,view_parc_agrup!G:G,Conciliacao!A87)</f>
        <v/>
      </c>
      <c r="E87" s="3">
        <f>SUMIFS(df_eventos!F:F,df_eventos!H:H,Conciliacao!A87)</f>
        <v/>
      </c>
      <c r="F87" s="3">
        <f>SUMIFS(df_mutuos!M:M,df_mutuos!B:B,Conciliacao!A87)</f>
        <v/>
      </c>
      <c r="G87" s="6">
        <f>SUMIFS(df_bloqueios_judiciais!G:G,df_bloqueios_judiciais!D:D,Conciliacao!A87,df_bloqueios_judiciais!G:G,"&gt;0")</f>
        <v/>
      </c>
      <c r="H87" s="7">
        <f>SUMIFS(df_extratos!I:I,df_extratos!F:F,"&gt;="&amp;Conciliacao!BE87,df_extratos!F:F,"&lt;"&amp;Conciliacao!BE87+1,df_extratos!G:G,"CREDITO")
+SUMIFS(df_extratos!I:I,df_extratos!F:F,"&gt;="&amp;Conciliacao!A87, df_extratos!F:F,"&lt;"&amp;Conciliacao!A87+1, df_extratos!G:G,"CREDITO")
+SUMIFS(df_extratos!I:I,df_extratos!F:F,"&gt;="&amp;Conciliacao!BF87,df_extratos!F:F,"&lt;"&amp;Conciliacao!BF87+1,df_extratos!G:G,"CREDITO")
+SUMIFS(df_extratos!I:I,df_extratos!F:F,"&gt;="&amp;Conciliacao!BG87,df_extratos!F:F,"&lt;"&amp;Conciliacao!BG87+1,df_extratos!G:G,"CREDITO")
+SUMIFS(df_extratos!I:I,df_extratos!F:F,"&gt;="&amp;Conciliacao!BH87,df_extratos!F:F,"&lt;"&amp;Conciliacao!BH87+1,df_extratos!G:G,"CREDITO")</f>
        <v/>
      </c>
      <c r="I87" s="9">
        <f>H87-SUM(B87:G87)</f>
        <v/>
      </c>
      <c r="J87" s="4">
        <f>SUMIFS(df_blueme_sem_parcelamento!E:E,df_blueme_sem_parcelamento!H:H,Conciliacao!A87)*(-1)</f>
        <v/>
      </c>
      <c r="K87" s="4">
        <f>SUMIFS(df_blueme_com_parcelamento!J:J,df_blueme_com_parcelamento!M:M,Conciliacao!A87)*(-1)</f>
        <v/>
      </c>
      <c r="L87" s="4">
        <f>SUMIFS(df_mutuos!N:N,df_mutuos!B:B,Conciliacao!A87)*(-1)</f>
        <v/>
      </c>
      <c r="M87" s="8">
        <f>SUMIFS(df_bloqueios_judiciais!G:G,df_bloqueios_judiciais!D:D,Conciliacao!A87,df_bloqueios_judiciais!G:G,"&lt;0")</f>
        <v/>
      </c>
      <c r="N87" s="10">
        <f>SUMIFS(df_extratos!I:I,df_extratos!F:F,"&gt;="&amp;Conciliacao!BE87,df_extratos!F:F,"&lt;"&amp;Conciliacao!BE87+1,df_extratos!G:G,"DEBITO")
+SUMIFS(df_extratos!I:I,df_extratos!F:F,"&gt;="&amp;Conciliacao!A87, df_extratos!F:F,"&lt;"&amp;Conciliacao!A87+1, df_extratos!G:G,"DEBITO")
+SUMIFS(df_extratos!I:I,df_extratos!F:F,"&gt;="&amp;Conciliacao!BF87,df_extratos!F:F,"&lt;"&amp;Conciliacao!BF87+1,df_extratos!G:G,"DEBITO")
+SUMIFS(df_extratos!I:I,df_extratos!F:F,"&gt;="&amp;Conciliacao!BG87,df_extratos!F:F,"&lt;"&amp;Conciliacao!BG87+1,df_extratos!G:G,"DEBITO")
+SUMIFS(df_extratos!I:I,df_extratos!F:F,"&gt;="&amp;Conciliacao!BH87,df_extratos!F:F,"&lt;"&amp;Conciliacao!BH87+1,df_extratos!G:G,"DEBITO")</f>
        <v/>
      </c>
      <c r="O87" s="11">
        <f>N87-SUM(J87:M87)</f>
        <v/>
      </c>
      <c r="P87" s="25">
        <f>SUMIFS(df_ajustes_conciliaco!D:D,df_ajustes_conciliaco!C:C,Conciliacao!A87)</f>
        <v/>
      </c>
      <c r="Q87" s="22">
        <f>O87+I87-P87</f>
        <v/>
      </c>
      <c r="BE87" s="20" t="n">
        <v>45743.5</v>
      </c>
      <c r="BF87" s="20" t="n">
        <v>45743.125</v>
      </c>
      <c r="BG87" s="20" t="n">
        <v>45743.54166666666</v>
      </c>
      <c r="BH87" s="20" t="n">
        <v>45743.625</v>
      </c>
    </row>
    <row r="88">
      <c r="A88" s="5">
        <f>A87+1</f>
        <v/>
      </c>
      <c r="B88" s="3">
        <f>-SUMIFS(df_extrato_zig!G:G,df_extrato_zig!E:E,Conciliacao!A88,df_extrato_zig!D:D,"Saque")-SUMIFS(df_extrato_zig!G:G,df_extrato_zig!E:E,Conciliacao!A88,df_extrato_zig!D:D,"Antecipação")</f>
        <v/>
      </c>
      <c r="C88" s="3">
        <f>SUMIFS(df_extrato_zig!E:E,df_extrato_zig!L:L,Conciliacao!A88,df_extrato_zig!F:F,"DINHEIRO")</f>
        <v/>
      </c>
      <c r="D88" s="3">
        <f>SUMIFS(view_parc_agrup!H:H,view_parc_agrup!G:G,Conciliacao!A88)</f>
        <v/>
      </c>
      <c r="E88" s="3">
        <f>SUMIFS(df_eventos!F:F,df_eventos!H:H,Conciliacao!A88)</f>
        <v/>
      </c>
      <c r="F88" s="3">
        <f>SUMIFS(df_mutuos!M:M,df_mutuos!B:B,Conciliacao!A88)</f>
        <v/>
      </c>
      <c r="G88" s="6">
        <f>SUMIFS(df_bloqueios_judiciais!G:G,df_bloqueios_judiciais!D:D,Conciliacao!A88,df_bloqueios_judiciais!G:G,"&gt;0")</f>
        <v/>
      </c>
      <c r="H88" s="7">
        <f>SUMIFS(df_extratos!I:I,df_extratos!F:F,"&gt;="&amp;Conciliacao!BE88,df_extratos!F:F,"&lt;"&amp;Conciliacao!BE88+1,df_extratos!G:G,"CREDITO")
+SUMIFS(df_extratos!I:I,df_extratos!F:F,"&gt;="&amp;Conciliacao!A88, df_extratos!F:F,"&lt;"&amp;Conciliacao!A88+1, df_extratos!G:G,"CREDITO")
+SUMIFS(df_extratos!I:I,df_extratos!F:F,"&gt;="&amp;Conciliacao!BF88,df_extratos!F:F,"&lt;"&amp;Conciliacao!BF88+1,df_extratos!G:G,"CREDITO")
+SUMIFS(df_extratos!I:I,df_extratos!F:F,"&gt;="&amp;Conciliacao!BG88,df_extratos!F:F,"&lt;"&amp;Conciliacao!BG88+1,df_extratos!G:G,"CREDITO")
+SUMIFS(df_extratos!I:I,df_extratos!F:F,"&gt;="&amp;Conciliacao!BH88,df_extratos!F:F,"&lt;"&amp;Conciliacao!BH88+1,df_extratos!G:G,"CREDITO")</f>
        <v/>
      </c>
      <c r="I88" s="9">
        <f>H88-SUM(B88:G88)</f>
        <v/>
      </c>
      <c r="J88" s="4">
        <f>SUMIFS(df_blueme_sem_parcelamento!E:E,df_blueme_sem_parcelamento!H:H,Conciliacao!A88)*(-1)</f>
        <v/>
      </c>
      <c r="K88" s="4">
        <f>SUMIFS(df_blueme_com_parcelamento!J:J,df_blueme_com_parcelamento!M:M,Conciliacao!A88)*(-1)</f>
        <v/>
      </c>
      <c r="L88" s="4">
        <f>SUMIFS(df_mutuos!N:N,df_mutuos!B:B,Conciliacao!A88)*(-1)</f>
        <v/>
      </c>
      <c r="M88" s="8">
        <f>SUMIFS(df_bloqueios_judiciais!G:G,df_bloqueios_judiciais!D:D,Conciliacao!A88,df_bloqueios_judiciais!G:G,"&lt;0")</f>
        <v/>
      </c>
      <c r="N88" s="10">
        <f>SUMIFS(df_extratos!I:I,df_extratos!F:F,"&gt;="&amp;Conciliacao!BE88,df_extratos!F:F,"&lt;"&amp;Conciliacao!BE88+1,df_extratos!G:G,"DEBITO")
+SUMIFS(df_extratos!I:I,df_extratos!F:F,"&gt;="&amp;Conciliacao!A88, df_extratos!F:F,"&lt;"&amp;Conciliacao!A88+1, df_extratos!G:G,"DEBITO")
+SUMIFS(df_extratos!I:I,df_extratos!F:F,"&gt;="&amp;Conciliacao!BF88,df_extratos!F:F,"&lt;"&amp;Conciliacao!BF88+1,df_extratos!G:G,"DEBITO")
+SUMIFS(df_extratos!I:I,df_extratos!F:F,"&gt;="&amp;Conciliacao!BG88,df_extratos!F:F,"&lt;"&amp;Conciliacao!BG88+1,df_extratos!G:G,"DEBITO")
+SUMIFS(df_extratos!I:I,df_extratos!F:F,"&gt;="&amp;Conciliacao!BH88,df_extratos!F:F,"&lt;"&amp;Conciliacao!BH88+1,df_extratos!G:G,"DEBITO")</f>
        <v/>
      </c>
      <c r="O88" s="11">
        <f>N88-SUM(J88:M88)</f>
        <v/>
      </c>
      <c r="P88" s="25">
        <f>SUMIFS(df_ajustes_conciliaco!D:D,df_ajustes_conciliaco!C:C,Conciliacao!A88)</f>
        <v/>
      </c>
      <c r="Q88" s="22">
        <f>O88+I88-P88</f>
        <v/>
      </c>
      <c r="BE88" s="20" t="n">
        <v>45744.5</v>
      </c>
      <c r="BF88" s="20" t="n">
        <v>45744.125</v>
      </c>
      <c r="BG88" s="20" t="n">
        <v>45744.54166666666</v>
      </c>
      <c r="BH88" s="20" t="n">
        <v>45744.625</v>
      </c>
    </row>
    <row r="89">
      <c r="A89" s="5">
        <f>A88+1</f>
        <v/>
      </c>
      <c r="B89" s="3">
        <f>-SUMIFS(df_extrato_zig!G:G,df_extrato_zig!E:E,Conciliacao!A89,df_extrato_zig!D:D,"Saque")-SUMIFS(df_extrato_zig!G:G,df_extrato_zig!E:E,Conciliacao!A89,df_extrato_zig!D:D,"Antecipação")</f>
        <v/>
      </c>
      <c r="C89" s="3">
        <f>SUMIFS(df_extrato_zig!E:E,df_extrato_zig!L:L,Conciliacao!A89,df_extrato_zig!F:F,"DINHEIRO")</f>
        <v/>
      </c>
      <c r="D89" s="3">
        <f>SUMIFS(view_parc_agrup!H:H,view_parc_agrup!G:G,Conciliacao!A89)</f>
        <v/>
      </c>
      <c r="E89" s="3">
        <f>SUMIFS(df_eventos!F:F,df_eventos!H:H,Conciliacao!A89)</f>
        <v/>
      </c>
      <c r="F89" s="3">
        <f>SUMIFS(df_mutuos!M:M,df_mutuos!B:B,Conciliacao!A89)</f>
        <v/>
      </c>
      <c r="G89" s="6">
        <f>SUMIFS(df_bloqueios_judiciais!G:G,df_bloqueios_judiciais!D:D,Conciliacao!A89,df_bloqueios_judiciais!G:G,"&gt;0")</f>
        <v/>
      </c>
      <c r="H89" s="7">
        <f>SUMIFS(df_extratos!I:I,df_extratos!F:F,"&gt;="&amp;Conciliacao!BE89,df_extratos!F:F,"&lt;"&amp;Conciliacao!BE89+1,df_extratos!G:G,"CREDITO")
+SUMIFS(df_extratos!I:I,df_extratos!F:F,"&gt;="&amp;Conciliacao!A89, df_extratos!F:F,"&lt;"&amp;Conciliacao!A89+1, df_extratos!G:G,"CREDITO")
+SUMIFS(df_extratos!I:I,df_extratos!F:F,"&gt;="&amp;Conciliacao!BF89,df_extratos!F:F,"&lt;"&amp;Conciliacao!BF89+1,df_extratos!G:G,"CREDITO")
+SUMIFS(df_extratos!I:I,df_extratos!F:F,"&gt;="&amp;Conciliacao!BG89,df_extratos!F:F,"&lt;"&amp;Conciliacao!BG89+1,df_extratos!G:G,"CREDITO")
+SUMIFS(df_extratos!I:I,df_extratos!F:F,"&gt;="&amp;Conciliacao!BH89,df_extratos!F:F,"&lt;"&amp;Conciliacao!BH89+1,df_extratos!G:G,"CREDITO")</f>
        <v/>
      </c>
      <c r="I89" s="9">
        <f>H89-SUM(B89:G89)</f>
        <v/>
      </c>
      <c r="J89" s="4">
        <f>SUMIFS(df_blueme_sem_parcelamento!E:E,df_blueme_sem_parcelamento!H:H,Conciliacao!A89)*(-1)</f>
        <v/>
      </c>
      <c r="K89" s="4">
        <f>SUMIFS(df_blueme_com_parcelamento!J:J,df_blueme_com_parcelamento!M:M,Conciliacao!A89)*(-1)</f>
        <v/>
      </c>
      <c r="L89" s="4">
        <f>SUMIFS(df_mutuos!N:N,df_mutuos!B:B,Conciliacao!A89)*(-1)</f>
        <v/>
      </c>
      <c r="M89" s="8">
        <f>SUMIFS(df_bloqueios_judiciais!G:G,df_bloqueios_judiciais!D:D,Conciliacao!A89,df_bloqueios_judiciais!G:G,"&lt;0")</f>
        <v/>
      </c>
      <c r="N89" s="10">
        <f>SUMIFS(df_extratos!I:I,df_extratos!F:F,"&gt;="&amp;Conciliacao!BE89,df_extratos!F:F,"&lt;"&amp;Conciliacao!BE89+1,df_extratos!G:G,"DEBITO")
+SUMIFS(df_extratos!I:I,df_extratos!F:F,"&gt;="&amp;Conciliacao!A89, df_extratos!F:F,"&lt;"&amp;Conciliacao!A89+1, df_extratos!G:G,"DEBITO")
+SUMIFS(df_extratos!I:I,df_extratos!F:F,"&gt;="&amp;Conciliacao!BF89,df_extratos!F:F,"&lt;"&amp;Conciliacao!BF89+1,df_extratos!G:G,"DEBITO")
+SUMIFS(df_extratos!I:I,df_extratos!F:F,"&gt;="&amp;Conciliacao!BG89,df_extratos!F:F,"&lt;"&amp;Conciliacao!BG89+1,df_extratos!G:G,"DEBITO")
+SUMIFS(df_extratos!I:I,df_extratos!F:F,"&gt;="&amp;Conciliacao!BH89,df_extratos!F:F,"&lt;"&amp;Conciliacao!BH89+1,df_extratos!G:G,"DEBITO")</f>
        <v/>
      </c>
      <c r="O89" s="11">
        <f>N89-SUM(J89:M89)</f>
        <v/>
      </c>
      <c r="P89" s="25">
        <f>SUMIFS(df_ajustes_conciliaco!D:D,df_ajustes_conciliaco!C:C,Conciliacao!A89)</f>
        <v/>
      </c>
      <c r="Q89" s="22">
        <f>O89+I89-P89</f>
        <v/>
      </c>
      <c r="BE89" s="20" t="n">
        <v>45745.5</v>
      </c>
      <c r="BF89" s="20" t="n">
        <v>45745.125</v>
      </c>
      <c r="BG89" s="20" t="n">
        <v>45745.54166666666</v>
      </c>
      <c r="BH89" s="20" t="n">
        <v>45745.625</v>
      </c>
    </row>
    <row r="90">
      <c r="A90" s="5">
        <f>A89+1</f>
        <v/>
      </c>
      <c r="B90" s="3">
        <f>-SUMIFS(df_extrato_zig!G:G,df_extrato_zig!E:E,Conciliacao!A90,df_extrato_zig!D:D,"Saque")-SUMIFS(df_extrato_zig!G:G,df_extrato_zig!E:E,Conciliacao!A90,df_extrato_zig!D:D,"Antecipação")</f>
        <v/>
      </c>
      <c r="C90" s="3">
        <f>SUMIFS(df_extrato_zig!E:E,df_extrato_zig!L:L,Conciliacao!A90,df_extrato_zig!F:F,"DINHEIRO")</f>
        <v/>
      </c>
      <c r="D90" s="3">
        <f>SUMIFS(view_parc_agrup!H:H,view_parc_agrup!G:G,Conciliacao!A90)</f>
        <v/>
      </c>
      <c r="E90" s="3">
        <f>SUMIFS(df_eventos!F:F,df_eventos!H:H,Conciliacao!A90)</f>
        <v/>
      </c>
      <c r="F90" s="3">
        <f>SUMIFS(df_mutuos!M:M,df_mutuos!B:B,Conciliacao!A90)</f>
        <v/>
      </c>
      <c r="G90" s="6">
        <f>SUMIFS(df_bloqueios_judiciais!G:G,df_bloqueios_judiciais!D:D,Conciliacao!A90,df_bloqueios_judiciais!G:G,"&gt;0")</f>
        <v/>
      </c>
      <c r="H90" s="7">
        <f>SUMIFS(df_extratos!I:I,df_extratos!F:F,"&gt;="&amp;Conciliacao!BE90,df_extratos!F:F,"&lt;"&amp;Conciliacao!BE90+1,df_extratos!G:G,"CREDITO")
+SUMIFS(df_extratos!I:I,df_extratos!F:F,"&gt;="&amp;Conciliacao!A90, df_extratos!F:F,"&lt;"&amp;Conciliacao!A90+1, df_extratos!G:G,"CREDITO")
+SUMIFS(df_extratos!I:I,df_extratos!F:F,"&gt;="&amp;Conciliacao!BF90,df_extratos!F:F,"&lt;"&amp;Conciliacao!BF90+1,df_extratos!G:G,"CREDITO")
+SUMIFS(df_extratos!I:I,df_extratos!F:F,"&gt;="&amp;Conciliacao!BG90,df_extratos!F:F,"&lt;"&amp;Conciliacao!BG90+1,df_extratos!G:G,"CREDITO")
+SUMIFS(df_extratos!I:I,df_extratos!F:F,"&gt;="&amp;Conciliacao!BH90,df_extratos!F:F,"&lt;"&amp;Conciliacao!BH90+1,df_extratos!G:G,"CREDITO")</f>
        <v/>
      </c>
      <c r="I90" s="9">
        <f>H90-SUM(B90:G90)</f>
        <v/>
      </c>
      <c r="J90" s="4">
        <f>SUMIFS(df_blueme_sem_parcelamento!E:E,df_blueme_sem_parcelamento!H:H,Conciliacao!A90)*(-1)</f>
        <v/>
      </c>
      <c r="K90" s="4">
        <f>SUMIFS(df_blueme_com_parcelamento!J:J,df_blueme_com_parcelamento!M:M,Conciliacao!A90)*(-1)</f>
        <v/>
      </c>
      <c r="L90" s="4">
        <f>SUMIFS(df_mutuos!N:N,df_mutuos!B:B,Conciliacao!A90)*(-1)</f>
        <v/>
      </c>
      <c r="M90" s="8">
        <f>SUMIFS(df_bloqueios_judiciais!G:G,df_bloqueios_judiciais!D:D,Conciliacao!A90,df_bloqueios_judiciais!G:G,"&lt;0")</f>
        <v/>
      </c>
      <c r="N90" s="10">
        <f>SUMIFS(df_extratos!I:I,df_extratos!F:F,"&gt;="&amp;Conciliacao!BE90,df_extratos!F:F,"&lt;"&amp;Conciliacao!BE90+1,df_extratos!G:G,"DEBITO")
+SUMIFS(df_extratos!I:I,df_extratos!F:F,"&gt;="&amp;Conciliacao!A90, df_extratos!F:F,"&lt;"&amp;Conciliacao!A90+1, df_extratos!G:G,"DEBITO")
+SUMIFS(df_extratos!I:I,df_extratos!F:F,"&gt;="&amp;Conciliacao!BF90,df_extratos!F:F,"&lt;"&amp;Conciliacao!BF90+1,df_extratos!G:G,"DEBITO")
+SUMIFS(df_extratos!I:I,df_extratos!F:F,"&gt;="&amp;Conciliacao!BG90,df_extratos!F:F,"&lt;"&amp;Conciliacao!BG90+1,df_extratos!G:G,"DEBITO")
+SUMIFS(df_extratos!I:I,df_extratos!F:F,"&gt;="&amp;Conciliacao!BH90,df_extratos!F:F,"&lt;"&amp;Conciliacao!BH90+1,df_extratos!G:G,"DEBITO")</f>
        <v/>
      </c>
      <c r="O90" s="11">
        <f>N90-SUM(J90:M90)</f>
        <v/>
      </c>
      <c r="P90" s="25">
        <f>SUMIFS(df_ajustes_conciliaco!D:D,df_ajustes_conciliaco!C:C,Conciliacao!A90)</f>
        <v/>
      </c>
      <c r="Q90" s="22">
        <f>O90+I90-P90</f>
        <v/>
      </c>
      <c r="BE90" s="20" t="n">
        <v>45746.5</v>
      </c>
      <c r="BF90" s="20" t="n">
        <v>45746.125</v>
      </c>
      <c r="BG90" s="20" t="n">
        <v>45746.54166666666</v>
      </c>
      <c r="BH90" s="20" t="n">
        <v>45746.625</v>
      </c>
    </row>
    <row r="91">
      <c r="A91" s="5">
        <f>A90+1</f>
        <v/>
      </c>
      <c r="B91" s="3">
        <f>-SUMIFS(df_extrato_zig!G:G,df_extrato_zig!E:E,Conciliacao!A91,df_extrato_zig!D:D,"Saque")-SUMIFS(df_extrato_zig!G:G,df_extrato_zig!E:E,Conciliacao!A91,df_extrato_zig!D:D,"Antecipação")</f>
        <v/>
      </c>
      <c r="C91" s="3">
        <f>SUMIFS(df_extrato_zig!E:E,df_extrato_zig!L:L,Conciliacao!A91,df_extrato_zig!F:F,"DINHEIRO")</f>
        <v/>
      </c>
      <c r="D91" s="3">
        <f>SUMIFS(view_parc_agrup!H:H,view_parc_agrup!G:G,Conciliacao!A91)</f>
        <v/>
      </c>
      <c r="E91" s="3">
        <f>SUMIFS(df_eventos!F:F,df_eventos!H:H,Conciliacao!A91)</f>
        <v/>
      </c>
      <c r="F91" s="3">
        <f>SUMIFS(df_mutuos!M:M,df_mutuos!B:B,Conciliacao!A91)</f>
        <v/>
      </c>
      <c r="G91" s="6">
        <f>SUMIFS(df_bloqueios_judiciais!G:G,df_bloqueios_judiciais!D:D,Conciliacao!A91,df_bloqueios_judiciais!G:G,"&gt;0")</f>
        <v/>
      </c>
      <c r="H91" s="7">
        <f>SUMIFS(df_extratos!I:I,df_extratos!F:F,"&gt;="&amp;Conciliacao!BE91,df_extratos!F:F,"&lt;"&amp;Conciliacao!BE91+1,df_extratos!G:G,"CREDITO")
+SUMIFS(df_extratos!I:I,df_extratos!F:F,"&gt;="&amp;Conciliacao!A91, df_extratos!F:F,"&lt;"&amp;Conciliacao!A91+1, df_extratos!G:G,"CREDITO")
+SUMIFS(df_extratos!I:I,df_extratos!F:F,"&gt;="&amp;Conciliacao!BF91,df_extratos!F:F,"&lt;"&amp;Conciliacao!BF91+1,df_extratos!G:G,"CREDITO")
+SUMIFS(df_extratos!I:I,df_extratos!F:F,"&gt;="&amp;Conciliacao!BG91,df_extratos!F:F,"&lt;"&amp;Conciliacao!BG91+1,df_extratos!G:G,"CREDITO")
+SUMIFS(df_extratos!I:I,df_extratos!F:F,"&gt;="&amp;Conciliacao!BH91,df_extratos!F:F,"&lt;"&amp;Conciliacao!BH91+1,df_extratos!G:G,"CREDITO")</f>
        <v/>
      </c>
      <c r="I91" s="9">
        <f>H91-SUM(B91:G91)</f>
        <v/>
      </c>
      <c r="J91" s="4">
        <f>SUMIFS(df_blueme_sem_parcelamento!E:E,df_blueme_sem_parcelamento!H:H,Conciliacao!A91)*(-1)</f>
        <v/>
      </c>
      <c r="K91" s="4">
        <f>SUMIFS(df_blueme_com_parcelamento!J:J,df_blueme_com_parcelamento!M:M,Conciliacao!A91)*(-1)</f>
        <v/>
      </c>
      <c r="L91" s="4">
        <f>SUMIFS(df_mutuos!N:N,df_mutuos!B:B,Conciliacao!A91)*(-1)</f>
        <v/>
      </c>
      <c r="M91" s="8">
        <f>SUMIFS(df_bloqueios_judiciais!G:G,df_bloqueios_judiciais!D:D,Conciliacao!A91,df_bloqueios_judiciais!G:G,"&lt;0")</f>
        <v/>
      </c>
      <c r="N91" s="10">
        <f>SUMIFS(df_extratos!I:I,df_extratos!F:F,"&gt;="&amp;Conciliacao!BE91,df_extratos!F:F,"&lt;"&amp;Conciliacao!BE91+1,df_extratos!G:G,"DEBITO")
+SUMIFS(df_extratos!I:I,df_extratos!F:F,"&gt;="&amp;Conciliacao!A91, df_extratos!F:F,"&lt;"&amp;Conciliacao!A91+1, df_extratos!G:G,"DEBITO")
+SUMIFS(df_extratos!I:I,df_extratos!F:F,"&gt;="&amp;Conciliacao!BF91,df_extratos!F:F,"&lt;"&amp;Conciliacao!BF91+1,df_extratos!G:G,"DEBITO")
+SUMIFS(df_extratos!I:I,df_extratos!F:F,"&gt;="&amp;Conciliacao!BG91,df_extratos!F:F,"&lt;"&amp;Conciliacao!BG91+1,df_extratos!G:G,"DEBITO")
+SUMIFS(df_extratos!I:I,df_extratos!F:F,"&gt;="&amp;Conciliacao!BH91,df_extratos!F:F,"&lt;"&amp;Conciliacao!BH91+1,df_extratos!G:G,"DEBITO")</f>
        <v/>
      </c>
      <c r="O91" s="11">
        <f>N91-SUM(J91:M91)</f>
        <v/>
      </c>
      <c r="P91" s="25">
        <f>SUMIFS(df_ajustes_conciliaco!D:D,df_ajustes_conciliaco!C:C,Conciliacao!A91)</f>
        <v/>
      </c>
      <c r="Q91" s="22">
        <f>O91+I91-P91</f>
        <v/>
      </c>
      <c r="BE91" s="20" t="n">
        <v>45747.5</v>
      </c>
      <c r="BF91" s="20" t="n">
        <v>45747.125</v>
      </c>
      <c r="BG91" s="20" t="n">
        <v>45747.54166666666</v>
      </c>
      <c r="BH91" s="20" t="n">
        <v>45747.625</v>
      </c>
    </row>
    <row r="92">
      <c r="A92" s="5">
        <f>A91+1</f>
        <v/>
      </c>
      <c r="B92" s="3">
        <f>-SUMIFS(df_extrato_zig!G:G,df_extrato_zig!E:E,Conciliacao!A92,df_extrato_zig!D:D,"Saque")-SUMIFS(df_extrato_zig!G:G,df_extrato_zig!E:E,Conciliacao!A92,df_extrato_zig!D:D,"Antecipação")</f>
        <v/>
      </c>
      <c r="C92" s="3">
        <f>SUMIFS(df_extrato_zig!E:E,df_extrato_zig!L:L,Conciliacao!A92,df_extrato_zig!F:F,"DINHEIRO")</f>
        <v/>
      </c>
      <c r="D92" s="3">
        <f>SUMIFS(view_parc_agrup!H:H,view_parc_agrup!G:G,Conciliacao!A92)</f>
        <v/>
      </c>
      <c r="E92" s="3">
        <f>SUMIFS(df_eventos!F:F,df_eventos!H:H,Conciliacao!A92)</f>
        <v/>
      </c>
      <c r="F92" s="3">
        <f>SUMIFS(df_mutuos!M:M,df_mutuos!B:B,Conciliacao!A92)</f>
        <v/>
      </c>
      <c r="G92" s="6">
        <f>SUMIFS(df_bloqueios_judiciais!G:G,df_bloqueios_judiciais!D:D,Conciliacao!A92,df_bloqueios_judiciais!G:G,"&gt;0")</f>
        <v/>
      </c>
      <c r="H92" s="7">
        <f>SUMIFS(df_extratos!I:I,df_extratos!F:F,"&gt;="&amp;Conciliacao!BE92,df_extratos!F:F,"&lt;"&amp;Conciliacao!BE92+1,df_extratos!G:G,"CREDITO")
+SUMIFS(df_extratos!I:I,df_extratos!F:F,"&gt;="&amp;Conciliacao!A92, df_extratos!F:F,"&lt;"&amp;Conciliacao!A92+1, df_extratos!G:G,"CREDITO")
+SUMIFS(df_extratos!I:I,df_extratos!F:F,"&gt;="&amp;Conciliacao!BF92,df_extratos!F:F,"&lt;"&amp;Conciliacao!BF92+1,df_extratos!G:G,"CREDITO")
+SUMIFS(df_extratos!I:I,df_extratos!F:F,"&gt;="&amp;Conciliacao!BG92,df_extratos!F:F,"&lt;"&amp;Conciliacao!BG92+1,df_extratos!G:G,"CREDITO")
+SUMIFS(df_extratos!I:I,df_extratos!F:F,"&gt;="&amp;Conciliacao!BH92,df_extratos!F:F,"&lt;"&amp;Conciliacao!BH92+1,df_extratos!G:G,"CREDITO")</f>
        <v/>
      </c>
      <c r="I92" s="9">
        <f>H92-SUM(B92:G92)</f>
        <v/>
      </c>
      <c r="J92" s="4">
        <f>SUMIFS(df_blueme_sem_parcelamento!E:E,df_blueme_sem_parcelamento!H:H,Conciliacao!A92)*(-1)</f>
        <v/>
      </c>
      <c r="K92" s="4">
        <f>SUMIFS(df_blueme_com_parcelamento!J:J,df_blueme_com_parcelamento!M:M,Conciliacao!A92)*(-1)</f>
        <v/>
      </c>
      <c r="L92" s="4">
        <f>SUMIFS(df_mutuos!N:N,df_mutuos!B:B,Conciliacao!A92)*(-1)</f>
        <v/>
      </c>
      <c r="M92" s="8">
        <f>SUMIFS(df_bloqueios_judiciais!G:G,df_bloqueios_judiciais!D:D,Conciliacao!A92,df_bloqueios_judiciais!G:G,"&lt;0")</f>
        <v/>
      </c>
      <c r="N92" s="10">
        <f>SUMIFS(df_extratos!I:I,df_extratos!F:F,"&gt;="&amp;Conciliacao!BE92,df_extratos!F:F,"&lt;"&amp;Conciliacao!BE92+1,df_extratos!G:G,"DEBITO")
+SUMIFS(df_extratos!I:I,df_extratos!F:F,"&gt;="&amp;Conciliacao!A92, df_extratos!F:F,"&lt;"&amp;Conciliacao!A92+1, df_extratos!G:G,"DEBITO")
+SUMIFS(df_extratos!I:I,df_extratos!F:F,"&gt;="&amp;Conciliacao!BF92,df_extratos!F:F,"&lt;"&amp;Conciliacao!BF92+1,df_extratos!G:G,"DEBITO")
+SUMIFS(df_extratos!I:I,df_extratos!F:F,"&gt;="&amp;Conciliacao!BG92,df_extratos!F:F,"&lt;"&amp;Conciliacao!BG92+1,df_extratos!G:G,"DEBITO")
+SUMIFS(df_extratos!I:I,df_extratos!F:F,"&gt;="&amp;Conciliacao!BH92,df_extratos!F:F,"&lt;"&amp;Conciliacao!BH92+1,df_extratos!G:G,"DEBITO")</f>
        <v/>
      </c>
      <c r="O92" s="11">
        <f>N92-SUM(J92:M92)</f>
        <v/>
      </c>
      <c r="P92" s="25">
        <f>SUMIFS(df_ajustes_conciliaco!D:D,df_ajustes_conciliaco!C:C,Conciliacao!A92)</f>
        <v/>
      </c>
      <c r="Q92" s="22">
        <f>O92+I92-P92</f>
        <v/>
      </c>
      <c r="BE92" s="20" t="n">
        <v>45748.5</v>
      </c>
      <c r="BF92" s="20" t="n">
        <v>45748.125</v>
      </c>
      <c r="BG92" s="20" t="n">
        <v>45748.54166666666</v>
      </c>
      <c r="BH92" s="20" t="n">
        <v>45748.625</v>
      </c>
    </row>
    <row r="93">
      <c r="A93" s="5">
        <f>A92+1</f>
        <v/>
      </c>
      <c r="B93" s="3">
        <f>-SUMIFS(df_extrato_zig!G:G,df_extrato_zig!E:E,Conciliacao!A93,df_extrato_zig!D:D,"Saque")-SUMIFS(df_extrato_zig!G:G,df_extrato_zig!E:E,Conciliacao!A93,df_extrato_zig!D:D,"Antecipação")</f>
        <v/>
      </c>
      <c r="C93" s="3">
        <f>SUMIFS(df_extrato_zig!E:E,df_extrato_zig!L:L,Conciliacao!A93,df_extrato_zig!F:F,"DINHEIRO")</f>
        <v/>
      </c>
      <c r="D93" s="3">
        <f>SUMIFS(view_parc_agrup!H:H,view_parc_agrup!G:G,Conciliacao!A93)</f>
        <v/>
      </c>
      <c r="E93" s="3">
        <f>SUMIFS(df_eventos!F:F,df_eventos!H:H,Conciliacao!A93)</f>
        <v/>
      </c>
      <c r="F93" s="3">
        <f>SUMIFS(df_mutuos!M:M,df_mutuos!B:B,Conciliacao!A93)</f>
        <v/>
      </c>
      <c r="G93" s="6">
        <f>SUMIFS(df_bloqueios_judiciais!G:G,df_bloqueios_judiciais!D:D,Conciliacao!A93,df_bloqueios_judiciais!G:G,"&gt;0")</f>
        <v/>
      </c>
      <c r="H93" s="7">
        <f>SUMIFS(df_extratos!I:I,df_extratos!F:F,"&gt;="&amp;Conciliacao!BE93,df_extratos!F:F,"&lt;"&amp;Conciliacao!BE93+1,df_extratos!G:G,"CREDITO")
+SUMIFS(df_extratos!I:I,df_extratos!F:F,"&gt;="&amp;Conciliacao!A93, df_extratos!F:F,"&lt;"&amp;Conciliacao!A93+1, df_extratos!G:G,"CREDITO")
+SUMIFS(df_extratos!I:I,df_extratos!F:F,"&gt;="&amp;Conciliacao!BF93,df_extratos!F:F,"&lt;"&amp;Conciliacao!BF93+1,df_extratos!G:G,"CREDITO")
+SUMIFS(df_extratos!I:I,df_extratos!F:F,"&gt;="&amp;Conciliacao!BG93,df_extratos!F:F,"&lt;"&amp;Conciliacao!BG93+1,df_extratos!G:G,"CREDITO")
+SUMIFS(df_extratos!I:I,df_extratos!F:F,"&gt;="&amp;Conciliacao!BH93,df_extratos!F:F,"&lt;"&amp;Conciliacao!BH93+1,df_extratos!G:G,"CREDITO")</f>
        <v/>
      </c>
      <c r="I93" s="9">
        <f>H93-SUM(B93:G93)</f>
        <v/>
      </c>
      <c r="J93" s="4">
        <f>SUMIFS(df_blueme_sem_parcelamento!E:E,df_blueme_sem_parcelamento!H:H,Conciliacao!A93)*(-1)</f>
        <v/>
      </c>
      <c r="K93" s="4">
        <f>SUMIFS(df_blueme_com_parcelamento!J:J,df_blueme_com_parcelamento!M:M,Conciliacao!A93)*(-1)</f>
        <v/>
      </c>
      <c r="L93" s="4">
        <f>SUMIFS(df_mutuos!N:N,df_mutuos!B:B,Conciliacao!A93)*(-1)</f>
        <v/>
      </c>
      <c r="M93" s="8">
        <f>SUMIFS(df_bloqueios_judiciais!G:G,df_bloqueios_judiciais!D:D,Conciliacao!A93,df_bloqueios_judiciais!G:G,"&lt;0")</f>
        <v/>
      </c>
      <c r="N93" s="10">
        <f>SUMIFS(df_extratos!I:I,df_extratos!F:F,"&gt;="&amp;Conciliacao!BE93,df_extratos!F:F,"&lt;"&amp;Conciliacao!BE93+1,df_extratos!G:G,"DEBITO")
+SUMIFS(df_extratos!I:I,df_extratos!F:F,"&gt;="&amp;Conciliacao!A93, df_extratos!F:F,"&lt;"&amp;Conciliacao!A93+1, df_extratos!G:G,"DEBITO")
+SUMIFS(df_extratos!I:I,df_extratos!F:F,"&gt;="&amp;Conciliacao!BF93,df_extratos!F:F,"&lt;"&amp;Conciliacao!BF93+1,df_extratos!G:G,"DEBITO")
+SUMIFS(df_extratos!I:I,df_extratos!F:F,"&gt;="&amp;Conciliacao!BG93,df_extratos!F:F,"&lt;"&amp;Conciliacao!BG93+1,df_extratos!G:G,"DEBITO")
+SUMIFS(df_extratos!I:I,df_extratos!F:F,"&gt;="&amp;Conciliacao!BH93,df_extratos!F:F,"&lt;"&amp;Conciliacao!BH93+1,df_extratos!G:G,"DEBITO")</f>
        <v/>
      </c>
      <c r="O93" s="11">
        <f>N93-SUM(J93:M93)</f>
        <v/>
      </c>
      <c r="P93" s="25">
        <f>SUMIFS(df_ajustes_conciliaco!D:D,df_ajustes_conciliaco!C:C,Conciliacao!A93)</f>
        <v/>
      </c>
      <c r="Q93" s="22">
        <f>O93+I93-P93</f>
        <v/>
      </c>
      <c r="BE93" s="20" t="n">
        <v>45749.5</v>
      </c>
      <c r="BF93" s="20" t="n">
        <v>45749.125</v>
      </c>
      <c r="BG93" s="20" t="n">
        <v>45749.54166666666</v>
      </c>
      <c r="BH93" s="20" t="n">
        <v>45749.625</v>
      </c>
    </row>
    <row r="94">
      <c r="A94" s="5">
        <f>A93+1</f>
        <v/>
      </c>
      <c r="B94" s="3">
        <f>-SUMIFS(df_extrato_zig!G:G,df_extrato_zig!E:E,Conciliacao!A94,df_extrato_zig!D:D,"Saque")-SUMIFS(df_extrato_zig!G:G,df_extrato_zig!E:E,Conciliacao!A94,df_extrato_zig!D:D,"Antecipação")</f>
        <v/>
      </c>
      <c r="C94" s="3">
        <f>SUMIFS(df_extrato_zig!E:E,df_extrato_zig!L:L,Conciliacao!A94,df_extrato_zig!F:F,"DINHEIRO")</f>
        <v/>
      </c>
      <c r="D94" s="3">
        <f>SUMIFS(view_parc_agrup!H:H,view_parc_agrup!G:G,Conciliacao!A94)</f>
        <v/>
      </c>
      <c r="E94" s="3">
        <f>SUMIFS(df_eventos!F:F,df_eventos!H:H,Conciliacao!A94)</f>
        <v/>
      </c>
      <c r="F94" s="3">
        <f>SUMIFS(df_mutuos!M:M,df_mutuos!B:B,Conciliacao!A94)</f>
        <v/>
      </c>
      <c r="G94" s="6">
        <f>SUMIFS(df_bloqueios_judiciais!G:G,df_bloqueios_judiciais!D:D,Conciliacao!A94,df_bloqueios_judiciais!G:G,"&gt;0")</f>
        <v/>
      </c>
      <c r="H94" s="7">
        <f>SUMIFS(df_extratos!I:I,df_extratos!F:F,"&gt;="&amp;Conciliacao!BE94,df_extratos!F:F,"&lt;"&amp;Conciliacao!BE94+1,df_extratos!G:G,"CREDITO")
+SUMIFS(df_extratos!I:I,df_extratos!F:F,"&gt;="&amp;Conciliacao!A94, df_extratos!F:F,"&lt;"&amp;Conciliacao!A94+1, df_extratos!G:G,"CREDITO")
+SUMIFS(df_extratos!I:I,df_extratos!F:F,"&gt;="&amp;Conciliacao!BF94,df_extratos!F:F,"&lt;"&amp;Conciliacao!BF94+1,df_extratos!G:G,"CREDITO")
+SUMIFS(df_extratos!I:I,df_extratos!F:F,"&gt;="&amp;Conciliacao!BG94,df_extratos!F:F,"&lt;"&amp;Conciliacao!BG94+1,df_extratos!G:G,"CREDITO")
+SUMIFS(df_extratos!I:I,df_extratos!F:F,"&gt;="&amp;Conciliacao!BH94,df_extratos!F:F,"&lt;"&amp;Conciliacao!BH94+1,df_extratos!G:G,"CREDITO")</f>
        <v/>
      </c>
      <c r="I94" s="9">
        <f>H94-SUM(B94:G94)</f>
        <v/>
      </c>
      <c r="J94" s="4">
        <f>SUMIFS(df_blueme_sem_parcelamento!E:E,df_blueme_sem_parcelamento!H:H,Conciliacao!A94)*(-1)</f>
        <v/>
      </c>
      <c r="K94" s="4">
        <f>SUMIFS(df_blueme_com_parcelamento!J:J,df_blueme_com_parcelamento!M:M,Conciliacao!A94)*(-1)</f>
        <v/>
      </c>
      <c r="L94" s="4">
        <f>SUMIFS(df_mutuos!N:N,df_mutuos!B:B,Conciliacao!A94)*(-1)</f>
        <v/>
      </c>
      <c r="M94" s="8">
        <f>SUMIFS(df_bloqueios_judiciais!G:G,df_bloqueios_judiciais!D:D,Conciliacao!A94,df_bloqueios_judiciais!G:G,"&lt;0")</f>
        <v/>
      </c>
      <c r="N94" s="10">
        <f>SUMIFS(df_extratos!I:I,df_extratos!F:F,"&gt;="&amp;Conciliacao!BE94,df_extratos!F:F,"&lt;"&amp;Conciliacao!BE94+1,df_extratos!G:G,"DEBITO")
+SUMIFS(df_extratos!I:I,df_extratos!F:F,"&gt;="&amp;Conciliacao!A94, df_extratos!F:F,"&lt;"&amp;Conciliacao!A94+1, df_extratos!G:G,"DEBITO")
+SUMIFS(df_extratos!I:I,df_extratos!F:F,"&gt;="&amp;Conciliacao!BF94,df_extratos!F:F,"&lt;"&amp;Conciliacao!BF94+1,df_extratos!G:G,"DEBITO")
+SUMIFS(df_extratos!I:I,df_extratos!F:F,"&gt;="&amp;Conciliacao!BG94,df_extratos!F:F,"&lt;"&amp;Conciliacao!BG94+1,df_extratos!G:G,"DEBITO")
+SUMIFS(df_extratos!I:I,df_extratos!F:F,"&gt;="&amp;Conciliacao!BH94,df_extratos!F:F,"&lt;"&amp;Conciliacao!BH94+1,df_extratos!G:G,"DEBITO")</f>
        <v/>
      </c>
      <c r="O94" s="11">
        <f>N94-SUM(J94:M94)</f>
        <v/>
      </c>
      <c r="P94" s="25">
        <f>SUMIFS(df_ajustes_conciliaco!D:D,df_ajustes_conciliaco!C:C,Conciliacao!A94)</f>
        <v/>
      </c>
      <c r="Q94" s="22">
        <f>O94+I94-P94</f>
        <v/>
      </c>
      <c r="BE94" s="20" t="n">
        <v>45750.5</v>
      </c>
      <c r="BF94" s="20" t="n">
        <v>45750.125</v>
      </c>
      <c r="BG94" s="20" t="n">
        <v>45750.54166666666</v>
      </c>
      <c r="BH94" s="20" t="n">
        <v>45750.625</v>
      </c>
    </row>
    <row r="95">
      <c r="A95" s="5">
        <f>A94+1</f>
        <v/>
      </c>
      <c r="B95" s="3">
        <f>-SUMIFS(df_extrato_zig!G:G,df_extrato_zig!E:E,Conciliacao!A95,df_extrato_zig!D:D,"Saque")-SUMIFS(df_extrato_zig!G:G,df_extrato_zig!E:E,Conciliacao!A95,df_extrato_zig!D:D,"Antecipação")</f>
        <v/>
      </c>
      <c r="C95" s="3">
        <f>SUMIFS(df_extrato_zig!E:E,df_extrato_zig!L:L,Conciliacao!A95,df_extrato_zig!F:F,"DINHEIRO")</f>
        <v/>
      </c>
      <c r="D95" s="3">
        <f>SUMIFS(view_parc_agrup!H:H,view_parc_agrup!G:G,Conciliacao!A95)</f>
        <v/>
      </c>
      <c r="E95" s="3">
        <f>SUMIFS(df_eventos!F:F,df_eventos!H:H,Conciliacao!A95)</f>
        <v/>
      </c>
      <c r="F95" s="3">
        <f>SUMIFS(df_mutuos!M:M,df_mutuos!B:B,Conciliacao!A95)</f>
        <v/>
      </c>
      <c r="G95" s="6">
        <f>SUMIFS(df_bloqueios_judiciais!G:G,df_bloqueios_judiciais!D:D,Conciliacao!A95,df_bloqueios_judiciais!G:G,"&gt;0")</f>
        <v/>
      </c>
      <c r="H95" s="7">
        <f>SUMIFS(df_extratos!I:I,df_extratos!F:F,"&gt;="&amp;Conciliacao!BE95,df_extratos!F:F,"&lt;"&amp;Conciliacao!BE95+1,df_extratos!G:G,"CREDITO")
+SUMIFS(df_extratos!I:I,df_extratos!F:F,"&gt;="&amp;Conciliacao!A95, df_extratos!F:F,"&lt;"&amp;Conciliacao!A95+1, df_extratos!G:G,"CREDITO")
+SUMIFS(df_extratos!I:I,df_extratos!F:F,"&gt;="&amp;Conciliacao!BF95,df_extratos!F:F,"&lt;"&amp;Conciliacao!BF95+1,df_extratos!G:G,"CREDITO")
+SUMIFS(df_extratos!I:I,df_extratos!F:F,"&gt;="&amp;Conciliacao!BG95,df_extratos!F:F,"&lt;"&amp;Conciliacao!BG95+1,df_extratos!G:G,"CREDITO")
+SUMIFS(df_extratos!I:I,df_extratos!F:F,"&gt;="&amp;Conciliacao!BH95,df_extratos!F:F,"&lt;"&amp;Conciliacao!BH95+1,df_extratos!G:G,"CREDITO")</f>
        <v/>
      </c>
      <c r="I95" s="9">
        <f>H95-SUM(B95:G95)</f>
        <v/>
      </c>
      <c r="J95" s="4">
        <f>SUMIFS(df_blueme_sem_parcelamento!E:E,df_blueme_sem_parcelamento!H:H,Conciliacao!A95)*(-1)</f>
        <v/>
      </c>
      <c r="K95" s="4">
        <f>SUMIFS(df_blueme_com_parcelamento!J:J,df_blueme_com_parcelamento!M:M,Conciliacao!A95)*(-1)</f>
        <v/>
      </c>
      <c r="L95" s="4">
        <f>SUMIFS(df_mutuos!N:N,df_mutuos!B:B,Conciliacao!A95)*(-1)</f>
        <v/>
      </c>
      <c r="M95" s="8">
        <f>SUMIFS(df_bloqueios_judiciais!G:G,df_bloqueios_judiciais!D:D,Conciliacao!A95,df_bloqueios_judiciais!G:G,"&lt;0")</f>
        <v/>
      </c>
      <c r="N95" s="10">
        <f>SUMIFS(df_extratos!I:I,df_extratos!F:F,"&gt;="&amp;Conciliacao!BE95,df_extratos!F:F,"&lt;"&amp;Conciliacao!BE95+1,df_extratos!G:G,"DEBITO")
+SUMIFS(df_extratos!I:I,df_extratos!F:F,"&gt;="&amp;Conciliacao!A95, df_extratos!F:F,"&lt;"&amp;Conciliacao!A95+1, df_extratos!G:G,"DEBITO")
+SUMIFS(df_extratos!I:I,df_extratos!F:F,"&gt;="&amp;Conciliacao!BF95,df_extratos!F:F,"&lt;"&amp;Conciliacao!BF95+1,df_extratos!G:G,"DEBITO")
+SUMIFS(df_extratos!I:I,df_extratos!F:F,"&gt;="&amp;Conciliacao!BG95,df_extratos!F:F,"&lt;"&amp;Conciliacao!BG95+1,df_extratos!G:G,"DEBITO")
+SUMIFS(df_extratos!I:I,df_extratos!F:F,"&gt;="&amp;Conciliacao!BH95,df_extratos!F:F,"&lt;"&amp;Conciliacao!BH95+1,df_extratos!G:G,"DEBITO")</f>
        <v/>
      </c>
      <c r="O95" s="11">
        <f>N95-SUM(J95:M95)</f>
        <v/>
      </c>
      <c r="P95" s="25">
        <f>SUMIFS(df_ajustes_conciliaco!D:D,df_ajustes_conciliaco!C:C,Conciliacao!A95)</f>
        <v/>
      </c>
      <c r="Q95" s="22">
        <f>O95+I95-P95</f>
        <v/>
      </c>
      <c r="BE95" s="20" t="n">
        <v>45751.5</v>
      </c>
      <c r="BF95" s="20" t="n">
        <v>45751.125</v>
      </c>
      <c r="BG95" s="20" t="n">
        <v>45751.54166666666</v>
      </c>
      <c r="BH95" s="20" t="n">
        <v>45751.625</v>
      </c>
    </row>
    <row r="96">
      <c r="A96" s="5">
        <f>A95+1</f>
        <v/>
      </c>
      <c r="B96" s="3">
        <f>-SUMIFS(df_extrato_zig!G:G,df_extrato_zig!E:E,Conciliacao!A96,df_extrato_zig!D:D,"Saque")-SUMIFS(df_extrato_zig!G:G,df_extrato_zig!E:E,Conciliacao!A96,df_extrato_zig!D:D,"Antecipação")</f>
        <v/>
      </c>
      <c r="C96" s="3">
        <f>SUMIFS(df_extrato_zig!E:E,df_extrato_zig!L:L,Conciliacao!A96,df_extrato_zig!F:F,"DINHEIRO")</f>
        <v/>
      </c>
      <c r="D96" s="3">
        <f>SUMIFS(view_parc_agrup!H:H,view_parc_agrup!G:G,Conciliacao!A96)</f>
        <v/>
      </c>
      <c r="E96" s="3">
        <f>SUMIFS(df_eventos!F:F,df_eventos!H:H,Conciliacao!A96)</f>
        <v/>
      </c>
      <c r="F96" s="3">
        <f>SUMIFS(df_mutuos!M:M,df_mutuos!B:B,Conciliacao!A96)</f>
        <v/>
      </c>
      <c r="G96" s="6">
        <f>SUMIFS(df_bloqueios_judiciais!G:G,df_bloqueios_judiciais!D:D,Conciliacao!A96,df_bloqueios_judiciais!G:G,"&gt;0")</f>
        <v/>
      </c>
      <c r="H96" s="7">
        <f>SUMIFS(df_extratos!I:I,df_extratos!F:F,"&gt;="&amp;Conciliacao!BE96,df_extratos!F:F,"&lt;"&amp;Conciliacao!BE96+1,df_extratos!G:G,"CREDITO")
+SUMIFS(df_extratos!I:I,df_extratos!F:F,"&gt;="&amp;Conciliacao!A96, df_extratos!F:F,"&lt;"&amp;Conciliacao!A96+1, df_extratos!G:G,"CREDITO")
+SUMIFS(df_extratos!I:I,df_extratos!F:F,"&gt;="&amp;Conciliacao!BF96,df_extratos!F:F,"&lt;"&amp;Conciliacao!BF96+1,df_extratos!G:G,"CREDITO")
+SUMIFS(df_extratos!I:I,df_extratos!F:F,"&gt;="&amp;Conciliacao!BG96,df_extratos!F:F,"&lt;"&amp;Conciliacao!BG96+1,df_extratos!G:G,"CREDITO")
+SUMIFS(df_extratos!I:I,df_extratos!F:F,"&gt;="&amp;Conciliacao!BH96,df_extratos!F:F,"&lt;"&amp;Conciliacao!BH96+1,df_extratos!G:G,"CREDITO")</f>
        <v/>
      </c>
      <c r="I96" s="9">
        <f>H96-SUM(B96:G96)</f>
        <v/>
      </c>
      <c r="J96" s="4">
        <f>SUMIFS(df_blueme_sem_parcelamento!E:E,df_blueme_sem_parcelamento!H:H,Conciliacao!A96)*(-1)</f>
        <v/>
      </c>
      <c r="K96" s="4">
        <f>SUMIFS(df_blueme_com_parcelamento!J:J,df_blueme_com_parcelamento!M:M,Conciliacao!A96)*(-1)</f>
        <v/>
      </c>
      <c r="L96" s="4">
        <f>SUMIFS(df_mutuos!N:N,df_mutuos!B:B,Conciliacao!A96)*(-1)</f>
        <v/>
      </c>
      <c r="M96" s="8">
        <f>SUMIFS(df_bloqueios_judiciais!G:G,df_bloqueios_judiciais!D:D,Conciliacao!A96,df_bloqueios_judiciais!G:G,"&lt;0")</f>
        <v/>
      </c>
      <c r="N96" s="10">
        <f>SUMIFS(df_extratos!I:I,df_extratos!F:F,"&gt;="&amp;Conciliacao!BE96,df_extratos!F:F,"&lt;"&amp;Conciliacao!BE96+1,df_extratos!G:G,"DEBITO")
+SUMIFS(df_extratos!I:I,df_extratos!F:F,"&gt;="&amp;Conciliacao!A96, df_extratos!F:F,"&lt;"&amp;Conciliacao!A96+1, df_extratos!G:G,"DEBITO")
+SUMIFS(df_extratos!I:I,df_extratos!F:F,"&gt;="&amp;Conciliacao!BF96,df_extratos!F:F,"&lt;"&amp;Conciliacao!BF96+1,df_extratos!G:G,"DEBITO")
+SUMIFS(df_extratos!I:I,df_extratos!F:F,"&gt;="&amp;Conciliacao!BG96,df_extratos!F:F,"&lt;"&amp;Conciliacao!BG96+1,df_extratos!G:G,"DEBITO")
+SUMIFS(df_extratos!I:I,df_extratos!F:F,"&gt;="&amp;Conciliacao!BH96,df_extratos!F:F,"&lt;"&amp;Conciliacao!BH96+1,df_extratos!G:G,"DEBITO")</f>
        <v/>
      </c>
      <c r="O96" s="11">
        <f>N96-SUM(J96:M96)</f>
        <v/>
      </c>
      <c r="P96" s="25">
        <f>SUMIFS(df_ajustes_conciliaco!D:D,df_ajustes_conciliaco!C:C,Conciliacao!A96)</f>
        <v/>
      </c>
      <c r="Q96" s="22">
        <f>O96+I96-P96</f>
        <v/>
      </c>
      <c r="BE96" s="20" t="n">
        <v>45752.5</v>
      </c>
      <c r="BF96" s="20" t="n">
        <v>45752.125</v>
      </c>
      <c r="BG96" s="20" t="n">
        <v>45752.54166666666</v>
      </c>
      <c r="BH96" s="20" t="n">
        <v>45752.625</v>
      </c>
    </row>
    <row r="97">
      <c r="A97" s="5">
        <f>A96+1</f>
        <v/>
      </c>
      <c r="B97" s="3">
        <f>-SUMIFS(df_extrato_zig!G:G,df_extrato_zig!E:E,Conciliacao!A97,df_extrato_zig!D:D,"Saque")-SUMIFS(df_extrato_zig!G:G,df_extrato_zig!E:E,Conciliacao!A97,df_extrato_zig!D:D,"Antecipação")</f>
        <v/>
      </c>
      <c r="C97" s="3">
        <f>SUMIFS(df_extrato_zig!E:E,df_extrato_zig!L:L,Conciliacao!A97,df_extrato_zig!F:F,"DINHEIRO")</f>
        <v/>
      </c>
      <c r="D97" s="3">
        <f>SUMIFS(view_parc_agrup!H:H,view_parc_agrup!G:G,Conciliacao!A97)</f>
        <v/>
      </c>
      <c r="E97" s="3">
        <f>SUMIFS(df_eventos!F:F,df_eventos!H:H,Conciliacao!A97)</f>
        <v/>
      </c>
      <c r="F97" s="3">
        <f>SUMIFS(df_mutuos!M:M,df_mutuos!B:B,Conciliacao!A97)</f>
        <v/>
      </c>
      <c r="G97" s="6">
        <f>SUMIFS(df_bloqueios_judiciais!G:G,df_bloqueios_judiciais!D:D,Conciliacao!A97,df_bloqueios_judiciais!G:G,"&gt;0")</f>
        <v/>
      </c>
      <c r="H97" s="7">
        <f>SUMIFS(df_extratos!I:I,df_extratos!F:F,"&gt;="&amp;Conciliacao!BE97,df_extratos!F:F,"&lt;"&amp;Conciliacao!BE97+1,df_extratos!G:G,"CREDITO")
+SUMIFS(df_extratos!I:I,df_extratos!F:F,"&gt;="&amp;Conciliacao!A97, df_extratos!F:F,"&lt;"&amp;Conciliacao!A97+1, df_extratos!G:G,"CREDITO")
+SUMIFS(df_extratos!I:I,df_extratos!F:F,"&gt;="&amp;Conciliacao!BF97,df_extratos!F:F,"&lt;"&amp;Conciliacao!BF97+1,df_extratos!G:G,"CREDITO")
+SUMIFS(df_extratos!I:I,df_extratos!F:F,"&gt;="&amp;Conciliacao!BG97,df_extratos!F:F,"&lt;"&amp;Conciliacao!BG97+1,df_extratos!G:G,"CREDITO")
+SUMIFS(df_extratos!I:I,df_extratos!F:F,"&gt;="&amp;Conciliacao!BH97,df_extratos!F:F,"&lt;"&amp;Conciliacao!BH97+1,df_extratos!G:G,"CREDITO")</f>
        <v/>
      </c>
      <c r="I97" s="9">
        <f>H97-SUM(B97:G97)</f>
        <v/>
      </c>
      <c r="J97" s="4">
        <f>SUMIFS(df_blueme_sem_parcelamento!E:E,df_blueme_sem_parcelamento!H:H,Conciliacao!A97)*(-1)</f>
        <v/>
      </c>
      <c r="K97" s="4">
        <f>SUMIFS(df_blueme_com_parcelamento!J:J,df_blueme_com_parcelamento!M:M,Conciliacao!A97)*(-1)</f>
        <v/>
      </c>
      <c r="L97" s="4">
        <f>SUMIFS(df_mutuos!N:N,df_mutuos!B:B,Conciliacao!A97)*(-1)</f>
        <v/>
      </c>
      <c r="M97" s="8">
        <f>SUMIFS(df_bloqueios_judiciais!G:G,df_bloqueios_judiciais!D:D,Conciliacao!A97,df_bloqueios_judiciais!G:G,"&lt;0")</f>
        <v/>
      </c>
      <c r="N97" s="10">
        <f>SUMIFS(df_extratos!I:I,df_extratos!F:F,"&gt;="&amp;Conciliacao!BE97,df_extratos!F:F,"&lt;"&amp;Conciliacao!BE97+1,df_extratos!G:G,"DEBITO")
+SUMIFS(df_extratos!I:I,df_extratos!F:F,"&gt;="&amp;Conciliacao!A97, df_extratos!F:F,"&lt;"&amp;Conciliacao!A97+1, df_extratos!G:G,"DEBITO")
+SUMIFS(df_extratos!I:I,df_extratos!F:F,"&gt;="&amp;Conciliacao!BF97,df_extratos!F:F,"&lt;"&amp;Conciliacao!BF97+1,df_extratos!G:G,"DEBITO")
+SUMIFS(df_extratos!I:I,df_extratos!F:F,"&gt;="&amp;Conciliacao!BG97,df_extratos!F:F,"&lt;"&amp;Conciliacao!BG97+1,df_extratos!G:G,"DEBITO")
+SUMIFS(df_extratos!I:I,df_extratos!F:F,"&gt;="&amp;Conciliacao!BH97,df_extratos!F:F,"&lt;"&amp;Conciliacao!BH97+1,df_extratos!G:G,"DEBITO")</f>
        <v/>
      </c>
      <c r="O97" s="11">
        <f>N97-SUM(J97:M97)</f>
        <v/>
      </c>
      <c r="P97" s="25">
        <f>SUMIFS(df_ajustes_conciliaco!D:D,df_ajustes_conciliaco!C:C,Conciliacao!A97)</f>
        <v/>
      </c>
      <c r="Q97" s="22">
        <f>O97+I97-P97</f>
        <v/>
      </c>
      <c r="BE97" s="20" t="n">
        <v>45753.5</v>
      </c>
      <c r="BF97" s="20" t="n">
        <v>45753.125</v>
      </c>
      <c r="BG97" s="20" t="n">
        <v>45753.54166666666</v>
      </c>
      <c r="BH97" s="20" t="n">
        <v>45753.625</v>
      </c>
    </row>
    <row r="98">
      <c r="A98" s="5">
        <f>A97+1</f>
        <v/>
      </c>
      <c r="B98" s="3">
        <f>-SUMIFS(df_extrato_zig!G:G,df_extrato_zig!E:E,Conciliacao!A98,df_extrato_zig!D:D,"Saque")-SUMIFS(df_extrato_zig!G:G,df_extrato_zig!E:E,Conciliacao!A98,df_extrato_zig!D:D,"Antecipação")</f>
        <v/>
      </c>
      <c r="C98" s="3">
        <f>SUMIFS(df_extrato_zig!E:E,df_extrato_zig!L:L,Conciliacao!A98,df_extrato_zig!F:F,"DINHEIRO")</f>
        <v/>
      </c>
      <c r="D98" s="3">
        <f>SUMIFS(view_parc_agrup!H:H,view_parc_agrup!G:G,Conciliacao!A98)</f>
        <v/>
      </c>
      <c r="E98" s="3">
        <f>SUMIFS(df_eventos!F:F,df_eventos!H:H,Conciliacao!A98)</f>
        <v/>
      </c>
      <c r="F98" s="3">
        <f>SUMIFS(df_mutuos!M:M,df_mutuos!B:B,Conciliacao!A98)</f>
        <v/>
      </c>
      <c r="G98" s="6">
        <f>SUMIFS(df_bloqueios_judiciais!G:G,df_bloqueios_judiciais!D:D,Conciliacao!A98,df_bloqueios_judiciais!G:G,"&gt;0")</f>
        <v/>
      </c>
      <c r="H98" s="7">
        <f>SUMIFS(df_extratos!I:I,df_extratos!F:F,"&gt;="&amp;Conciliacao!BE98,df_extratos!F:F,"&lt;"&amp;Conciliacao!BE98+1,df_extratos!G:G,"CREDITO")
+SUMIFS(df_extratos!I:I,df_extratos!F:F,"&gt;="&amp;Conciliacao!A98, df_extratos!F:F,"&lt;"&amp;Conciliacao!A98+1, df_extratos!G:G,"CREDITO")
+SUMIFS(df_extratos!I:I,df_extratos!F:F,"&gt;="&amp;Conciliacao!BF98,df_extratos!F:F,"&lt;"&amp;Conciliacao!BF98+1,df_extratos!G:G,"CREDITO")
+SUMIFS(df_extratos!I:I,df_extratos!F:F,"&gt;="&amp;Conciliacao!BG98,df_extratos!F:F,"&lt;"&amp;Conciliacao!BG98+1,df_extratos!G:G,"CREDITO")
+SUMIFS(df_extratos!I:I,df_extratos!F:F,"&gt;="&amp;Conciliacao!BH98,df_extratos!F:F,"&lt;"&amp;Conciliacao!BH98+1,df_extratos!G:G,"CREDITO")</f>
        <v/>
      </c>
      <c r="I98" s="9">
        <f>H98-SUM(B98:G98)</f>
        <v/>
      </c>
      <c r="J98" s="4">
        <f>SUMIFS(df_blueme_sem_parcelamento!E:E,df_blueme_sem_parcelamento!H:H,Conciliacao!A98)*(-1)</f>
        <v/>
      </c>
      <c r="K98" s="4">
        <f>SUMIFS(df_blueme_com_parcelamento!J:J,df_blueme_com_parcelamento!M:M,Conciliacao!A98)*(-1)</f>
        <v/>
      </c>
      <c r="L98" s="4">
        <f>SUMIFS(df_mutuos!N:N,df_mutuos!B:B,Conciliacao!A98)*(-1)</f>
        <v/>
      </c>
      <c r="M98" s="8">
        <f>SUMIFS(df_bloqueios_judiciais!G:G,df_bloqueios_judiciais!D:D,Conciliacao!A98,df_bloqueios_judiciais!G:G,"&lt;0")</f>
        <v/>
      </c>
      <c r="N98" s="10">
        <f>SUMIFS(df_extratos!I:I,df_extratos!F:F,"&gt;="&amp;Conciliacao!BE98,df_extratos!F:F,"&lt;"&amp;Conciliacao!BE98+1,df_extratos!G:G,"DEBITO")
+SUMIFS(df_extratos!I:I,df_extratos!F:F,"&gt;="&amp;Conciliacao!A98, df_extratos!F:F,"&lt;"&amp;Conciliacao!A98+1, df_extratos!G:G,"DEBITO")
+SUMIFS(df_extratos!I:I,df_extratos!F:F,"&gt;="&amp;Conciliacao!BF98,df_extratos!F:F,"&lt;"&amp;Conciliacao!BF98+1,df_extratos!G:G,"DEBITO")
+SUMIFS(df_extratos!I:I,df_extratos!F:F,"&gt;="&amp;Conciliacao!BG98,df_extratos!F:F,"&lt;"&amp;Conciliacao!BG98+1,df_extratos!G:G,"DEBITO")
+SUMIFS(df_extratos!I:I,df_extratos!F:F,"&gt;="&amp;Conciliacao!BH98,df_extratos!F:F,"&lt;"&amp;Conciliacao!BH98+1,df_extratos!G:G,"DEBITO")</f>
        <v/>
      </c>
      <c r="O98" s="11">
        <f>N98-SUM(J98:M98)</f>
        <v/>
      </c>
      <c r="P98" s="25">
        <f>SUMIFS(df_ajustes_conciliaco!D:D,df_ajustes_conciliaco!C:C,Conciliacao!A98)</f>
        <v/>
      </c>
      <c r="Q98" s="22">
        <f>O98+I98-P98</f>
        <v/>
      </c>
      <c r="BE98" s="20" t="n">
        <v>45754.5</v>
      </c>
      <c r="BF98" s="20" t="n">
        <v>45754.125</v>
      </c>
      <c r="BG98" s="20" t="n">
        <v>45754.54166666666</v>
      </c>
      <c r="BH98" s="20" t="n">
        <v>45754.625</v>
      </c>
    </row>
    <row r="99">
      <c r="A99" s="5">
        <f>A98+1</f>
        <v/>
      </c>
      <c r="B99" s="3">
        <f>-SUMIFS(df_extrato_zig!G:G,df_extrato_zig!E:E,Conciliacao!A99,df_extrato_zig!D:D,"Saque")-SUMIFS(df_extrato_zig!G:G,df_extrato_zig!E:E,Conciliacao!A99,df_extrato_zig!D:D,"Antecipação")</f>
        <v/>
      </c>
      <c r="C99" s="3">
        <f>SUMIFS(df_extrato_zig!E:E,df_extrato_zig!L:L,Conciliacao!A99,df_extrato_zig!F:F,"DINHEIRO")</f>
        <v/>
      </c>
      <c r="D99" s="3">
        <f>SUMIFS(view_parc_agrup!H:H,view_parc_agrup!G:G,Conciliacao!A99)</f>
        <v/>
      </c>
      <c r="E99" s="3">
        <f>SUMIFS(df_eventos!F:F,df_eventos!H:H,Conciliacao!A99)</f>
        <v/>
      </c>
      <c r="F99" s="3">
        <f>SUMIFS(df_mutuos!M:M,df_mutuos!B:B,Conciliacao!A99)</f>
        <v/>
      </c>
      <c r="G99" s="6">
        <f>SUMIFS(df_bloqueios_judiciais!G:G,df_bloqueios_judiciais!D:D,Conciliacao!A99,df_bloqueios_judiciais!G:G,"&gt;0")</f>
        <v/>
      </c>
      <c r="H99" s="7">
        <f>SUMIFS(df_extratos!I:I,df_extratos!F:F,"&gt;="&amp;Conciliacao!BE99,df_extratos!F:F,"&lt;"&amp;Conciliacao!BE99+1,df_extratos!G:G,"CREDITO")
+SUMIFS(df_extratos!I:I,df_extratos!F:F,"&gt;="&amp;Conciliacao!A99, df_extratos!F:F,"&lt;"&amp;Conciliacao!A99+1, df_extratos!G:G,"CREDITO")
+SUMIFS(df_extratos!I:I,df_extratos!F:F,"&gt;="&amp;Conciliacao!BF99,df_extratos!F:F,"&lt;"&amp;Conciliacao!BF99+1,df_extratos!G:G,"CREDITO")
+SUMIFS(df_extratos!I:I,df_extratos!F:F,"&gt;="&amp;Conciliacao!BG99,df_extratos!F:F,"&lt;"&amp;Conciliacao!BG99+1,df_extratos!G:G,"CREDITO")
+SUMIFS(df_extratos!I:I,df_extratos!F:F,"&gt;="&amp;Conciliacao!BH99,df_extratos!F:F,"&lt;"&amp;Conciliacao!BH99+1,df_extratos!G:G,"CREDITO")</f>
        <v/>
      </c>
      <c r="I99" s="9">
        <f>H99-SUM(B99:G99)</f>
        <v/>
      </c>
      <c r="J99" s="4">
        <f>SUMIFS(df_blueme_sem_parcelamento!E:E,df_blueme_sem_parcelamento!H:H,Conciliacao!A99)*(-1)</f>
        <v/>
      </c>
      <c r="K99" s="4">
        <f>SUMIFS(df_blueme_com_parcelamento!J:J,df_blueme_com_parcelamento!M:M,Conciliacao!A99)*(-1)</f>
        <v/>
      </c>
      <c r="L99" s="4">
        <f>SUMIFS(df_mutuos!N:N,df_mutuos!B:B,Conciliacao!A99)*(-1)</f>
        <v/>
      </c>
      <c r="M99" s="8">
        <f>SUMIFS(df_bloqueios_judiciais!G:G,df_bloqueios_judiciais!D:D,Conciliacao!A99,df_bloqueios_judiciais!G:G,"&lt;0")</f>
        <v/>
      </c>
      <c r="N99" s="10">
        <f>SUMIFS(df_extratos!I:I,df_extratos!F:F,"&gt;="&amp;Conciliacao!BE99,df_extratos!F:F,"&lt;"&amp;Conciliacao!BE99+1,df_extratos!G:G,"DEBITO")
+SUMIFS(df_extratos!I:I,df_extratos!F:F,"&gt;="&amp;Conciliacao!A99, df_extratos!F:F,"&lt;"&amp;Conciliacao!A99+1, df_extratos!G:G,"DEBITO")
+SUMIFS(df_extratos!I:I,df_extratos!F:F,"&gt;="&amp;Conciliacao!BF99,df_extratos!F:F,"&lt;"&amp;Conciliacao!BF99+1,df_extratos!G:G,"DEBITO")
+SUMIFS(df_extratos!I:I,df_extratos!F:F,"&gt;="&amp;Conciliacao!BG99,df_extratos!F:F,"&lt;"&amp;Conciliacao!BG99+1,df_extratos!G:G,"DEBITO")
+SUMIFS(df_extratos!I:I,df_extratos!F:F,"&gt;="&amp;Conciliacao!BH99,df_extratos!F:F,"&lt;"&amp;Conciliacao!BH99+1,df_extratos!G:G,"DEBITO")</f>
        <v/>
      </c>
      <c r="O99" s="11">
        <f>N99-SUM(J99:M99)</f>
        <v/>
      </c>
      <c r="P99" s="25">
        <f>SUMIFS(df_ajustes_conciliaco!D:D,df_ajustes_conciliaco!C:C,Conciliacao!A99)</f>
        <v/>
      </c>
      <c r="Q99" s="22">
        <f>O99+I99-P99</f>
        <v/>
      </c>
      <c r="BE99" s="20" t="n">
        <v>45755.5</v>
      </c>
      <c r="BF99" s="20" t="n">
        <v>45755.125</v>
      </c>
      <c r="BG99" s="20" t="n">
        <v>45755.54166666666</v>
      </c>
      <c r="BH99" s="20" t="n">
        <v>45755.625</v>
      </c>
    </row>
    <row r="100">
      <c r="A100" s="5">
        <f>A99+1</f>
        <v/>
      </c>
      <c r="B100" s="3">
        <f>-SUMIFS(df_extrato_zig!G:G,df_extrato_zig!E:E,Conciliacao!A100,df_extrato_zig!D:D,"Saque")-SUMIFS(df_extrato_zig!G:G,df_extrato_zig!E:E,Conciliacao!A100,df_extrato_zig!D:D,"Antecipação")</f>
        <v/>
      </c>
      <c r="C100" s="3">
        <f>SUMIFS(df_extrato_zig!E:E,df_extrato_zig!L:L,Conciliacao!A100,df_extrato_zig!F:F,"DINHEIRO")</f>
        <v/>
      </c>
      <c r="D100" s="3">
        <f>SUMIFS(view_parc_agrup!H:H,view_parc_agrup!G:G,Conciliacao!A100)</f>
        <v/>
      </c>
      <c r="E100" s="3">
        <f>SUMIFS(df_eventos!F:F,df_eventos!H:H,Conciliacao!A100)</f>
        <v/>
      </c>
      <c r="F100" s="3">
        <f>SUMIFS(df_mutuos!M:M,df_mutuos!B:B,Conciliacao!A100)</f>
        <v/>
      </c>
      <c r="G100" s="6">
        <f>SUMIFS(df_bloqueios_judiciais!G:G,df_bloqueios_judiciais!D:D,Conciliacao!A100,df_bloqueios_judiciais!G:G,"&gt;0")</f>
        <v/>
      </c>
      <c r="H100" s="7">
        <f>SUMIFS(df_extratos!I:I,df_extratos!F:F,"&gt;="&amp;Conciliacao!BE100,df_extratos!F:F,"&lt;"&amp;Conciliacao!BE100+1,df_extratos!G:G,"CREDITO")
+SUMIFS(df_extratos!I:I,df_extratos!F:F,"&gt;="&amp;Conciliacao!A100, df_extratos!F:F,"&lt;"&amp;Conciliacao!A100+1, df_extratos!G:G,"CREDITO")
+SUMIFS(df_extratos!I:I,df_extratos!F:F,"&gt;="&amp;Conciliacao!BF100,df_extratos!F:F,"&lt;"&amp;Conciliacao!BF100+1,df_extratos!G:G,"CREDITO")
+SUMIFS(df_extratos!I:I,df_extratos!F:F,"&gt;="&amp;Conciliacao!BG100,df_extratos!F:F,"&lt;"&amp;Conciliacao!BG100+1,df_extratos!G:G,"CREDITO")
+SUMIFS(df_extratos!I:I,df_extratos!F:F,"&gt;="&amp;Conciliacao!BH100,df_extratos!F:F,"&lt;"&amp;Conciliacao!BH100+1,df_extratos!G:G,"CREDITO")</f>
        <v/>
      </c>
      <c r="I100" s="9">
        <f>H100-SUM(B100:G100)</f>
        <v/>
      </c>
      <c r="J100" s="4">
        <f>SUMIFS(df_blueme_sem_parcelamento!E:E,df_blueme_sem_parcelamento!H:H,Conciliacao!A100)*(-1)</f>
        <v/>
      </c>
      <c r="K100" s="4">
        <f>SUMIFS(df_blueme_com_parcelamento!J:J,df_blueme_com_parcelamento!M:M,Conciliacao!A100)*(-1)</f>
        <v/>
      </c>
      <c r="L100" s="4">
        <f>SUMIFS(df_mutuos!N:N,df_mutuos!B:B,Conciliacao!A100)*(-1)</f>
        <v/>
      </c>
      <c r="M100" s="8">
        <f>SUMIFS(df_bloqueios_judiciais!G:G,df_bloqueios_judiciais!D:D,Conciliacao!A100,df_bloqueios_judiciais!G:G,"&lt;0")</f>
        <v/>
      </c>
      <c r="N100" s="10">
        <f>SUMIFS(df_extratos!I:I,df_extratos!F:F,"&gt;="&amp;Conciliacao!BE100,df_extratos!F:F,"&lt;"&amp;Conciliacao!BE100+1,df_extratos!G:G,"DEBITO")
+SUMIFS(df_extratos!I:I,df_extratos!F:F,"&gt;="&amp;Conciliacao!A100, df_extratos!F:F,"&lt;"&amp;Conciliacao!A100+1, df_extratos!G:G,"DEBITO")
+SUMIFS(df_extratos!I:I,df_extratos!F:F,"&gt;="&amp;Conciliacao!BF100,df_extratos!F:F,"&lt;"&amp;Conciliacao!BF100+1,df_extratos!G:G,"DEBITO")
+SUMIFS(df_extratos!I:I,df_extratos!F:F,"&gt;="&amp;Conciliacao!BG100,df_extratos!F:F,"&lt;"&amp;Conciliacao!BG100+1,df_extratos!G:G,"DEBITO")
+SUMIFS(df_extratos!I:I,df_extratos!F:F,"&gt;="&amp;Conciliacao!BH100,df_extratos!F:F,"&lt;"&amp;Conciliacao!BH100+1,df_extratos!G:G,"DEBITO")</f>
        <v/>
      </c>
      <c r="O100" s="11">
        <f>N100-SUM(J100:M100)</f>
        <v/>
      </c>
      <c r="P100" s="25">
        <f>SUMIFS(df_ajustes_conciliaco!D:D,df_ajustes_conciliaco!C:C,Conciliacao!A100)</f>
        <v/>
      </c>
      <c r="Q100" s="22">
        <f>O100+I100-P100</f>
        <v/>
      </c>
      <c r="BE100" s="20" t="n">
        <v>45756.5</v>
      </c>
      <c r="BF100" s="20" t="n">
        <v>45756.125</v>
      </c>
      <c r="BG100" s="20" t="n">
        <v>45756.54166666666</v>
      </c>
      <c r="BH100" s="20" t="n">
        <v>45756.625</v>
      </c>
    </row>
    <row r="101">
      <c r="A101" s="5">
        <f>A100+1</f>
        <v/>
      </c>
      <c r="B101" s="3">
        <f>-SUMIFS(df_extrato_zig!G:G,df_extrato_zig!E:E,Conciliacao!A101,df_extrato_zig!D:D,"Saque")-SUMIFS(df_extrato_zig!G:G,df_extrato_zig!E:E,Conciliacao!A101,df_extrato_zig!D:D,"Antecipação")</f>
        <v/>
      </c>
      <c r="C101" s="3">
        <f>SUMIFS(df_extrato_zig!E:E,df_extrato_zig!L:L,Conciliacao!A101,df_extrato_zig!F:F,"DINHEIRO")</f>
        <v/>
      </c>
      <c r="D101" s="3">
        <f>SUMIFS(view_parc_agrup!H:H,view_parc_agrup!G:G,Conciliacao!A101)</f>
        <v/>
      </c>
      <c r="E101" s="3">
        <f>SUMIFS(df_eventos!F:F,df_eventos!H:H,Conciliacao!A101)</f>
        <v/>
      </c>
      <c r="F101" s="3">
        <f>SUMIFS(df_mutuos!M:M,df_mutuos!B:B,Conciliacao!A101)</f>
        <v/>
      </c>
      <c r="G101" s="6">
        <f>SUMIFS(df_bloqueios_judiciais!G:G,df_bloqueios_judiciais!D:D,Conciliacao!A101,df_bloqueios_judiciais!G:G,"&gt;0")</f>
        <v/>
      </c>
      <c r="H101" s="7">
        <f>SUMIFS(df_extratos!I:I,df_extratos!F:F,"&gt;="&amp;Conciliacao!BE101,df_extratos!F:F,"&lt;"&amp;Conciliacao!BE101+1,df_extratos!G:G,"CREDITO")
+SUMIFS(df_extratos!I:I,df_extratos!F:F,"&gt;="&amp;Conciliacao!A101, df_extratos!F:F,"&lt;"&amp;Conciliacao!A101+1, df_extratos!G:G,"CREDITO")
+SUMIFS(df_extratos!I:I,df_extratos!F:F,"&gt;="&amp;Conciliacao!BF101,df_extratos!F:F,"&lt;"&amp;Conciliacao!BF101+1,df_extratos!G:G,"CREDITO")
+SUMIFS(df_extratos!I:I,df_extratos!F:F,"&gt;="&amp;Conciliacao!BG101,df_extratos!F:F,"&lt;"&amp;Conciliacao!BG101+1,df_extratos!G:G,"CREDITO")
+SUMIFS(df_extratos!I:I,df_extratos!F:F,"&gt;="&amp;Conciliacao!BH101,df_extratos!F:F,"&lt;"&amp;Conciliacao!BH101+1,df_extratos!G:G,"CREDITO")</f>
        <v/>
      </c>
      <c r="I101" s="9">
        <f>H101-SUM(B101:G101)</f>
        <v/>
      </c>
      <c r="J101" s="4">
        <f>SUMIFS(df_blueme_sem_parcelamento!E:E,df_blueme_sem_parcelamento!H:H,Conciliacao!A101)*(-1)</f>
        <v/>
      </c>
      <c r="K101" s="4">
        <f>SUMIFS(df_blueme_com_parcelamento!J:J,df_blueme_com_parcelamento!M:M,Conciliacao!A101)*(-1)</f>
        <v/>
      </c>
      <c r="L101" s="4">
        <f>SUMIFS(df_mutuos!N:N,df_mutuos!B:B,Conciliacao!A101)*(-1)</f>
        <v/>
      </c>
      <c r="M101" s="8">
        <f>SUMIFS(df_bloqueios_judiciais!G:G,df_bloqueios_judiciais!D:D,Conciliacao!A101,df_bloqueios_judiciais!G:G,"&lt;0")</f>
        <v/>
      </c>
      <c r="N101" s="10">
        <f>SUMIFS(df_extratos!I:I,df_extratos!F:F,"&gt;="&amp;Conciliacao!BE101,df_extratos!F:F,"&lt;"&amp;Conciliacao!BE101+1,df_extratos!G:G,"DEBITO")
+SUMIFS(df_extratos!I:I,df_extratos!F:F,"&gt;="&amp;Conciliacao!A101, df_extratos!F:F,"&lt;"&amp;Conciliacao!A101+1, df_extratos!G:G,"DEBITO")
+SUMIFS(df_extratos!I:I,df_extratos!F:F,"&gt;="&amp;Conciliacao!BF101,df_extratos!F:F,"&lt;"&amp;Conciliacao!BF101+1,df_extratos!G:G,"DEBITO")
+SUMIFS(df_extratos!I:I,df_extratos!F:F,"&gt;="&amp;Conciliacao!BG101,df_extratos!F:F,"&lt;"&amp;Conciliacao!BG101+1,df_extratos!G:G,"DEBITO")
+SUMIFS(df_extratos!I:I,df_extratos!F:F,"&gt;="&amp;Conciliacao!BH101,df_extratos!F:F,"&lt;"&amp;Conciliacao!BH101+1,df_extratos!G:G,"DEBITO")</f>
        <v/>
      </c>
      <c r="O101" s="11">
        <f>N101-SUM(J101:M101)</f>
        <v/>
      </c>
      <c r="P101" s="25">
        <f>SUMIFS(df_ajustes_conciliaco!D:D,df_ajustes_conciliaco!C:C,Conciliacao!A101)</f>
        <v/>
      </c>
      <c r="Q101" s="22">
        <f>O101+I101-P101</f>
        <v/>
      </c>
      <c r="BE101" s="20" t="n">
        <v>45757.5</v>
      </c>
      <c r="BF101" s="20" t="n">
        <v>45757.125</v>
      </c>
      <c r="BG101" s="20" t="n">
        <v>45757.54166666666</v>
      </c>
      <c r="BH101" s="20" t="n">
        <v>45757.625</v>
      </c>
    </row>
    <row r="102">
      <c r="A102" s="5">
        <f>A101+1</f>
        <v/>
      </c>
      <c r="B102" s="3">
        <f>-SUMIFS(df_extrato_zig!G:G,df_extrato_zig!E:E,Conciliacao!A102,df_extrato_zig!D:D,"Saque")-SUMIFS(df_extrato_zig!G:G,df_extrato_zig!E:E,Conciliacao!A102,df_extrato_zig!D:D,"Antecipação")</f>
        <v/>
      </c>
      <c r="C102" s="3">
        <f>SUMIFS(df_extrato_zig!E:E,df_extrato_zig!L:L,Conciliacao!A102,df_extrato_zig!F:F,"DINHEIRO")</f>
        <v/>
      </c>
      <c r="D102" s="3">
        <f>SUMIFS(view_parc_agrup!H:H,view_parc_agrup!G:G,Conciliacao!A102)</f>
        <v/>
      </c>
      <c r="E102" s="3">
        <f>SUMIFS(df_eventos!F:F,df_eventos!H:H,Conciliacao!A102)</f>
        <v/>
      </c>
      <c r="F102" s="3">
        <f>SUMIFS(df_mutuos!M:M,df_mutuos!B:B,Conciliacao!A102)</f>
        <v/>
      </c>
      <c r="G102" s="6">
        <f>SUMIFS(df_bloqueios_judiciais!G:G,df_bloqueios_judiciais!D:D,Conciliacao!A102,df_bloqueios_judiciais!G:G,"&gt;0")</f>
        <v/>
      </c>
      <c r="H102" s="7">
        <f>SUMIFS(df_extratos!I:I,df_extratos!F:F,"&gt;="&amp;Conciliacao!BE102,df_extratos!F:F,"&lt;"&amp;Conciliacao!BE102+1,df_extratos!G:G,"CREDITO")
+SUMIFS(df_extratos!I:I,df_extratos!F:F,"&gt;="&amp;Conciliacao!A102, df_extratos!F:F,"&lt;"&amp;Conciliacao!A102+1, df_extratos!G:G,"CREDITO")
+SUMIFS(df_extratos!I:I,df_extratos!F:F,"&gt;="&amp;Conciliacao!BF102,df_extratos!F:F,"&lt;"&amp;Conciliacao!BF102+1,df_extratos!G:G,"CREDITO")
+SUMIFS(df_extratos!I:I,df_extratos!F:F,"&gt;="&amp;Conciliacao!BG102,df_extratos!F:F,"&lt;"&amp;Conciliacao!BG102+1,df_extratos!G:G,"CREDITO")
+SUMIFS(df_extratos!I:I,df_extratos!F:F,"&gt;="&amp;Conciliacao!BH102,df_extratos!F:F,"&lt;"&amp;Conciliacao!BH102+1,df_extratos!G:G,"CREDITO")</f>
        <v/>
      </c>
      <c r="I102" s="9">
        <f>H102-SUM(B102:G102)</f>
        <v/>
      </c>
      <c r="J102" s="4">
        <f>SUMIFS(df_blueme_sem_parcelamento!E:E,df_blueme_sem_parcelamento!H:H,Conciliacao!A102)*(-1)</f>
        <v/>
      </c>
      <c r="K102" s="4">
        <f>SUMIFS(df_blueme_com_parcelamento!J:J,df_blueme_com_parcelamento!M:M,Conciliacao!A102)*(-1)</f>
        <v/>
      </c>
      <c r="L102" s="4">
        <f>SUMIFS(df_mutuos!N:N,df_mutuos!B:B,Conciliacao!A102)*(-1)</f>
        <v/>
      </c>
      <c r="M102" s="8">
        <f>SUMIFS(df_bloqueios_judiciais!G:G,df_bloqueios_judiciais!D:D,Conciliacao!A102,df_bloqueios_judiciais!G:G,"&lt;0")</f>
        <v/>
      </c>
      <c r="N102" s="10">
        <f>SUMIFS(df_extratos!I:I,df_extratos!F:F,"&gt;="&amp;Conciliacao!BE102,df_extratos!F:F,"&lt;"&amp;Conciliacao!BE102+1,df_extratos!G:G,"DEBITO")
+SUMIFS(df_extratos!I:I,df_extratos!F:F,"&gt;="&amp;Conciliacao!A102, df_extratos!F:F,"&lt;"&amp;Conciliacao!A102+1, df_extratos!G:G,"DEBITO")
+SUMIFS(df_extratos!I:I,df_extratos!F:F,"&gt;="&amp;Conciliacao!BF102,df_extratos!F:F,"&lt;"&amp;Conciliacao!BF102+1,df_extratos!G:G,"DEBITO")
+SUMIFS(df_extratos!I:I,df_extratos!F:F,"&gt;="&amp;Conciliacao!BG102,df_extratos!F:F,"&lt;"&amp;Conciliacao!BG102+1,df_extratos!G:G,"DEBITO")
+SUMIFS(df_extratos!I:I,df_extratos!F:F,"&gt;="&amp;Conciliacao!BH102,df_extratos!F:F,"&lt;"&amp;Conciliacao!BH102+1,df_extratos!G:G,"DEBITO")</f>
        <v/>
      </c>
      <c r="O102" s="11">
        <f>N102-SUM(J102:M102)</f>
        <v/>
      </c>
      <c r="P102" s="25">
        <f>SUMIFS(df_ajustes_conciliaco!D:D,df_ajustes_conciliaco!C:C,Conciliacao!A102)</f>
        <v/>
      </c>
      <c r="Q102" s="22">
        <f>O102+I102-P102</f>
        <v/>
      </c>
      <c r="BE102" s="20" t="n">
        <v>45758.5</v>
      </c>
      <c r="BF102" s="20" t="n">
        <v>45758.125</v>
      </c>
      <c r="BG102" s="20" t="n">
        <v>45758.54166666666</v>
      </c>
      <c r="BH102" s="20" t="n">
        <v>45758.625</v>
      </c>
    </row>
    <row r="103">
      <c r="A103" s="5">
        <f>A102+1</f>
        <v/>
      </c>
      <c r="B103" s="3">
        <f>-SUMIFS(df_extrato_zig!G:G,df_extrato_zig!E:E,Conciliacao!A103,df_extrato_zig!D:D,"Saque")-SUMIFS(df_extrato_zig!G:G,df_extrato_zig!E:E,Conciliacao!A103,df_extrato_zig!D:D,"Antecipação")</f>
        <v/>
      </c>
      <c r="C103" s="3">
        <f>SUMIFS(df_extrato_zig!E:E,df_extrato_zig!L:L,Conciliacao!A103,df_extrato_zig!F:F,"DINHEIRO")</f>
        <v/>
      </c>
      <c r="D103" s="3">
        <f>SUMIFS(view_parc_agrup!H:H,view_parc_agrup!G:G,Conciliacao!A103)</f>
        <v/>
      </c>
      <c r="E103" s="3">
        <f>SUMIFS(df_eventos!F:F,df_eventos!H:H,Conciliacao!A103)</f>
        <v/>
      </c>
      <c r="F103" s="3">
        <f>SUMIFS(df_mutuos!M:M,df_mutuos!B:B,Conciliacao!A103)</f>
        <v/>
      </c>
      <c r="G103" s="6">
        <f>SUMIFS(df_bloqueios_judiciais!G:G,df_bloqueios_judiciais!D:D,Conciliacao!A103,df_bloqueios_judiciais!G:G,"&gt;0")</f>
        <v/>
      </c>
      <c r="H103" s="7">
        <f>SUMIFS(df_extratos!I:I,df_extratos!F:F,"&gt;="&amp;Conciliacao!BE103,df_extratos!F:F,"&lt;"&amp;Conciliacao!BE103+1,df_extratos!G:G,"CREDITO")
+SUMIFS(df_extratos!I:I,df_extratos!F:F,"&gt;="&amp;Conciliacao!A103, df_extratos!F:F,"&lt;"&amp;Conciliacao!A103+1, df_extratos!G:G,"CREDITO")
+SUMIFS(df_extratos!I:I,df_extratos!F:F,"&gt;="&amp;Conciliacao!BF103,df_extratos!F:F,"&lt;"&amp;Conciliacao!BF103+1,df_extratos!G:G,"CREDITO")
+SUMIFS(df_extratos!I:I,df_extratos!F:F,"&gt;="&amp;Conciliacao!BG103,df_extratos!F:F,"&lt;"&amp;Conciliacao!BG103+1,df_extratos!G:G,"CREDITO")
+SUMIFS(df_extratos!I:I,df_extratos!F:F,"&gt;="&amp;Conciliacao!BH103,df_extratos!F:F,"&lt;"&amp;Conciliacao!BH103+1,df_extratos!G:G,"CREDITO")</f>
        <v/>
      </c>
      <c r="I103" s="9">
        <f>H103-SUM(B103:G103)</f>
        <v/>
      </c>
      <c r="J103" s="4">
        <f>SUMIFS(df_blueme_sem_parcelamento!E:E,df_blueme_sem_parcelamento!H:H,Conciliacao!A103)*(-1)</f>
        <v/>
      </c>
      <c r="K103" s="4">
        <f>SUMIFS(df_blueme_com_parcelamento!J:J,df_blueme_com_parcelamento!M:M,Conciliacao!A103)*(-1)</f>
        <v/>
      </c>
      <c r="L103" s="4">
        <f>SUMIFS(df_mutuos!N:N,df_mutuos!B:B,Conciliacao!A103)*(-1)</f>
        <v/>
      </c>
      <c r="M103" s="8">
        <f>SUMIFS(df_bloqueios_judiciais!G:G,df_bloqueios_judiciais!D:D,Conciliacao!A103,df_bloqueios_judiciais!G:G,"&lt;0")</f>
        <v/>
      </c>
      <c r="N103" s="10">
        <f>SUMIFS(df_extratos!I:I,df_extratos!F:F,"&gt;="&amp;Conciliacao!BE103,df_extratos!F:F,"&lt;"&amp;Conciliacao!BE103+1,df_extratos!G:G,"DEBITO")
+SUMIFS(df_extratos!I:I,df_extratos!F:F,"&gt;="&amp;Conciliacao!A103, df_extratos!F:F,"&lt;"&amp;Conciliacao!A103+1, df_extratos!G:G,"DEBITO")
+SUMIFS(df_extratos!I:I,df_extratos!F:F,"&gt;="&amp;Conciliacao!BF103,df_extratos!F:F,"&lt;"&amp;Conciliacao!BF103+1,df_extratos!G:G,"DEBITO")
+SUMIFS(df_extratos!I:I,df_extratos!F:F,"&gt;="&amp;Conciliacao!BG103,df_extratos!F:F,"&lt;"&amp;Conciliacao!BG103+1,df_extratos!G:G,"DEBITO")
+SUMIFS(df_extratos!I:I,df_extratos!F:F,"&gt;="&amp;Conciliacao!BH103,df_extratos!F:F,"&lt;"&amp;Conciliacao!BH103+1,df_extratos!G:G,"DEBITO")</f>
        <v/>
      </c>
      <c r="O103" s="11">
        <f>N103-SUM(J103:M103)</f>
        <v/>
      </c>
      <c r="P103" s="25">
        <f>SUMIFS(df_ajustes_conciliaco!D:D,df_ajustes_conciliaco!C:C,Conciliacao!A103)</f>
        <v/>
      </c>
      <c r="Q103" s="22">
        <f>O103+I103-P103</f>
        <v/>
      </c>
      <c r="BE103" s="20" t="n">
        <v>45759.5</v>
      </c>
      <c r="BF103" s="20" t="n">
        <v>45759.125</v>
      </c>
      <c r="BG103" s="20" t="n">
        <v>45759.54166666666</v>
      </c>
      <c r="BH103" s="20" t="n">
        <v>45759.625</v>
      </c>
    </row>
    <row r="104">
      <c r="A104" s="5">
        <f>A103+1</f>
        <v/>
      </c>
      <c r="B104" s="3">
        <f>-SUMIFS(df_extrato_zig!G:G,df_extrato_zig!E:E,Conciliacao!A104,df_extrato_zig!D:D,"Saque")-SUMIFS(df_extrato_zig!G:G,df_extrato_zig!E:E,Conciliacao!A104,df_extrato_zig!D:D,"Antecipação")</f>
        <v/>
      </c>
      <c r="C104" s="3">
        <f>SUMIFS(df_extrato_zig!E:E,df_extrato_zig!L:L,Conciliacao!A104,df_extrato_zig!F:F,"DINHEIRO")</f>
        <v/>
      </c>
      <c r="D104" s="3">
        <f>SUMIFS(view_parc_agrup!H:H,view_parc_agrup!G:G,Conciliacao!A104)</f>
        <v/>
      </c>
      <c r="E104" s="3">
        <f>SUMIFS(df_eventos!F:F,df_eventos!H:H,Conciliacao!A104)</f>
        <v/>
      </c>
      <c r="F104" s="3">
        <f>SUMIFS(df_mutuos!M:M,df_mutuos!B:B,Conciliacao!A104)</f>
        <v/>
      </c>
      <c r="G104" s="6">
        <f>SUMIFS(df_bloqueios_judiciais!G:G,df_bloqueios_judiciais!D:D,Conciliacao!A104,df_bloqueios_judiciais!G:G,"&gt;0")</f>
        <v/>
      </c>
      <c r="H104" s="7">
        <f>SUMIFS(df_extratos!I:I,df_extratos!F:F,"&gt;="&amp;Conciliacao!BE104,df_extratos!F:F,"&lt;"&amp;Conciliacao!BE104+1,df_extratos!G:G,"CREDITO")
+SUMIFS(df_extratos!I:I,df_extratos!F:F,"&gt;="&amp;Conciliacao!A104, df_extratos!F:F,"&lt;"&amp;Conciliacao!A104+1, df_extratos!G:G,"CREDITO")
+SUMIFS(df_extratos!I:I,df_extratos!F:F,"&gt;="&amp;Conciliacao!BF104,df_extratos!F:F,"&lt;"&amp;Conciliacao!BF104+1,df_extratos!G:G,"CREDITO")
+SUMIFS(df_extratos!I:I,df_extratos!F:F,"&gt;="&amp;Conciliacao!BG104,df_extratos!F:F,"&lt;"&amp;Conciliacao!BG104+1,df_extratos!G:G,"CREDITO")
+SUMIFS(df_extratos!I:I,df_extratos!F:F,"&gt;="&amp;Conciliacao!BH104,df_extratos!F:F,"&lt;"&amp;Conciliacao!BH104+1,df_extratos!G:G,"CREDITO")</f>
        <v/>
      </c>
      <c r="I104" s="9">
        <f>H104-SUM(B104:G104)</f>
        <v/>
      </c>
      <c r="J104" s="4">
        <f>SUMIFS(df_blueme_sem_parcelamento!E:E,df_blueme_sem_parcelamento!H:H,Conciliacao!A104)*(-1)</f>
        <v/>
      </c>
      <c r="K104" s="4">
        <f>SUMIFS(df_blueme_com_parcelamento!J:J,df_blueme_com_parcelamento!M:M,Conciliacao!A104)*(-1)</f>
        <v/>
      </c>
      <c r="L104" s="4">
        <f>SUMIFS(df_mutuos!N:N,df_mutuos!B:B,Conciliacao!A104)*(-1)</f>
        <v/>
      </c>
      <c r="M104" s="8">
        <f>SUMIFS(df_bloqueios_judiciais!G:G,df_bloqueios_judiciais!D:D,Conciliacao!A104,df_bloqueios_judiciais!G:G,"&lt;0")</f>
        <v/>
      </c>
      <c r="N104" s="10">
        <f>SUMIFS(df_extratos!I:I,df_extratos!F:F,"&gt;="&amp;Conciliacao!BE104,df_extratos!F:F,"&lt;"&amp;Conciliacao!BE104+1,df_extratos!G:G,"DEBITO")
+SUMIFS(df_extratos!I:I,df_extratos!F:F,"&gt;="&amp;Conciliacao!A104, df_extratos!F:F,"&lt;"&amp;Conciliacao!A104+1, df_extratos!G:G,"DEBITO")
+SUMIFS(df_extratos!I:I,df_extratos!F:F,"&gt;="&amp;Conciliacao!BF104,df_extratos!F:F,"&lt;"&amp;Conciliacao!BF104+1,df_extratos!G:G,"DEBITO")
+SUMIFS(df_extratos!I:I,df_extratos!F:F,"&gt;="&amp;Conciliacao!BG104,df_extratos!F:F,"&lt;"&amp;Conciliacao!BG104+1,df_extratos!G:G,"DEBITO")
+SUMIFS(df_extratos!I:I,df_extratos!F:F,"&gt;="&amp;Conciliacao!BH104,df_extratos!F:F,"&lt;"&amp;Conciliacao!BH104+1,df_extratos!G:G,"DEBITO")</f>
        <v/>
      </c>
      <c r="O104" s="11">
        <f>N104-SUM(J104:M104)</f>
        <v/>
      </c>
      <c r="P104" s="25">
        <f>SUMIFS(df_ajustes_conciliaco!D:D,df_ajustes_conciliaco!C:C,Conciliacao!A104)</f>
        <v/>
      </c>
      <c r="Q104" s="22">
        <f>O104+I104-P104</f>
        <v/>
      </c>
      <c r="BE104" s="20" t="n">
        <v>45760.5</v>
      </c>
      <c r="BF104" s="20" t="n">
        <v>45760.125</v>
      </c>
      <c r="BG104" s="20" t="n">
        <v>45760.54166666666</v>
      </c>
      <c r="BH104" s="20" t="n">
        <v>45760.625</v>
      </c>
    </row>
    <row r="105">
      <c r="A105" s="5">
        <f>A104+1</f>
        <v/>
      </c>
      <c r="B105" s="3">
        <f>-SUMIFS(df_extrato_zig!G:G,df_extrato_zig!E:E,Conciliacao!A105,df_extrato_zig!D:D,"Saque")-SUMIFS(df_extrato_zig!G:G,df_extrato_zig!E:E,Conciliacao!A105,df_extrato_zig!D:D,"Antecipação")</f>
        <v/>
      </c>
      <c r="C105" s="3">
        <f>SUMIFS(df_extrato_zig!E:E,df_extrato_zig!L:L,Conciliacao!A105,df_extrato_zig!F:F,"DINHEIRO")</f>
        <v/>
      </c>
      <c r="D105" s="3">
        <f>SUMIFS(view_parc_agrup!H:H,view_parc_agrup!G:G,Conciliacao!A105)</f>
        <v/>
      </c>
      <c r="E105" s="3">
        <f>SUMIFS(df_eventos!F:F,df_eventos!H:H,Conciliacao!A105)</f>
        <v/>
      </c>
      <c r="F105" s="3">
        <f>SUMIFS(df_mutuos!M:M,df_mutuos!B:B,Conciliacao!A105)</f>
        <v/>
      </c>
      <c r="G105" s="6">
        <f>SUMIFS(df_bloqueios_judiciais!G:G,df_bloqueios_judiciais!D:D,Conciliacao!A105,df_bloqueios_judiciais!G:G,"&gt;0")</f>
        <v/>
      </c>
      <c r="H105" s="7">
        <f>SUMIFS(df_extratos!I:I,df_extratos!F:F,"&gt;="&amp;Conciliacao!BE105,df_extratos!F:F,"&lt;"&amp;Conciliacao!BE105+1,df_extratos!G:G,"CREDITO")
+SUMIFS(df_extratos!I:I,df_extratos!F:F,"&gt;="&amp;Conciliacao!A105, df_extratos!F:F,"&lt;"&amp;Conciliacao!A105+1, df_extratos!G:G,"CREDITO")
+SUMIFS(df_extratos!I:I,df_extratos!F:F,"&gt;="&amp;Conciliacao!BF105,df_extratos!F:F,"&lt;"&amp;Conciliacao!BF105+1,df_extratos!G:G,"CREDITO")
+SUMIFS(df_extratos!I:I,df_extratos!F:F,"&gt;="&amp;Conciliacao!BG105,df_extratos!F:F,"&lt;"&amp;Conciliacao!BG105+1,df_extratos!G:G,"CREDITO")
+SUMIFS(df_extratos!I:I,df_extratos!F:F,"&gt;="&amp;Conciliacao!BH105,df_extratos!F:F,"&lt;"&amp;Conciliacao!BH105+1,df_extratos!G:G,"CREDITO")</f>
        <v/>
      </c>
      <c r="I105" s="9">
        <f>H105-SUM(B105:G105)</f>
        <v/>
      </c>
      <c r="J105" s="4">
        <f>SUMIFS(df_blueme_sem_parcelamento!E:E,df_blueme_sem_parcelamento!H:H,Conciliacao!A105)*(-1)</f>
        <v/>
      </c>
      <c r="K105" s="4">
        <f>SUMIFS(df_blueme_com_parcelamento!J:J,df_blueme_com_parcelamento!M:M,Conciliacao!A105)*(-1)</f>
        <v/>
      </c>
      <c r="L105" s="4">
        <f>SUMIFS(df_mutuos!N:N,df_mutuos!B:B,Conciliacao!A105)*(-1)</f>
        <v/>
      </c>
      <c r="M105" s="8">
        <f>SUMIFS(df_bloqueios_judiciais!G:G,df_bloqueios_judiciais!D:D,Conciliacao!A105,df_bloqueios_judiciais!G:G,"&lt;0")</f>
        <v/>
      </c>
      <c r="N105" s="10">
        <f>SUMIFS(df_extratos!I:I,df_extratos!F:F,"&gt;="&amp;Conciliacao!BE105,df_extratos!F:F,"&lt;"&amp;Conciliacao!BE105+1,df_extratos!G:G,"DEBITO")
+SUMIFS(df_extratos!I:I,df_extratos!F:F,"&gt;="&amp;Conciliacao!A105, df_extratos!F:F,"&lt;"&amp;Conciliacao!A105+1, df_extratos!G:G,"DEBITO")
+SUMIFS(df_extratos!I:I,df_extratos!F:F,"&gt;="&amp;Conciliacao!BF105,df_extratos!F:F,"&lt;"&amp;Conciliacao!BF105+1,df_extratos!G:G,"DEBITO")
+SUMIFS(df_extratos!I:I,df_extratos!F:F,"&gt;="&amp;Conciliacao!BG105,df_extratos!F:F,"&lt;"&amp;Conciliacao!BG105+1,df_extratos!G:G,"DEBITO")
+SUMIFS(df_extratos!I:I,df_extratos!F:F,"&gt;="&amp;Conciliacao!BH105,df_extratos!F:F,"&lt;"&amp;Conciliacao!BH105+1,df_extratos!G:G,"DEBITO")</f>
        <v/>
      </c>
      <c r="O105" s="11">
        <f>N105-SUM(J105:M105)</f>
        <v/>
      </c>
      <c r="P105" s="25">
        <f>SUMIFS(df_ajustes_conciliaco!D:D,df_ajustes_conciliaco!C:C,Conciliacao!A105)</f>
        <v/>
      </c>
      <c r="Q105" s="22">
        <f>O105+I105-P105</f>
        <v/>
      </c>
      <c r="BE105" s="20" t="n">
        <v>45761.5</v>
      </c>
      <c r="BF105" s="20" t="n">
        <v>45761.125</v>
      </c>
      <c r="BG105" s="20" t="n">
        <v>45761.54166666666</v>
      </c>
      <c r="BH105" s="20" t="n">
        <v>45761.625</v>
      </c>
    </row>
    <row r="106">
      <c r="A106" s="5">
        <f>A105+1</f>
        <v/>
      </c>
      <c r="B106" s="3">
        <f>-SUMIFS(df_extrato_zig!G:G,df_extrato_zig!E:E,Conciliacao!A106,df_extrato_zig!D:D,"Saque")-SUMIFS(df_extrato_zig!G:G,df_extrato_zig!E:E,Conciliacao!A106,df_extrato_zig!D:D,"Antecipação")</f>
        <v/>
      </c>
      <c r="C106" s="3">
        <f>SUMIFS(df_extrato_zig!E:E,df_extrato_zig!L:L,Conciliacao!A106,df_extrato_zig!F:F,"DINHEIRO")</f>
        <v/>
      </c>
      <c r="D106" s="3">
        <f>SUMIFS(view_parc_agrup!H:H,view_parc_agrup!G:G,Conciliacao!A106)</f>
        <v/>
      </c>
      <c r="E106" s="3">
        <f>SUMIFS(df_eventos!F:F,df_eventos!H:H,Conciliacao!A106)</f>
        <v/>
      </c>
      <c r="F106" s="3">
        <f>SUMIFS(df_mutuos!M:M,df_mutuos!B:B,Conciliacao!A106)</f>
        <v/>
      </c>
      <c r="G106" s="6">
        <f>SUMIFS(df_bloqueios_judiciais!G:G,df_bloqueios_judiciais!D:D,Conciliacao!A106,df_bloqueios_judiciais!G:G,"&gt;0")</f>
        <v/>
      </c>
      <c r="H106" s="7">
        <f>SUMIFS(df_extratos!I:I,df_extratos!F:F,"&gt;="&amp;Conciliacao!BE106,df_extratos!F:F,"&lt;"&amp;Conciliacao!BE106+1,df_extratos!G:G,"CREDITO")
+SUMIFS(df_extratos!I:I,df_extratos!F:F,"&gt;="&amp;Conciliacao!A106, df_extratos!F:F,"&lt;"&amp;Conciliacao!A106+1, df_extratos!G:G,"CREDITO")
+SUMIFS(df_extratos!I:I,df_extratos!F:F,"&gt;="&amp;Conciliacao!BF106,df_extratos!F:F,"&lt;"&amp;Conciliacao!BF106+1,df_extratos!G:G,"CREDITO")
+SUMIFS(df_extratos!I:I,df_extratos!F:F,"&gt;="&amp;Conciliacao!BG106,df_extratos!F:F,"&lt;"&amp;Conciliacao!BG106+1,df_extratos!G:G,"CREDITO")
+SUMIFS(df_extratos!I:I,df_extratos!F:F,"&gt;="&amp;Conciliacao!BH106,df_extratos!F:F,"&lt;"&amp;Conciliacao!BH106+1,df_extratos!G:G,"CREDITO")</f>
        <v/>
      </c>
      <c r="I106" s="9">
        <f>H106-SUM(B106:G106)</f>
        <v/>
      </c>
      <c r="J106" s="4">
        <f>SUMIFS(df_blueme_sem_parcelamento!E:E,df_blueme_sem_parcelamento!H:H,Conciliacao!A106)*(-1)</f>
        <v/>
      </c>
      <c r="K106" s="4">
        <f>SUMIFS(df_blueme_com_parcelamento!J:J,df_blueme_com_parcelamento!M:M,Conciliacao!A106)*(-1)</f>
        <v/>
      </c>
      <c r="L106" s="4">
        <f>SUMIFS(df_mutuos!N:N,df_mutuos!B:B,Conciliacao!A106)*(-1)</f>
        <v/>
      </c>
      <c r="M106" s="8">
        <f>SUMIFS(df_bloqueios_judiciais!G:G,df_bloqueios_judiciais!D:D,Conciliacao!A106,df_bloqueios_judiciais!G:G,"&lt;0")</f>
        <v/>
      </c>
      <c r="N106" s="10">
        <f>SUMIFS(df_extratos!I:I,df_extratos!F:F,"&gt;="&amp;Conciliacao!BE106,df_extratos!F:F,"&lt;"&amp;Conciliacao!BE106+1,df_extratos!G:G,"DEBITO")
+SUMIFS(df_extratos!I:I,df_extratos!F:F,"&gt;="&amp;Conciliacao!A106, df_extratos!F:F,"&lt;"&amp;Conciliacao!A106+1, df_extratos!G:G,"DEBITO")
+SUMIFS(df_extratos!I:I,df_extratos!F:F,"&gt;="&amp;Conciliacao!BF106,df_extratos!F:F,"&lt;"&amp;Conciliacao!BF106+1,df_extratos!G:G,"DEBITO")
+SUMIFS(df_extratos!I:I,df_extratos!F:F,"&gt;="&amp;Conciliacao!BG106,df_extratos!F:F,"&lt;"&amp;Conciliacao!BG106+1,df_extratos!G:G,"DEBITO")
+SUMIFS(df_extratos!I:I,df_extratos!F:F,"&gt;="&amp;Conciliacao!BH106,df_extratos!F:F,"&lt;"&amp;Conciliacao!BH106+1,df_extratos!G:G,"DEBITO")</f>
        <v/>
      </c>
      <c r="O106" s="11">
        <f>N106-SUM(J106:M106)</f>
        <v/>
      </c>
      <c r="P106" s="25">
        <f>SUMIFS(df_ajustes_conciliaco!D:D,df_ajustes_conciliaco!C:C,Conciliacao!A106)</f>
        <v/>
      </c>
      <c r="Q106" s="22">
        <f>O106+I106-P106</f>
        <v/>
      </c>
      <c r="BE106" s="20" t="n">
        <v>45762.5</v>
      </c>
      <c r="BF106" s="20" t="n">
        <v>45762.125</v>
      </c>
      <c r="BG106" s="20" t="n">
        <v>45762.54166666666</v>
      </c>
      <c r="BH106" s="20" t="n">
        <v>45762.625</v>
      </c>
    </row>
    <row r="107">
      <c r="A107" s="5">
        <f>A106+1</f>
        <v/>
      </c>
      <c r="B107" s="3">
        <f>-SUMIFS(df_extrato_zig!G:G,df_extrato_zig!E:E,Conciliacao!A107,df_extrato_zig!D:D,"Saque")-SUMIFS(df_extrato_zig!G:G,df_extrato_zig!E:E,Conciliacao!A107,df_extrato_zig!D:D,"Antecipação")</f>
        <v/>
      </c>
      <c r="C107" s="3">
        <f>SUMIFS(df_extrato_zig!E:E,df_extrato_zig!L:L,Conciliacao!A107,df_extrato_zig!F:F,"DINHEIRO")</f>
        <v/>
      </c>
      <c r="D107" s="3">
        <f>SUMIFS(view_parc_agrup!H:H,view_parc_agrup!G:G,Conciliacao!A107)</f>
        <v/>
      </c>
      <c r="E107" s="3">
        <f>SUMIFS(df_eventos!F:F,df_eventos!H:H,Conciliacao!A107)</f>
        <v/>
      </c>
      <c r="F107" s="3">
        <f>SUMIFS(df_mutuos!M:M,df_mutuos!B:B,Conciliacao!A107)</f>
        <v/>
      </c>
      <c r="G107" s="6">
        <f>SUMIFS(df_bloqueios_judiciais!G:G,df_bloqueios_judiciais!D:D,Conciliacao!A107,df_bloqueios_judiciais!G:G,"&gt;0")</f>
        <v/>
      </c>
      <c r="H107" s="7">
        <f>SUMIFS(df_extratos!I:I,df_extratos!F:F,"&gt;="&amp;Conciliacao!BE107,df_extratos!F:F,"&lt;"&amp;Conciliacao!BE107+1,df_extratos!G:G,"CREDITO")
+SUMIFS(df_extratos!I:I,df_extratos!F:F,"&gt;="&amp;Conciliacao!A107, df_extratos!F:F,"&lt;"&amp;Conciliacao!A107+1, df_extratos!G:G,"CREDITO")
+SUMIFS(df_extratos!I:I,df_extratos!F:F,"&gt;="&amp;Conciliacao!BF107,df_extratos!F:F,"&lt;"&amp;Conciliacao!BF107+1,df_extratos!G:G,"CREDITO")
+SUMIFS(df_extratos!I:I,df_extratos!F:F,"&gt;="&amp;Conciliacao!BG107,df_extratos!F:F,"&lt;"&amp;Conciliacao!BG107+1,df_extratos!G:G,"CREDITO")
+SUMIFS(df_extratos!I:I,df_extratos!F:F,"&gt;="&amp;Conciliacao!BH107,df_extratos!F:F,"&lt;"&amp;Conciliacao!BH107+1,df_extratos!G:G,"CREDITO")</f>
        <v/>
      </c>
      <c r="I107" s="9">
        <f>H107-SUM(B107:G107)</f>
        <v/>
      </c>
      <c r="J107" s="4">
        <f>SUMIFS(df_blueme_sem_parcelamento!E:E,df_blueme_sem_parcelamento!H:H,Conciliacao!A107)*(-1)</f>
        <v/>
      </c>
      <c r="K107" s="4">
        <f>SUMIFS(df_blueme_com_parcelamento!J:J,df_blueme_com_parcelamento!M:M,Conciliacao!A107)*(-1)</f>
        <v/>
      </c>
      <c r="L107" s="4">
        <f>SUMIFS(df_mutuos!N:N,df_mutuos!B:B,Conciliacao!A107)*(-1)</f>
        <v/>
      </c>
      <c r="M107" s="8">
        <f>SUMIFS(df_bloqueios_judiciais!G:G,df_bloqueios_judiciais!D:D,Conciliacao!A107,df_bloqueios_judiciais!G:G,"&lt;0")</f>
        <v/>
      </c>
      <c r="N107" s="10">
        <f>SUMIFS(df_extratos!I:I,df_extratos!F:F,"&gt;="&amp;Conciliacao!BE107,df_extratos!F:F,"&lt;"&amp;Conciliacao!BE107+1,df_extratos!G:G,"DEBITO")
+SUMIFS(df_extratos!I:I,df_extratos!F:F,"&gt;="&amp;Conciliacao!A107, df_extratos!F:F,"&lt;"&amp;Conciliacao!A107+1, df_extratos!G:G,"DEBITO")
+SUMIFS(df_extratos!I:I,df_extratos!F:F,"&gt;="&amp;Conciliacao!BF107,df_extratos!F:F,"&lt;"&amp;Conciliacao!BF107+1,df_extratos!G:G,"DEBITO")
+SUMIFS(df_extratos!I:I,df_extratos!F:F,"&gt;="&amp;Conciliacao!BG107,df_extratos!F:F,"&lt;"&amp;Conciliacao!BG107+1,df_extratos!G:G,"DEBITO")
+SUMIFS(df_extratos!I:I,df_extratos!F:F,"&gt;="&amp;Conciliacao!BH107,df_extratos!F:F,"&lt;"&amp;Conciliacao!BH107+1,df_extratos!G:G,"DEBITO")</f>
        <v/>
      </c>
      <c r="O107" s="11">
        <f>N107-SUM(J107:M107)</f>
        <v/>
      </c>
      <c r="P107" s="25">
        <f>SUMIFS(df_ajustes_conciliaco!D:D,df_ajustes_conciliaco!C:C,Conciliacao!A107)</f>
        <v/>
      </c>
      <c r="Q107" s="22">
        <f>O107+I107-P107</f>
        <v/>
      </c>
      <c r="BE107" s="20" t="n">
        <v>45763.5</v>
      </c>
      <c r="BF107" s="20" t="n">
        <v>45763.125</v>
      </c>
      <c r="BG107" s="20" t="n">
        <v>45763.54166666666</v>
      </c>
      <c r="BH107" s="20" t="n">
        <v>45763.625</v>
      </c>
    </row>
    <row r="108">
      <c r="A108" s="5">
        <f>A107+1</f>
        <v/>
      </c>
      <c r="B108" s="3">
        <f>-SUMIFS(df_extrato_zig!G:G,df_extrato_zig!E:E,Conciliacao!A108,df_extrato_zig!D:D,"Saque")-SUMIFS(df_extrato_zig!G:G,df_extrato_zig!E:E,Conciliacao!A108,df_extrato_zig!D:D,"Antecipação")</f>
        <v/>
      </c>
      <c r="C108" s="3">
        <f>SUMIFS(df_extrato_zig!E:E,df_extrato_zig!L:L,Conciliacao!A108,df_extrato_zig!F:F,"DINHEIRO")</f>
        <v/>
      </c>
      <c r="D108" s="3">
        <f>SUMIFS(view_parc_agrup!H:H,view_parc_agrup!G:G,Conciliacao!A108)</f>
        <v/>
      </c>
      <c r="E108" s="3">
        <f>SUMIFS(df_eventos!F:F,df_eventos!H:H,Conciliacao!A108)</f>
        <v/>
      </c>
      <c r="F108" s="3">
        <f>SUMIFS(df_mutuos!M:M,df_mutuos!B:B,Conciliacao!A108)</f>
        <v/>
      </c>
      <c r="G108" s="6">
        <f>SUMIFS(df_bloqueios_judiciais!G:G,df_bloqueios_judiciais!D:D,Conciliacao!A108,df_bloqueios_judiciais!G:G,"&gt;0")</f>
        <v/>
      </c>
      <c r="H108" s="7">
        <f>SUMIFS(df_extratos!I:I,df_extratos!F:F,"&gt;="&amp;Conciliacao!BE108,df_extratos!F:F,"&lt;"&amp;Conciliacao!BE108+1,df_extratos!G:G,"CREDITO")
+SUMIFS(df_extratos!I:I,df_extratos!F:F,"&gt;="&amp;Conciliacao!A108, df_extratos!F:F,"&lt;"&amp;Conciliacao!A108+1, df_extratos!G:G,"CREDITO")
+SUMIFS(df_extratos!I:I,df_extratos!F:F,"&gt;="&amp;Conciliacao!BF108,df_extratos!F:F,"&lt;"&amp;Conciliacao!BF108+1,df_extratos!G:G,"CREDITO")
+SUMIFS(df_extratos!I:I,df_extratos!F:F,"&gt;="&amp;Conciliacao!BG108,df_extratos!F:F,"&lt;"&amp;Conciliacao!BG108+1,df_extratos!G:G,"CREDITO")
+SUMIFS(df_extratos!I:I,df_extratos!F:F,"&gt;="&amp;Conciliacao!BH108,df_extratos!F:F,"&lt;"&amp;Conciliacao!BH108+1,df_extratos!G:G,"CREDITO")</f>
        <v/>
      </c>
      <c r="I108" s="9">
        <f>H108-SUM(B108:G108)</f>
        <v/>
      </c>
      <c r="J108" s="4">
        <f>SUMIFS(df_blueme_sem_parcelamento!E:E,df_blueme_sem_parcelamento!H:H,Conciliacao!A108)*(-1)</f>
        <v/>
      </c>
      <c r="K108" s="4">
        <f>SUMIFS(df_blueme_com_parcelamento!J:J,df_blueme_com_parcelamento!M:M,Conciliacao!A108)*(-1)</f>
        <v/>
      </c>
      <c r="L108" s="4">
        <f>SUMIFS(df_mutuos!N:N,df_mutuos!B:B,Conciliacao!A108)*(-1)</f>
        <v/>
      </c>
      <c r="M108" s="8">
        <f>SUMIFS(df_bloqueios_judiciais!G:G,df_bloqueios_judiciais!D:D,Conciliacao!A108,df_bloqueios_judiciais!G:G,"&lt;0")</f>
        <v/>
      </c>
      <c r="N108" s="10">
        <f>SUMIFS(df_extratos!I:I,df_extratos!F:F,"&gt;="&amp;Conciliacao!BE108,df_extratos!F:F,"&lt;"&amp;Conciliacao!BE108+1,df_extratos!G:G,"DEBITO")
+SUMIFS(df_extratos!I:I,df_extratos!F:F,"&gt;="&amp;Conciliacao!A108, df_extratos!F:F,"&lt;"&amp;Conciliacao!A108+1, df_extratos!G:G,"DEBITO")
+SUMIFS(df_extratos!I:I,df_extratos!F:F,"&gt;="&amp;Conciliacao!BF108,df_extratos!F:F,"&lt;"&amp;Conciliacao!BF108+1,df_extratos!G:G,"DEBITO")
+SUMIFS(df_extratos!I:I,df_extratos!F:F,"&gt;="&amp;Conciliacao!BG108,df_extratos!F:F,"&lt;"&amp;Conciliacao!BG108+1,df_extratos!G:G,"DEBITO")
+SUMIFS(df_extratos!I:I,df_extratos!F:F,"&gt;="&amp;Conciliacao!BH108,df_extratos!F:F,"&lt;"&amp;Conciliacao!BH108+1,df_extratos!G:G,"DEBITO")</f>
        <v/>
      </c>
      <c r="O108" s="11">
        <f>N108-SUM(J108:M108)</f>
        <v/>
      </c>
      <c r="P108" s="25">
        <f>SUMIFS(df_ajustes_conciliaco!D:D,df_ajustes_conciliaco!C:C,Conciliacao!A108)</f>
        <v/>
      </c>
      <c r="Q108" s="22">
        <f>O108+I108-P108</f>
        <v/>
      </c>
      <c r="BE108" s="20" t="n">
        <v>45764.5</v>
      </c>
      <c r="BF108" s="20" t="n">
        <v>45764.125</v>
      </c>
      <c r="BG108" s="20" t="n">
        <v>45764.54166666666</v>
      </c>
      <c r="BH108" s="20" t="n">
        <v>45764.625</v>
      </c>
    </row>
    <row r="109">
      <c r="A109" s="5">
        <f>A108+1</f>
        <v/>
      </c>
      <c r="B109" s="3">
        <f>-SUMIFS(df_extrato_zig!G:G,df_extrato_zig!E:E,Conciliacao!A109,df_extrato_zig!D:D,"Saque")-SUMIFS(df_extrato_zig!G:G,df_extrato_zig!E:E,Conciliacao!A109,df_extrato_zig!D:D,"Antecipação")</f>
        <v/>
      </c>
      <c r="C109" s="3">
        <f>SUMIFS(df_extrato_zig!E:E,df_extrato_zig!L:L,Conciliacao!A109,df_extrato_zig!F:F,"DINHEIRO")</f>
        <v/>
      </c>
      <c r="D109" s="3">
        <f>SUMIFS(view_parc_agrup!H:H,view_parc_agrup!G:G,Conciliacao!A109)</f>
        <v/>
      </c>
      <c r="E109" s="3">
        <f>SUMIFS(df_eventos!F:F,df_eventos!H:H,Conciliacao!A109)</f>
        <v/>
      </c>
      <c r="F109" s="3">
        <f>SUMIFS(df_mutuos!M:M,df_mutuos!B:B,Conciliacao!A109)</f>
        <v/>
      </c>
      <c r="G109" s="6">
        <f>SUMIFS(df_bloqueios_judiciais!G:G,df_bloqueios_judiciais!D:D,Conciliacao!A109,df_bloqueios_judiciais!G:G,"&gt;0")</f>
        <v/>
      </c>
      <c r="H109" s="7">
        <f>SUMIFS(df_extratos!I:I,df_extratos!F:F,"&gt;="&amp;Conciliacao!BE109,df_extratos!F:F,"&lt;"&amp;Conciliacao!BE109+1,df_extratos!G:G,"CREDITO")
+SUMIFS(df_extratos!I:I,df_extratos!F:F,"&gt;="&amp;Conciliacao!A109, df_extratos!F:F,"&lt;"&amp;Conciliacao!A109+1, df_extratos!G:G,"CREDITO")
+SUMIFS(df_extratos!I:I,df_extratos!F:F,"&gt;="&amp;Conciliacao!BF109,df_extratos!F:F,"&lt;"&amp;Conciliacao!BF109+1,df_extratos!G:G,"CREDITO")
+SUMIFS(df_extratos!I:I,df_extratos!F:F,"&gt;="&amp;Conciliacao!BG109,df_extratos!F:F,"&lt;"&amp;Conciliacao!BG109+1,df_extratos!G:G,"CREDITO")
+SUMIFS(df_extratos!I:I,df_extratos!F:F,"&gt;="&amp;Conciliacao!BH109,df_extratos!F:F,"&lt;"&amp;Conciliacao!BH109+1,df_extratos!G:G,"CREDITO")</f>
        <v/>
      </c>
      <c r="I109" s="9">
        <f>H109-SUM(B109:G109)</f>
        <v/>
      </c>
      <c r="J109" s="4">
        <f>SUMIFS(df_blueme_sem_parcelamento!E:E,df_blueme_sem_parcelamento!H:H,Conciliacao!A109)*(-1)</f>
        <v/>
      </c>
      <c r="K109" s="4">
        <f>SUMIFS(df_blueme_com_parcelamento!J:J,df_blueme_com_parcelamento!M:M,Conciliacao!A109)*(-1)</f>
        <v/>
      </c>
      <c r="L109" s="4">
        <f>SUMIFS(df_mutuos!N:N,df_mutuos!B:B,Conciliacao!A109)*(-1)</f>
        <v/>
      </c>
      <c r="M109" s="8">
        <f>SUMIFS(df_bloqueios_judiciais!G:G,df_bloqueios_judiciais!D:D,Conciliacao!A109,df_bloqueios_judiciais!G:G,"&lt;0")</f>
        <v/>
      </c>
      <c r="N109" s="10">
        <f>SUMIFS(df_extratos!I:I,df_extratos!F:F,"&gt;="&amp;Conciliacao!BE109,df_extratos!F:F,"&lt;"&amp;Conciliacao!BE109+1,df_extratos!G:G,"DEBITO")
+SUMIFS(df_extratos!I:I,df_extratos!F:F,"&gt;="&amp;Conciliacao!A109, df_extratos!F:F,"&lt;"&amp;Conciliacao!A109+1, df_extratos!G:G,"DEBITO")
+SUMIFS(df_extratos!I:I,df_extratos!F:F,"&gt;="&amp;Conciliacao!BF109,df_extratos!F:F,"&lt;"&amp;Conciliacao!BF109+1,df_extratos!G:G,"DEBITO")
+SUMIFS(df_extratos!I:I,df_extratos!F:F,"&gt;="&amp;Conciliacao!BG109,df_extratos!F:F,"&lt;"&amp;Conciliacao!BG109+1,df_extratos!G:G,"DEBITO")
+SUMIFS(df_extratos!I:I,df_extratos!F:F,"&gt;="&amp;Conciliacao!BH109,df_extratos!F:F,"&lt;"&amp;Conciliacao!BH109+1,df_extratos!G:G,"DEBITO")</f>
        <v/>
      </c>
      <c r="O109" s="11">
        <f>N109-SUM(J109:M109)</f>
        <v/>
      </c>
      <c r="P109" s="25">
        <f>SUMIFS(df_ajustes_conciliaco!D:D,df_ajustes_conciliaco!C:C,Conciliacao!A109)</f>
        <v/>
      </c>
      <c r="Q109" s="22">
        <f>O109+I109-P109</f>
        <v/>
      </c>
      <c r="BE109" s="20" t="n">
        <v>45765.5</v>
      </c>
      <c r="BF109" s="20" t="n">
        <v>45765.125</v>
      </c>
      <c r="BG109" s="20" t="n">
        <v>45765.54166666666</v>
      </c>
      <c r="BH109" s="20" t="n">
        <v>45765.625</v>
      </c>
    </row>
    <row r="110">
      <c r="A110" s="5">
        <f>A109+1</f>
        <v/>
      </c>
      <c r="B110" s="3">
        <f>-SUMIFS(df_extrato_zig!G:G,df_extrato_zig!E:E,Conciliacao!A110,df_extrato_zig!D:D,"Saque")-SUMIFS(df_extrato_zig!G:G,df_extrato_zig!E:E,Conciliacao!A110,df_extrato_zig!D:D,"Antecipação")</f>
        <v/>
      </c>
      <c r="C110" s="3">
        <f>SUMIFS(df_extrato_zig!E:E,df_extrato_zig!L:L,Conciliacao!A110,df_extrato_zig!F:F,"DINHEIRO")</f>
        <v/>
      </c>
      <c r="D110" s="3">
        <f>SUMIFS(view_parc_agrup!H:H,view_parc_agrup!G:G,Conciliacao!A110)</f>
        <v/>
      </c>
      <c r="E110" s="3">
        <f>SUMIFS(df_eventos!F:F,df_eventos!H:H,Conciliacao!A110)</f>
        <v/>
      </c>
      <c r="F110" s="3">
        <f>SUMIFS(df_mutuos!M:M,df_mutuos!B:B,Conciliacao!A110)</f>
        <v/>
      </c>
      <c r="G110" s="6">
        <f>SUMIFS(df_bloqueios_judiciais!G:G,df_bloqueios_judiciais!D:D,Conciliacao!A110,df_bloqueios_judiciais!G:G,"&gt;0")</f>
        <v/>
      </c>
      <c r="H110" s="7">
        <f>SUMIFS(df_extratos!I:I,df_extratos!F:F,"&gt;="&amp;Conciliacao!BE110,df_extratos!F:F,"&lt;"&amp;Conciliacao!BE110+1,df_extratos!G:G,"CREDITO")
+SUMIFS(df_extratos!I:I,df_extratos!F:F,"&gt;="&amp;Conciliacao!A110, df_extratos!F:F,"&lt;"&amp;Conciliacao!A110+1, df_extratos!G:G,"CREDITO")
+SUMIFS(df_extratos!I:I,df_extratos!F:F,"&gt;="&amp;Conciliacao!BF110,df_extratos!F:F,"&lt;"&amp;Conciliacao!BF110+1,df_extratos!G:G,"CREDITO")
+SUMIFS(df_extratos!I:I,df_extratos!F:F,"&gt;="&amp;Conciliacao!BG110,df_extratos!F:F,"&lt;"&amp;Conciliacao!BG110+1,df_extratos!G:G,"CREDITO")
+SUMIFS(df_extratos!I:I,df_extratos!F:F,"&gt;="&amp;Conciliacao!BH110,df_extratos!F:F,"&lt;"&amp;Conciliacao!BH110+1,df_extratos!G:G,"CREDITO")</f>
        <v/>
      </c>
      <c r="I110" s="9">
        <f>H110-SUM(B110:G110)</f>
        <v/>
      </c>
      <c r="J110" s="4">
        <f>SUMIFS(df_blueme_sem_parcelamento!E:E,df_blueme_sem_parcelamento!H:H,Conciliacao!A110)*(-1)</f>
        <v/>
      </c>
      <c r="K110" s="4">
        <f>SUMIFS(df_blueme_com_parcelamento!J:J,df_blueme_com_parcelamento!M:M,Conciliacao!A110)*(-1)</f>
        <v/>
      </c>
      <c r="L110" s="4">
        <f>SUMIFS(df_mutuos!N:N,df_mutuos!B:B,Conciliacao!A110)*(-1)</f>
        <v/>
      </c>
      <c r="M110" s="8">
        <f>SUMIFS(df_bloqueios_judiciais!G:G,df_bloqueios_judiciais!D:D,Conciliacao!A110,df_bloqueios_judiciais!G:G,"&lt;0")</f>
        <v/>
      </c>
      <c r="N110" s="10">
        <f>SUMIFS(df_extratos!I:I,df_extratos!F:F,"&gt;="&amp;Conciliacao!BE110,df_extratos!F:F,"&lt;"&amp;Conciliacao!BE110+1,df_extratos!G:G,"DEBITO")
+SUMIFS(df_extratos!I:I,df_extratos!F:F,"&gt;="&amp;Conciliacao!A110, df_extratos!F:F,"&lt;"&amp;Conciliacao!A110+1, df_extratos!G:G,"DEBITO")
+SUMIFS(df_extratos!I:I,df_extratos!F:F,"&gt;="&amp;Conciliacao!BF110,df_extratos!F:F,"&lt;"&amp;Conciliacao!BF110+1,df_extratos!G:G,"DEBITO")
+SUMIFS(df_extratos!I:I,df_extratos!F:F,"&gt;="&amp;Conciliacao!BG110,df_extratos!F:F,"&lt;"&amp;Conciliacao!BG110+1,df_extratos!G:G,"DEBITO")
+SUMIFS(df_extratos!I:I,df_extratos!F:F,"&gt;="&amp;Conciliacao!BH110,df_extratos!F:F,"&lt;"&amp;Conciliacao!BH110+1,df_extratos!G:G,"DEBITO")</f>
        <v/>
      </c>
      <c r="O110" s="11">
        <f>N110-SUM(J110:M110)</f>
        <v/>
      </c>
      <c r="P110" s="25">
        <f>SUMIFS(df_ajustes_conciliaco!D:D,df_ajustes_conciliaco!C:C,Conciliacao!A110)</f>
        <v/>
      </c>
      <c r="Q110" s="22">
        <f>O110+I110-P110</f>
        <v/>
      </c>
      <c r="BE110" s="20" t="n">
        <v>45766.5</v>
      </c>
      <c r="BF110" s="20" t="n">
        <v>45766.125</v>
      </c>
      <c r="BG110" s="20" t="n">
        <v>45766.54166666666</v>
      </c>
      <c r="BH110" s="20" t="n">
        <v>45766.625</v>
      </c>
    </row>
    <row r="111">
      <c r="A111" s="5">
        <f>A110+1</f>
        <v/>
      </c>
      <c r="B111" s="3">
        <f>-SUMIFS(df_extrato_zig!G:G,df_extrato_zig!E:E,Conciliacao!A111,df_extrato_zig!D:D,"Saque")-SUMIFS(df_extrato_zig!G:G,df_extrato_zig!E:E,Conciliacao!A111,df_extrato_zig!D:D,"Antecipação")</f>
        <v/>
      </c>
      <c r="C111" s="3">
        <f>SUMIFS(df_extrato_zig!E:E,df_extrato_zig!L:L,Conciliacao!A111,df_extrato_zig!F:F,"DINHEIRO")</f>
        <v/>
      </c>
      <c r="D111" s="3">
        <f>SUMIFS(view_parc_agrup!H:H,view_parc_agrup!G:G,Conciliacao!A111)</f>
        <v/>
      </c>
      <c r="E111" s="3">
        <f>SUMIFS(df_eventos!F:F,df_eventos!H:H,Conciliacao!A111)</f>
        <v/>
      </c>
      <c r="F111" s="3">
        <f>SUMIFS(df_mutuos!M:M,df_mutuos!B:B,Conciliacao!A111)</f>
        <v/>
      </c>
      <c r="G111" s="6">
        <f>SUMIFS(df_bloqueios_judiciais!G:G,df_bloqueios_judiciais!D:D,Conciliacao!A111,df_bloqueios_judiciais!G:G,"&gt;0")</f>
        <v/>
      </c>
      <c r="H111" s="7">
        <f>SUMIFS(df_extratos!I:I,df_extratos!F:F,"&gt;="&amp;Conciliacao!BE111,df_extratos!F:F,"&lt;"&amp;Conciliacao!BE111+1,df_extratos!G:G,"CREDITO")
+SUMIFS(df_extratos!I:I,df_extratos!F:F,"&gt;="&amp;Conciliacao!A111, df_extratos!F:F,"&lt;"&amp;Conciliacao!A111+1, df_extratos!G:G,"CREDITO")
+SUMIFS(df_extratos!I:I,df_extratos!F:F,"&gt;="&amp;Conciliacao!BF111,df_extratos!F:F,"&lt;"&amp;Conciliacao!BF111+1,df_extratos!G:G,"CREDITO")
+SUMIFS(df_extratos!I:I,df_extratos!F:F,"&gt;="&amp;Conciliacao!BG111,df_extratos!F:F,"&lt;"&amp;Conciliacao!BG111+1,df_extratos!G:G,"CREDITO")
+SUMIFS(df_extratos!I:I,df_extratos!F:F,"&gt;="&amp;Conciliacao!BH111,df_extratos!F:F,"&lt;"&amp;Conciliacao!BH111+1,df_extratos!G:G,"CREDITO")</f>
        <v/>
      </c>
      <c r="I111" s="9">
        <f>H111-SUM(B111:G111)</f>
        <v/>
      </c>
      <c r="J111" s="4">
        <f>SUMIFS(df_blueme_sem_parcelamento!E:E,df_blueme_sem_parcelamento!H:H,Conciliacao!A111)*(-1)</f>
        <v/>
      </c>
      <c r="K111" s="4">
        <f>SUMIFS(df_blueme_com_parcelamento!J:J,df_blueme_com_parcelamento!M:M,Conciliacao!A111)*(-1)</f>
        <v/>
      </c>
      <c r="L111" s="4">
        <f>SUMIFS(df_mutuos!N:N,df_mutuos!B:B,Conciliacao!A111)*(-1)</f>
        <v/>
      </c>
      <c r="M111" s="8">
        <f>SUMIFS(df_bloqueios_judiciais!G:G,df_bloqueios_judiciais!D:D,Conciliacao!A111,df_bloqueios_judiciais!G:G,"&lt;0")</f>
        <v/>
      </c>
      <c r="N111" s="10">
        <f>SUMIFS(df_extratos!I:I,df_extratos!F:F,"&gt;="&amp;Conciliacao!BE111,df_extratos!F:F,"&lt;"&amp;Conciliacao!BE111+1,df_extratos!G:G,"DEBITO")
+SUMIFS(df_extratos!I:I,df_extratos!F:F,"&gt;="&amp;Conciliacao!A111, df_extratos!F:F,"&lt;"&amp;Conciliacao!A111+1, df_extratos!G:G,"DEBITO")
+SUMIFS(df_extratos!I:I,df_extratos!F:F,"&gt;="&amp;Conciliacao!BF111,df_extratos!F:F,"&lt;"&amp;Conciliacao!BF111+1,df_extratos!G:G,"DEBITO")
+SUMIFS(df_extratos!I:I,df_extratos!F:F,"&gt;="&amp;Conciliacao!BG111,df_extratos!F:F,"&lt;"&amp;Conciliacao!BG111+1,df_extratos!G:G,"DEBITO")
+SUMIFS(df_extratos!I:I,df_extratos!F:F,"&gt;="&amp;Conciliacao!BH111,df_extratos!F:F,"&lt;"&amp;Conciliacao!BH111+1,df_extratos!G:G,"DEBITO")</f>
        <v/>
      </c>
      <c r="O111" s="11">
        <f>N111-SUM(J111:M111)</f>
        <v/>
      </c>
      <c r="P111" s="25">
        <f>SUMIFS(df_ajustes_conciliaco!D:D,df_ajustes_conciliaco!C:C,Conciliacao!A111)</f>
        <v/>
      </c>
      <c r="Q111" s="22">
        <f>O111+I111-P111</f>
        <v/>
      </c>
      <c r="BE111" s="20" t="n">
        <v>45767.5</v>
      </c>
      <c r="BF111" s="20" t="n">
        <v>45767.125</v>
      </c>
      <c r="BG111" s="20" t="n">
        <v>45767.54166666666</v>
      </c>
      <c r="BH111" s="20" t="n">
        <v>45767.625</v>
      </c>
    </row>
    <row r="112">
      <c r="A112" s="5">
        <f>A111+1</f>
        <v/>
      </c>
      <c r="B112" s="3">
        <f>-SUMIFS(df_extrato_zig!G:G,df_extrato_zig!E:E,Conciliacao!A112,df_extrato_zig!D:D,"Saque")-SUMIFS(df_extrato_zig!G:G,df_extrato_zig!E:E,Conciliacao!A112,df_extrato_zig!D:D,"Antecipação")</f>
        <v/>
      </c>
      <c r="C112" s="3">
        <f>SUMIFS(df_extrato_zig!E:E,df_extrato_zig!L:L,Conciliacao!A112,df_extrato_zig!F:F,"DINHEIRO")</f>
        <v/>
      </c>
      <c r="D112" s="3">
        <f>SUMIFS(view_parc_agrup!H:H,view_parc_agrup!G:G,Conciliacao!A112)</f>
        <v/>
      </c>
      <c r="E112" s="3">
        <f>SUMIFS(df_eventos!F:F,df_eventos!H:H,Conciliacao!A112)</f>
        <v/>
      </c>
      <c r="F112" s="3">
        <f>SUMIFS(df_mutuos!M:M,df_mutuos!B:B,Conciliacao!A112)</f>
        <v/>
      </c>
      <c r="G112" s="6">
        <f>SUMIFS(df_bloqueios_judiciais!G:G,df_bloqueios_judiciais!D:D,Conciliacao!A112,df_bloqueios_judiciais!G:G,"&gt;0")</f>
        <v/>
      </c>
      <c r="H112" s="7">
        <f>SUMIFS(df_extratos!I:I,df_extratos!F:F,"&gt;="&amp;Conciliacao!BE112,df_extratos!F:F,"&lt;"&amp;Conciliacao!BE112+1,df_extratos!G:G,"CREDITO")
+SUMIFS(df_extratos!I:I,df_extratos!F:F,"&gt;="&amp;Conciliacao!A112, df_extratos!F:F,"&lt;"&amp;Conciliacao!A112+1, df_extratos!G:G,"CREDITO")
+SUMIFS(df_extratos!I:I,df_extratos!F:F,"&gt;="&amp;Conciliacao!BF112,df_extratos!F:F,"&lt;"&amp;Conciliacao!BF112+1,df_extratos!G:G,"CREDITO")
+SUMIFS(df_extratos!I:I,df_extratos!F:F,"&gt;="&amp;Conciliacao!BG112,df_extratos!F:F,"&lt;"&amp;Conciliacao!BG112+1,df_extratos!G:G,"CREDITO")
+SUMIFS(df_extratos!I:I,df_extratos!F:F,"&gt;="&amp;Conciliacao!BH112,df_extratos!F:F,"&lt;"&amp;Conciliacao!BH112+1,df_extratos!G:G,"CREDITO")</f>
        <v/>
      </c>
      <c r="I112" s="9">
        <f>H112-SUM(B112:G112)</f>
        <v/>
      </c>
      <c r="J112" s="4">
        <f>SUMIFS(df_blueme_sem_parcelamento!E:E,df_blueme_sem_parcelamento!H:H,Conciliacao!A112)*(-1)</f>
        <v/>
      </c>
      <c r="K112" s="4">
        <f>SUMIFS(df_blueme_com_parcelamento!J:J,df_blueme_com_parcelamento!M:M,Conciliacao!A112)*(-1)</f>
        <v/>
      </c>
      <c r="L112" s="4">
        <f>SUMIFS(df_mutuos!N:N,df_mutuos!B:B,Conciliacao!A112)*(-1)</f>
        <v/>
      </c>
      <c r="M112" s="8">
        <f>SUMIFS(df_bloqueios_judiciais!G:G,df_bloqueios_judiciais!D:D,Conciliacao!A112,df_bloqueios_judiciais!G:G,"&lt;0")</f>
        <v/>
      </c>
      <c r="N112" s="10">
        <f>SUMIFS(df_extratos!I:I,df_extratos!F:F,"&gt;="&amp;Conciliacao!BE112,df_extratos!F:F,"&lt;"&amp;Conciliacao!BE112+1,df_extratos!G:G,"DEBITO")
+SUMIFS(df_extratos!I:I,df_extratos!F:F,"&gt;="&amp;Conciliacao!A112, df_extratos!F:F,"&lt;"&amp;Conciliacao!A112+1, df_extratos!G:G,"DEBITO")
+SUMIFS(df_extratos!I:I,df_extratos!F:F,"&gt;="&amp;Conciliacao!BF112,df_extratos!F:F,"&lt;"&amp;Conciliacao!BF112+1,df_extratos!G:G,"DEBITO")
+SUMIFS(df_extratos!I:I,df_extratos!F:F,"&gt;="&amp;Conciliacao!BG112,df_extratos!F:F,"&lt;"&amp;Conciliacao!BG112+1,df_extratos!G:G,"DEBITO")
+SUMIFS(df_extratos!I:I,df_extratos!F:F,"&gt;="&amp;Conciliacao!BH112,df_extratos!F:F,"&lt;"&amp;Conciliacao!BH112+1,df_extratos!G:G,"DEBITO")</f>
        <v/>
      </c>
      <c r="O112" s="11">
        <f>N112-SUM(J112:M112)</f>
        <v/>
      </c>
      <c r="P112" s="25">
        <f>SUMIFS(df_ajustes_conciliaco!D:D,df_ajustes_conciliaco!C:C,Conciliacao!A112)</f>
        <v/>
      </c>
      <c r="Q112" s="22">
        <f>O112+I112-P112</f>
        <v/>
      </c>
      <c r="BE112" s="20" t="n">
        <v>45768.5</v>
      </c>
      <c r="BF112" s="20" t="n">
        <v>45768.125</v>
      </c>
      <c r="BG112" s="20" t="n">
        <v>45768.54166666666</v>
      </c>
      <c r="BH112" s="20" t="n">
        <v>45768.625</v>
      </c>
    </row>
    <row r="113">
      <c r="A113" s="5">
        <f>A112+1</f>
        <v/>
      </c>
      <c r="B113" s="3">
        <f>-SUMIFS(df_extrato_zig!G:G,df_extrato_zig!E:E,Conciliacao!A113,df_extrato_zig!D:D,"Saque")-SUMIFS(df_extrato_zig!G:G,df_extrato_zig!E:E,Conciliacao!A113,df_extrato_zig!D:D,"Antecipação")</f>
        <v/>
      </c>
      <c r="C113" s="3">
        <f>SUMIFS(df_extrato_zig!E:E,df_extrato_zig!L:L,Conciliacao!A113,df_extrato_zig!F:F,"DINHEIRO")</f>
        <v/>
      </c>
      <c r="D113" s="3">
        <f>SUMIFS(view_parc_agrup!H:H,view_parc_agrup!G:G,Conciliacao!A113)</f>
        <v/>
      </c>
      <c r="E113" s="3">
        <f>SUMIFS(df_eventos!F:F,df_eventos!H:H,Conciliacao!A113)</f>
        <v/>
      </c>
      <c r="F113" s="3">
        <f>SUMIFS(df_mutuos!M:M,df_mutuos!B:B,Conciliacao!A113)</f>
        <v/>
      </c>
      <c r="G113" s="6">
        <f>SUMIFS(df_bloqueios_judiciais!G:G,df_bloqueios_judiciais!D:D,Conciliacao!A113,df_bloqueios_judiciais!G:G,"&gt;0")</f>
        <v/>
      </c>
      <c r="H113" s="7">
        <f>SUMIFS(df_extratos!I:I,df_extratos!F:F,"&gt;="&amp;Conciliacao!BE113,df_extratos!F:F,"&lt;"&amp;Conciliacao!BE113+1,df_extratos!G:G,"CREDITO")
+SUMIFS(df_extratos!I:I,df_extratos!F:F,"&gt;="&amp;Conciliacao!A113, df_extratos!F:F,"&lt;"&amp;Conciliacao!A113+1, df_extratos!G:G,"CREDITO")
+SUMIFS(df_extratos!I:I,df_extratos!F:F,"&gt;="&amp;Conciliacao!BF113,df_extratos!F:F,"&lt;"&amp;Conciliacao!BF113+1,df_extratos!G:G,"CREDITO")
+SUMIFS(df_extratos!I:I,df_extratos!F:F,"&gt;="&amp;Conciliacao!BG113,df_extratos!F:F,"&lt;"&amp;Conciliacao!BG113+1,df_extratos!G:G,"CREDITO")
+SUMIFS(df_extratos!I:I,df_extratos!F:F,"&gt;="&amp;Conciliacao!BH113,df_extratos!F:F,"&lt;"&amp;Conciliacao!BH113+1,df_extratos!G:G,"CREDITO")</f>
        <v/>
      </c>
      <c r="I113" s="9">
        <f>H113-SUM(B113:G113)</f>
        <v/>
      </c>
      <c r="J113" s="4">
        <f>SUMIFS(df_blueme_sem_parcelamento!E:E,df_blueme_sem_parcelamento!H:H,Conciliacao!A113)*(-1)</f>
        <v/>
      </c>
      <c r="K113" s="4">
        <f>SUMIFS(df_blueme_com_parcelamento!J:J,df_blueme_com_parcelamento!M:M,Conciliacao!A113)*(-1)</f>
        <v/>
      </c>
      <c r="L113" s="4">
        <f>SUMIFS(df_mutuos!N:N,df_mutuos!B:B,Conciliacao!A113)*(-1)</f>
        <v/>
      </c>
      <c r="M113" s="8">
        <f>SUMIFS(df_bloqueios_judiciais!G:G,df_bloqueios_judiciais!D:D,Conciliacao!A113,df_bloqueios_judiciais!G:G,"&lt;0")</f>
        <v/>
      </c>
      <c r="N113" s="10">
        <f>SUMIFS(df_extratos!I:I,df_extratos!F:F,"&gt;="&amp;Conciliacao!BE113,df_extratos!F:F,"&lt;"&amp;Conciliacao!BE113+1,df_extratos!G:G,"DEBITO")
+SUMIFS(df_extratos!I:I,df_extratos!F:F,"&gt;="&amp;Conciliacao!A113, df_extratos!F:F,"&lt;"&amp;Conciliacao!A113+1, df_extratos!G:G,"DEBITO")
+SUMIFS(df_extratos!I:I,df_extratos!F:F,"&gt;="&amp;Conciliacao!BF113,df_extratos!F:F,"&lt;"&amp;Conciliacao!BF113+1,df_extratos!G:G,"DEBITO")
+SUMIFS(df_extratos!I:I,df_extratos!F:F,"&gt;="&amp;Conciliacao!BG113,df_extratos!F:F,"&lt;"&amp;Conciliacao!BG113+1,df_extratos!G:G,"DEBITO")
+SUMIFS(df_extratos!I:I,df_extratos!F:F,"&gt;="&amp;Conciliacao!BH113,df_extratos!F:F,"&lt;"&amp;Conciliacao!BH113+1,df_extratos!G:G,"DEBITO")</f>
        <v/>
      </c>
      <c r="O113" s="11">
        <f>N113-SUM(J113:M113)</f>
        <v/>
      </c>
      <c r="P113" s="25">
        <f>SUMIFS(df_ajustes_conciliaco!D:D,df_ajustes_conciliaco!C:C,Conciliacao!A113)</f>
        <v/>
      </c>
      <c r="Q113" s="22">
        <f>O113+I113-P113</f>
        <v/>
      </c>
      <c r="BE113" s="20" t="n">
        <v>45769.5</v>
      </c>
      <c r="BF113" s="20" t="n">
        <v>45769.125</v>
      </c>
      <c r="BG113" s="20" t="n">
        <v>45769.54166666666</v>
      </c>
      <c r="BH113" s="20" t="n">
        <v>45769.625</v>
      </c>
    </row>
    <row r="114">
      <c r="A114" s="5">
        <f>A113+1</f>
        <v/>
      </c>
      <c r="B114" s="3">
        <f>-SUMIFS(df_extrato_zig!G:G,df_extrato_zig!E:E,Conciliacao!A114,df_extrato_zig!D:D,"Saque")-SUMIFS(df_extrato_zig!G:G,df_extrato_zig!E:E,Conciliacao!A114,df_extrato_zig!D:D,"Antecipação")</f>
        <v/>
      </c>
      <c r="C114" s="3">
        <f>SUMIFS(df_extrato_zig!E:E,df_extrato_zig!L:L,Conciliacao!A114,df_extrato_zig!F:F,"DINHEIRO")</f>
        <v/>
      </c>
      <c r="D114" s="3">
        <f>SUMIFS(view_parc_agrup!H:H,view_parc_agrup!G:G,Conciliacao!A114)</f>
        <v/>
      </c>
      <c r="E114" s="3">
        <f>SUMIFS(df_eventos!F:F,df_eventos!H:H,Conciliacao!A114)</f>
        <v/>
      </c>
      <c r="F114" s="3">
        <f>SUMIFS(df_mutuos!M:M,df_mutuos!B:B,Conciliacao!A114)</f>
        <v/>
      </c>
      <c r="G114" s="6">
        <f>SUMIFS(df_bloqueios_judiciais!G:G,df_bloqueios_judiciais!D:D,Conciliacao!A114,df_bloqueios_judiciais!G:G,"&gt;0")</f>
        <v/>
      </c>
      <c r="H114" s="7">
        <f>SUMIFS(df_extratos!I:I,df_extratos!F:F,"&gt;="&amp;Conciliacao!BE114,df_extratos!F:F,"&lt;"&amp;Conciliacao!BE114+1,df_extratos!G:G,"CREDITO")
+SUMIFS(df_extratos!I:I,df_extratos!F:F,"&gt;="&amp;Conciliacao!A114, df_extratos!F:F,"&lt;"&amp;Conciliacao!A114+1, df_extratos!G:G,"CREDITO")
+SUMIFS(df_extratos!I:I,df_extratos!F:F,"&gt;="&amp;Conciliacao!BF114,df_extratos!F:F,"&lt;"&amp;Conciliacao!BF114+1,df_extratos!G:G,"CREDITO")
+SUMIFS(df_extratos!I:I,df_extratos!F:F,"&gt;="&amp;Conciliacao!BG114,df_extratos!F:F,"&lt;"&amp;Conciliacao!BG114+1,df_extratos!G:G,"CREDITO")
+SUMIFS(df_extratos!I:I,df_extratos!F:F,"&gt;="&amp;Conciliacao!BH114,df_extratos!F:F,"&lt;"&amp;Conciliacao!BH114+1,df_extratos!G:G,"CREDITO")</f>
        <v/>
      </c>
      <c r="I114" s="9">
        <f>H114-SUM(B114:G114)</f>
        <v/>
      </c>
      <c r="J114" s="4">
        <f>SUMIFS(df_blueme_sem_parcelamento!E:E,df_blueme_sem_parcelamento!H:H,Conciliacao!A114)*(-1)</f>
        <v/>
      </c>
      <c r="K114" s="4">
        <f>SUMIFS(df_blueme_com_parcelamento!J:J,df_blueme_com_parcelamento!M:M,Conciliacao!A114)*(-1)</f>
        <v/>
      </c>
      <c r="L114" s="4">
        <f>SUMIFS(df_mutuos!N:N,df_mutuos!B:B,Conciliacao!A114)*(-1)</f>
        <v/>
      </c>
      <c r="M114" s="8">
        <f>SUMIFS(df_bloqueios_judiciais!G:G,df_bloqueios_judiciais!D:D,Conciliacao!A114,df_bloqueios_judiciais!G:G,"&lt;0")</f>
        <v/>
      </c>
      <c r="N114" s="10">
        <f>SUMIFS(df_extratos!I:I,df_extratos!F:F,"&gt;="&amp;Conciliacao!BE114,df_extratos!F:F,"&lt;"&amp;Conciliacao!BE114+1,df_extratos!G:G,"DEBITO")
+SUMIFS(df_extratos!I:I,df_extratos!F:F,"&gt;="&amp;Conciliacao!A114, df_extratos!F:F,"&lt;"&amp;Conciliacao!A114+1, df_extratos!G:G,"DEBITO")
+SUMIFS(df_extratos!I:I,df_extratos!F:F,"&gt;="&amp;Conciliacao!BF114,df_extratos!F:F,"&lt;"&amp;Conciliacao!BF114+1,df_extratos!G:G,"DEBITO")
+SUMIFS(df_extratos!I:I,df_extratos!F:F,"&gt;="&amp;Conciliacao!BG114,df_extratos!F:F,"&lt;"&amp;Conciliacao!BG114+1,df_extratos!G:G,"DEBITO")
+SUMIFS(df_extratos!I:I,df_extratos!F:F,"&gt;="&amp;Conciliacao!BH114,df_extratos!F:F,"&lt;"&amp;Conciliacao!BH114+1,df_extratos!G:G,"DEBITO")</f>
        <v/>
      </c>
      <c r="O114" s="11">
        <f>N114-SUM(J114:M114)</f>
        <v/>
      </c>
      <c r="P114" s="25">
        <f>SUMIFS(df_ajustes_conciliaco!D:D,df_ajustes_conciliaco!C:C,Conciliacao!A114)</f>
        <v/>
      </c>
      <c r="Q114" s="22">
        <f>O114+I114-P114</f>
        <v/>
      </c>
      <c r="BE114" s="20" t="n">
        <v>45770.5</v>
      </c>
      <c r="BF114" s="20" t="n">
        <v>45770.125</v>
      </c>
      <c r="BG114" s="20" t="n">
        <v>45770.54166666666</v>
      </c>
      <c r="BH114" s="20" t="n">
        <v>45770.625</v>
      </c>
    </row>
    <row r="115">
      <c r="A115" s="5">
        <f>A114+1</f>
        <v/>
      </c>
      <c r="B115" s="3">
        <f>-SUMIFS(df_extrato_zig!G:G,df_extrato_zig!E:E,Conciliacao!A115,df_extrato_zig!D:D,"Saque")-SUMIFS(df_extrato_zig!G:G,df_extrato_zig!E:E,Conciliacao!A115,df_extrato_zig!D:D,"Antecipação")</f>
        <v/>
      </c>
      <c r="C115" s="3">
        <f>SUMIFS(df_extrato_zig!E:E,df_extrato_zig!L:L,Conciliacao!A115,df_extrato_zig!F:F,"DINHEIRO")</f>
        <v/>
      </c>
      <c r="D115" s="3">
        <f>SUMIFS(view_parc_agrup!H:H,view_parc_agrup!G:G,Conciliacao!A115)</f>
        <v/>
      </c>
      <c r="E115" s="3">
        <f>SUMIFS(df_eventos!F:F,df_eventos!H:H,Conciliacao!A115)</f>
        <v/>
      </c>
      <c r="F115" s="3">
        <f>SUMIFS(df_mutuos!M:M,df_mutuos!B:B,Conciliacao!A115)</f>
        <v/>
      </c>
      <c r="G115" s="6">
        <f>SUMIFS(df_bloqueios_judiciais!G:G,df_bloqueios_judiciais!D:D,Conciliacao!A115,df_bloqueios_judiciais!G:G,"&gt;0")</f>
        <v/>
      </c>
      <c r="H115" s="7">
        <f>SUMIFS(df_extratos!I:I,df_extratos!F:F,"&gt;="&amp;Conciliacao!BE115,df_extratos!F:F,"&lt;"&amp;Conciliacao!BE115+1,df_extratos!G:G,"CREDITO")
+SUMIFS(df_extratos!I:I,df_extratos!F:F,"&gt;="&amp;Conciliacao!A115, df_extratos!F:F,"&lt;"&amp;Conciliacao!A115+1, df_extratos!G:G,"CREDITO")
+SUMIFS(df_extratos!I:I,df_extratos!F:F,"&gt;="&amp;Conciliacao!BF115,df_extratos!F:F,"&lt;"&amp;Conciliacao!BF115+1,df_extratos!G:G,"CREDITO")
+SUMIFS(df_extratos!I:I,df_extratos!F:F,"&gt;="&amp;Conciliacao!BG115,df_extratos!F:F,"&lt;"&amp;Conciliacao!BG115+1,df_extratos!G:G,"CREDITO")
+SUMIFS(df_extratos!I:I,df_extratos!F:F,"&gt;="&amp;Conciliacao!BH115,df_extratos!F:F,"&lt;"&amp;Conciliacao!BH115+1,df_extratos!G:G,"CREDITO")</f>
        <v/>
      </c>
      <c r="I115" s="9">
        <f>H115-SUM(B115:G115)</f>
        <v/>
      </c>
      <c r="J115" s="4">
        <f>SUMIFS(df_blueme_sem_parcelamento!E:E,df_blueme_sem_parcelamento!H:H,Conciliacao!A115)*(-1)</f>
        <v/>
      </c>
      <c r="K115" s="4">
        <f>SUMIFS(df_blueme_com_parcelamento!J:J,df_blueme_com_parcelamento!M:M,Conciliacao!A115)*(-1)</f>
        <v/>
      </c>
      <c r="L115" s="4">
        <f>SUMIFS(df_mutuos!N:N,df_mutuos!B:B,Conciliacao!A115)*(-1)</f>
        <v/>
      </c>
      <c r="M115" s="8">
        <f>SUMIFS(df_bloqueios_judiciais!G:G,df_bloqueios_judiciais!D:D,Conciliacao!A115,df_bloqueios_judiciais!G:G,"&lt;0")</f>
        <v/>
      </c>
      <c r="N115" s="10">
        <f>SUMIFS(df_extratos!I:I,df_extratos!F:F,"&gt;="&amp;Conciliacao!BE115,df_extratos!F:F,"&lt;"&amp;Conciliacao!BE115+1,df_extratos!G:G,"DEBITO")
+SUMIFS(df_extratos!I:I,df_extratos!F:F,"&gt;="&amp;Conciliacao!A115, df_extratos!F:F,"&lt;"&amp;Conciliacao!A115+1, df_extratos!G:G,"DEBITO")
+SUMIFS(df_extratos!I:I,df_extratos!F:F,"&gt;="&amp;Conciliacao!BF115,df_extratos!F:F,"&lt;"&amp;Conciliacao!BF115+1,df_extratos!G:G,"DEBITO")
+SUMIFS(df_extratos!I:I,df_extratos!F:F,"&gt;="&amp;Conciliacao!BG115,df_extratos!F:F,"&lt;"&amp;Conciliacao!BG115+1,df_extratos!G:G,"DEBITO")
+SUMIFS(df_extratos!I:I,df_extratos!F:F,"&gt;="&amp;Conciliacao!BH115,df_extratos!F:F,"&lt;"&amp;Conciliacao!BH115+1,df_extratos!G:G,"DEBITO")</f>
        <v/>
      </c>
      <c r="O115" s="11">
        <f>N115-SUM(J115:M115)</f>
        <v/>
      </c>
      <c r="P115" s="25">
        <f>SUMIFS(df_ajustes_conciliaco!D:D,df_ajustes_conciliaco!C:C,Conciliacao!A115)</f>
        <v/>
      </c>
      <c r="Q115" s="22">
        <f>O115+I115-P115</f>
        <v/>
      </c>
      <c r="BE115" s="20" t="n">
        <v>45771.5</v>
      </c>
      <c r="BF115" s="20" t="n">
        <v>45771.125</v>
      </c>
      <c r="BG115" s="20" t="n">
        <v>45771.54166666666</v>
      </c>
      <c r="BH115" s="20" t="n">
        <v>45771.625</v>
      </c>
    </row>
    <row r="116">
      <c r="A116" s="5">
        <f>A115+1</f>
        <v/>
      </c>
      <c r="B116" s="3">
        <f>-SUMIFS(df_extrato_zig!G:G,df_extrato_zig!E:E,Conciliacao!A116,df_extrato_zig!D:D,"Saque")-SUMIFS(df_extrato_zig!G:G,df_extrato_zig!E:E,Conciliacao!A116,df_extrato_zig!D:D,"Antecipação")</f>
        <v/>
      </c>
      <c r="C116" s="3">
        <f>SUMIFS(df_extrato_zig!E:E,df_extrato_zig!L:L,Conciliacao!A116,df_extrato_zig!F:F,"DINHEIRO")</f>
        <v/>
      </c>
      <c r="D116" s="3">
        <f>SUMIFS(view_parc_agrup!H:H,view_parc_agrup!G:G,Conciliacao!A116)</f>
        <v/>
      </c>
      <c r="E116" s="3">
        <f>SUMIFS(df_eventos!F:F,df_eventos!H:H,Conciliacao!A116)</f>
        <v/>
      </c>
      <c r="F116" s="3">
        <f>SUMIFS(df_mutuos!M:M,df_mutuos!B:B,Conciliacao!A116)</f>
        <v/>
      </c>
      <c r="G116" s="6">
        <f>SUMIFS(df_bloqueios_judiciais!G:G,df_bloqueios_judiciais!D:D,Conciliacao!A116,df_bloqueios_judiciais!G:G,"&gt;0")</f>
        <v/>
      </c>
      <c r="H116" s="7">
        <f>SUMIFS(df_extratos!I:I,df_extratos!F:F,"&gt;="&amp;Conciliacao!BE116,df_extratos!F:F,"&lt;"&amp;Conciliacao!BE116+1,df_extratos!G:G,"CREDITO")
+SUMIFS(df_extratos!I:I,df_extratos!F:F,"&gt;="&amp;Conciliacao!A116, df_extratos!F:F,"&lt;"&amp;Conciliacao!A116+1, df_extratos!G:G,"CREDITO")
+SUMIFS(df_extratos!I:I,df_extratos!F:F,"&gt;="&amp;Conciliacao!BF116,df_extratos!F:F,"&lt;"&amp;Conciliacao!BF116+1,df_extratos!G:G,"CREDITO")
+SUMIFS(df_extratos!I:I,df_extratos!F:F,"&gt;="&amp;Conciliacao!BG116,df_extratos!F:F,"&lt;"&amp;Conciliacao!BG116+1,df_extratos!G:G,"CREDITO")
+SUMIFS(df_extratos!I:I,df_extratos!F:F,"&gt;="&amp;Conciliacao!BH116,df_extratos!F:F,"&lt;"&amp;Conciliacao!BH116+1,df_extratos!G:G,"CREDITO")</f>
        <v/>
      </c>
      <c r="I116" s="9">
        <f>H116-SUM(B116:G116)</f>
        <v/>
      </c>
      <c r="J116" s="4">
        <f>SUMIFS(df_blueme_sem_parcelamento!E:E,df_blueme_sem_parcelamento!H:H,Conciliacao!A116)*(-1)</f>
        <v/>
      </c>
      <c r="K116" s="4">
        <f>SUMIFS(df_blueme_com_parcelamento!J:J,df_blueme_com_parcelamento!M:M,Conciliacao!A116)*(-1)</f>
        <v/>
      </c>
      <c r="L116" s="4">
        <f>SUMIFS(df_mutuos!N:N,df_mutuos!B:B,Conciliacao!A116)*(-1)</f>
        <v/>
      </c>
      <c r="M116" s="8">
        <f>SUMIFS(df_bloqueios_judiciais!G:G,df_bloqueios_judiciais!D:D,Conciliacao!A116,df_bloqueios_judiciais!G:G,"&lt;0")</f>
        <v/>
      </c>
      <c r="N116" s="10">
        <f>SUMIFS(df_extratos!I:I,df_extratos!F:F,"&gt;="&amp;Conciliacao!BE116,df_extratos!F:F,"&lt;"&amp;Conciliacao!BE116+1,df_extratos!G:G,"DEBITO")
+SUMIFS(df_extratos!I:I,df_extratos!F:F,"&gt;="&amp;Conciliacao!A116, df_extratos!F:F,"&lt;"&amp;Conciliacao!A116+1, df_extratos!G:G,"DEBITO")
+SUMIFS(df_extratos!I:I,df_extratos!F:F,"&gt;="&amp;Conciliacao!BF116,df_extratos!F:F,"&lt;"&amp;Conciliacao!BF116+1,df_extratos!G:G,"DEBITO")
+SUMIFS(df_extratos!I:I,df_extratos!F:F,"&gt;="&amp;Conciliacao!BG116,df_extratos!F:F,"&lt;"&amp;Conciliacao!BG116+1,df_extratos!G:G,"DEBITO")
+SUMIFS(df_extratos!I:I,df_extratos!F:F,"&gt;="&amp;Conciliacao!BH116,df_extratos!F:F,"&lt;"&amp;Conciliacao!BH116+1,df_extratos!G:G,"DEBITO")</f>
        <v/>
      </c>
      <c r="O116" s="11">
        <f>N116-SUM(J116:M116)</f>
        <v/>
      </c>
      <c r="P116" s="25">
        <f>SUMIFS(df_ajustes_conciliaco!D:D,df_ajustes_conciliaco!C:C,Conciliacao!A116)</f>
        <v/>
      </c>
      <c r="Q116" s="22">
        <f>O116+I116-P116</f>
        <v/>
      </c>
      <c r="BE116" s="20" t="n">
        <v>45772.5</v>
      </c>
      <c r="BF116" s="20" t="n">
        <v>45772.125</v>
      </c>
      <c r="BG116" s="20" t="n">
        <v>45772.54166666666</v>
      </c>
      <c r="BH116" s="20" t="n">
        <v>45772.625</v>
      </c>
    </row>
    <row r="117">
      <c r="A117" s="5">
        <f>A116+1</f>
        <v/>
      </c>
      <c r="B117" s="3">
        <f>-SUMIFS(df_extrato_zig!G:G,df_extrato_zig!E:E,Conciliacao!A117,df_extrato_zig!D:D,"Saque")-SUMIFS(df_extrato_zig!G:G,df_extrato_zig!E:E,Conciliacao!A117,df_extrato_zig!D:D,"Antecipação")</f>
        <v/>
      </c>
      <c r="C117" s="3">
        <f>SUMIFS(df_extrato_zig!E:E,df_extrato_zig!L:L,Conciliacao!A117,df_extrato_zig!F:F,"DINHEIRO")</f>
        <v/>
      </c>
      <c r="D117" s="3">
        <f>SUMIFS(view_parc_agrup!H:H,view_parc_agrup!G:G,Conciliacao!A117)</f>
        <v/>
      </c>
      <c r="E117" s="3">
        <f>SUMIFS(df_eventos!F:F,df_eventos!H:H,Conciliacao!A117)</f>
        <v/>
      </c>
      <c r="F117" s="3">
        <f>SUMIFS(df_mutuos!M:M,df_mutuos!B:B,Conciliacao!A117)</f>
        <v/>
      </c>
      <c r="G117" s="6">
        <f>SUMIFS(df_bloqueios_judiciais!G:G,df_bloqueios_judiciais!D:D,Conciliacao!A117,df_bloqueios_judiciais!G:G,"&gt;0")</f>
        <v/>
      </c>
      <c r="H117" s="7">
        <f>SUMIFS(df_extratos!I:I,df_extratos!F:F,"&gt;="&amp;Conciliacao!BE117,df_extratos!F:F,"&lt;"&amp;Conciliacao!BE117+1,df_extratos!G:G,"CREDITO")
+SUMIFS(df_extratos!I:I,df_extratos!F:F,"&gt;="&amp;Conciliacao!A117, df_extratos!F:F,"&lt;"&amp;Conciliacao!A117+1, df_extratos!G:G,"CREDITO")
+SUMIFS(df_extratos!I:I,df_extratos!F:F,"&gt;="&amp;Conciliacao!BF117,df_extratos!F:F,"&lt;"&amp;Conciliacao!BF117+1,df_extratos!G:G,"CREDITO")
+SUMIFS(df_extratos!I:I,df_extratos!F:F,"&gt;="&amp;Conciliacao!BG117,df_extratos!F:F,"&lt;"&amp;Conciliacao!BG117+1,df_extratos!G:G,"CREDITO")
+SUMIFS(df_extratos!I:I,df_extratos!F:F,"&gt;="&amp;Conciliacao!BH117,df_extratos!F:F,"&lt;"&amp;Conciliacao!BH117+1,df_extratos!G:G,"CREDITO")</f>
        <v/>
      </c>
      <c r="I117" s="9">
        <f>H117-SUM(B117:G117)</f>
        <v/>
      </c>
      <c r="J117" s="4">
        <f>SUMIFS(df_blueme_sem_parcelamento!E:E,df_blueme_sem_parcelamento!H:H,Conciliacao!A117)*(-1)</f>
        <v/>
      </c>
      <c r="K117" s="4">
        <f>SUMIFS(df_blueme_com_parcelamento!J:J,df_blueme_com_parcelamento!M:M,Conciliacao!A117)*(-1)</f>
        <v/>
      </c>
      <c r="L117" s="4">
        <f>SUMIFS(df_mutuos!N:N,df_mutuos!B:B,Conciliacao!A117)*(-1)</f>
        <v/>
      </c>
      <c r="M117" s="8">
        <f>SUMIFS(df_bloqueios_judiciais!G:G,df_bloqueios_judiciais!D:D,Conciliacao!A117,df_bloqueios_judiciais!G:G,"&lt;0")</f>
        <v/>
      </c>
      <c r="N117" s="10">
        <f>SUMIFS(df_extratos!I:I,df_extratos!F:F,"&gt;="&amp;Conciliacao!BE117,df_extratos!F:F,"&lt;"&amp;Conciliacao!BE117+1,df_extratos!G:G,"DEBITO")
+SUMIFS(df_extratos!I:I,df_extratos!F:F,"&gt;="&amp;Conciliacao!A117, df_extratos!F:F,"&lt;"&amp;Conciliacao!A117+1, df_extratos!G:G,"DEBITO")
+SUMIFS(df_extratos!I:I,df_extratos!F:F,"&gt;="&amp;Conciliacao!BF117,df_extratos!F:F,"&lt;"&amp;Conciliacao!BF117+1,df_extratos!G:G,"DEBITO")
+SUMIFS(df_extratos!I:I,df_extratos!F:F,"&gt;="&amp;Conciliacao!BG117,df_extratos!F:F,"&lt;"&amp;Conciliacao!BG117+1,df_extratos!G:G,"DEBITO")
+SUMIFS(df_extratos!I:I,df_extratos!F:F,"&gt;="&amp;Conciliacao!BH117,df_extratos!F:F,"&lt;"&amp;Conciliacao!BH117+1,df_extratos!G:G,"DEBITO")</f>
        <v/>
      </c>
      <c r="O117" s="11">
        <f>N117-SUM(J117:M117)</f>
        <v/>
      </c>
      <c r="P117" s="25">
        <f>SUMIFS(df_ajustes_conciliaco!D:D,df_ajustes_conciliaco!C:C,Conciliacao!A117)</f>
        <v/>
      </c>
      <c r="Q117" s="22">
        <f>O117+I117-P117</f>
        <v/>
      </c>
      <c r="BE117" s="20" t="n">
        <v>45773.5</v>
      </c>
      <c r="BF117" s="20" t="n">
        <v>45773.125</v>
      </c>
      <c r="BG117" s="20" t="n">
        <v>45773.54166666666</v>
      </c>
      <c r="BH117" s="20" t="n">
        <v>45773.625</v>
      </c>
    </row>
    <row r="118">
      <c r="A118" s="5">
        <f>A117+1</f>
        <v/>
      </c>
      <c r="B118" s="3">
        <f>-SUMIFS(df_extrato_zig!G:G,df_extrato_zig!E:E,Conciliacao!A118,df_extrato_zig!D:D,"Saque")-SUMIFS(df_extrato_zig!G:G,df_extrato_zig!E:E,Conciliacao!A118,df_extrato_zig!D:D,"Antecipação")</f>
        <v/>
      </c>
      <c r="C118" s="3">
        <f>SUMIFS(df_extrato_zig!E:E,df_extrato_zig!L:L,Conciliacao!A118,df_extrato_zig!F:F,"DINHEIRO")</f>
        <v/>
      </c>
      <c r="D118" s="3">
        <f>SUMIFS(view_parc_agrup!H:H,view_parc_agrup!G:G,Conciliacao!A118)</f>
        <v/>
      </c>
      <c r="E118" s="3">
        <f>SUMIFS(df_eventos!F:F,df_eventos!H:H,Conciliacao!A118)</f>
        <v/>
      </c>
      <c r="F118" s="3">
        <f>SUMIFS(df_mutuos!M:M,df_mutuos!B:B,Conciliacao!A118)</f>
        <v/>
      </c>
      <c r="G118" s="6">
        <f>SUMIFS(df_bloqueios_judiciais!G:G,df_bloqueios_judiciais!D:D,Conciliacao!A118,df_bloqueios_judiciais!G:G,"&gt;0")</f>
        <v/>
      </c>
      <c r="H118" s="7">
        <f>SUMIFS(df_extratos!I:I,df_extratos!F:F,"&gt;="&amp;Conciliacao!BE118,df_extratos!F:F,"&lt;"&amp;Conciliacao!BE118+1,df_extratos!G:G,"CREDITO")
+SUMIFS(df_extratos!I:I,df_extratos!F:F,"&gt;="&amp;Conciliacao!A118, df_extratos!F:F,"&lt;"&amp;Conciliacao!A118+1, df_extratos!G:G,"CREDITO")
+SUMIFS(df_extratos!I:I,df_extratos!F:F,"&gt;="&amp;Conciliacao!BF118,df_extratos!F:F,"&lt;"&amp;Conciliacao!BF118+1,df_extratos!G:G,"CREDITO")
+SUMIFS(df_extratos!I:I,df_extratos!F:F,"&gt;="&amp;Conciliacao!BG118,df_extratos!F:F,"&lt;"&amp;Conciliacao!BG118+1,df_extratos!G:G,"CREDITO")
+SUMIFS(df_extratos!I:I,df_extratos!F:F,"&gt;="&amp;Conciliacao!BH118,df_extratos!F:F,"&lt;"&amp;Conciliacao!BH118+1,df_extratos!G:G,"CREDITO")</f>
        <v/>
      </c>
      <c r="I118" s="9">
        <f>H118-SUM(B118:G118)</f>
        <v/>
      </c>
      <c r="J118" s="4">
        <f>SUMIFS(df_blueme_sem_parcelamento!E:E,df_blueme_sem_parcelamento!H:H,Conciliacao!A118)*(-1)</f>
        <v/>
      </c>
      <c r="K118" s="4">
        <f>SUMIFS(df_blueme_com_parcelamento!J:J,df_blueme_com_parcelamento!M:M,Conciliacao!A118)*(-1)</f>
        <v/>
      </c>
      <c r="L118" s="4">
        <f>SUMIFS(df_mutuos!N:N,df_mutuos!B:B,Conciliacao!A118)*(-1)</f>
        <v/>
      </c>
      <c r="M118" s="8">
        <f>SUMIFS(df_bloqueios_judiciais!G:G,df_bloqueios_judiciais!D:D,Conciliacao!A118,df_bloqueios_judiciais!G:G,"&lt;0")</f>
        <v/>
      </c>
      <c r="N118" s="10">
        <f>SUMIFS(df_extratos!I:I,df_extratos!F:F,"&gt;="&amp;Conciliacao!BE118,df_extratos!F:F,"&lt;"&amp;Conciliacao!BE118+1,df_extratos!G:G,"DEBITO")
+SUMIFS(df_extratos!I:I,df_extratos!F:F,"&gt;="&amp;Conciliacao!A118, df_extratos!F:F,"&lt;"&amp;Conciliacao!A118+1, df_extratos!G:G,"DEBITO")
+SUMIFS(df_extratos!I:I,df_extratos!F:F,"&gt;="&amp;Conciliacao!BF118,df_extratos!F:F,"&lt;"&amp;Conciliacao!BF118+1,df_extratos!G:G,"DEBITO")
+SUMIFS(df_extratos!I:I,df_extratos!F:F,"&gt;="&amp;Conciliacao!BG118,df_extratos!F:F,"&lt;"&amp;Conciliacao!BG118+1,df_extratos!G:G,"DEBITO")
+SUMIFS(df_extratos!I:I,df_extratos!F:F,"&gt;="&amp;Conciliacao!BH118,df_extratos!F:F,"&lt;"&amp;Conciliacao!BH118+1,df_extratos!G:G,"DEBITO")</f>
        <v/>
      </c>
      <c r="O118" s="11">
        <f>N118-SUM(J118:M118)</f>
        <v/>
      </c>
      <c r="P118" s="25">
        <f>SUMIFS(df_ajustes_conciliaco!D:D,df_ajustes_conciliaco!C:C,Conciliacao!A118)</f>
        <v/>
      </c>
      <c r="Q118" s="22">
        <f>O118+I118-P118</f>
        <v/>
      </c>
      <c r="BE118" s="20" t="n">
        <v>45774.5</v>
      </c>
      <c r="BF118" s="20" t="n">
        <v>45774.125</v>
      </c>
      <c r="BG118" s="20" t="n">
        <v>45774.54166666666</v>
      </c>
      <c r="BH118" s="20" t="n">
        <v>45774.625</v>
      </c>
    </row>
    <row r="119">
      <c r="A119" s="5">
        <f>A118+1</f>
        <v/>
      </c>
      <c r="B119" s="3">
        <f>-SUMIFS(df_extrato_zig!G:G,df_extrato_zig!E:E,Conciliacao!A119,df_extrato_zig!D:D,"Saque")-SUMIFS(df_extrato_zig!G:G,df_extrato_zig!E:E,Conciliacao!A119,df_extrato_zig!D:D,"Antecipação")</f>
        <v/>
      </c>
      <c r="C119" s="3">
        <f>SUMIFS(df_extrato_zig!E:E,df_extrato_zig!L:L,Conciliacao!A119,df_extrato_zig!F:F,"DINHEIRO")</f>
        <v/>
      </c>
      <c r="D119" s="3">
        <f>SUMIFS(view_parc_agrup!H:H,view_parc_agrup!G:G,Conciliacao!A119)</f>
        <v/>
      </c>
      <c r="E119" s="3">
        <f>SUMIFS(df_eventos!F:F,df_eventos!H:H,Conciliacao!A119)</f>
        <v/>
      </c>
      <c r="F119" s="3">
        <f>SUMIFS(df_mutuos!M:M,df_mutuos!B:B,Conciliacao!A119)</f>
        <v/>
      </c>
      <c r="G119" s="6">
        <f>SUMIFS(df_bloqueios_judiciais!G:G,df_bloqueios_judiciais!D:D,Conciliacao!A119,df_bloqueios_judiciais!G:G,"&gt;0")</f>
        <v/>
      </c>
      <c r="H119" s="7">
        <f>SUMIFS(df_extratos!I:I,df_extratos!F:F,"&gt;="&amp;Conciliacao!BE119,df_extratos!F:F,"&lt;"&amp;Conciliacao!BE119+1,df_extratos!G:G,"CREDITO")
+SUMIFS(df_extratos!I:I,df_extratos!F:F,"&gt;="&amp;Conciliacao!A119, df_extratos!F:F,"&lt;"&amp;Conciliacao!A119+1, df_extratos!G:G,"CREDITO")
+SUMIFS(df_extratos!I:I,df_extratos!F:F,"&gt;="&amp;Conciliacao!BF119,df_extratos!F:F,"&lt;"&amp;Conciliacao!BF119+1,df_extratos!G:G,"CREDITO")
+SUMIFS(df_extratos!I:I,df_extratos!F:F,"&gt;="&amp;Conciliacao!BG119,df_extratos!F:F,"&lt;"&amp;Conciliacao!BG119+1,df_extratos!G:G,"CREDITO")
+SUMIFS(df_extratos!I:I,df_extratos!F:F,"&gt;="&amp;Conciliacao!BH119,df_extratos!F:F,"&lt;"&amp;Conciliacao!BH119+1,df_extratos!G:G,"CREDITO")</f>
        <v/>
      </c>
      <c r="I119" s="9">
        <f>H119-SUM(B119:G119)</f>
        <v/>
      </c>
      <c r="J119" s="4">
        <f>SUMIFS(df_blueme_sem_parcelamento!E:E,df_blueme_sem_parcelamento!H:H,Conciliacao!A119)*(-1)</f>
        <v/>
      </c>
      <c r="K119" s="4">
        <f>SUMIFS(df_blueme_com_parcelamento!J:J,df_blueme_com_parcelamento!M:M,Conciliacao!A119)*(-1)</f>
        <v/>
      </c>
      <c r="L119" s="4">
        <f>SUMIFS(df_mutuos!N:N,df_mutuos!B:B,Conciliacao!A119)*(-1)</f>
        <v/>
      </c>
      <c r="M119" s="8">
        <f>SUMIFS(df_bloqueios_judiciais!G:G,df_bloqueios_judiciais!D:D,Conciliacao!A119,df_bloqueios_judiciais!G:G,"&lt;0")</f>
        <v/>
      </c>
      <c r="N119" s="10">
        <f>SUMIFS(df_extratos!I:I,df_extratos!F:F,"&gt;="&amp;Conciliacao!BE119,df_extratos!F:F,"&lt;"&amp;Conciliacao!BE119+1,df_extratos!G:G,"DEBITO")
+SUMIFS(df_extratos!I:I,df_extratos!F:F,"&gt;="&amp;Conciliacao!A119, df_extratos!F:F,"&lt;"&amp;Conciliacao!A119+1, df_extratos!G:G,"DEBITO")
+SUMIFS(df_extratos!I:I,df_extratos!F:F,"&gt;="&amp;Conciliacao!BF119,df_extratos!F:F,"&lt;"&amp;Conciliacao!BF119+1,df_extratos!G:G,"DEBITO")
+SUMIFS(df_extratos!I:I,df_extratos!F:F,"&gt;="&amp;Conciliacao!BG119,df_extratos!F:F,"&lt;"&amp;Conciliacao!BG119+1,df_extratos!G:G,"DEBITO")
+SUMIFS(df_extratos!I:I,df_extratos!F:F,"&gt;="&amp;Conciliacao!BH119,df_extratos!F:F,"&lt;"&amp;Conciliacao!BH119+1,df_extratos!G:G,"DEBITO")</f>
        <v/>
      </c>
      <c r="O119" s="11">
        <f>N119-SUM(J119:M119)</f>
        <v/>
      </c>
      <c r="P119" s="25">
        <f>SUMIFS(df_ajustes_conciliaco!D:D,df_ajustes_conciliaco!C:C,Conciliacao!A119)</f>
        <v/>
      </c>
      <c r="Q119" s="22">
        <f>O119+I119-P119</f>
        <v/>
      </c>
      <c r="BE119" s="20" t="n">
        <v>45775.5</v>
      </c>
      <c r="BF119" s="20" t="n">
        <v>45775.125</v>
      </c>
      <c r="BG119" s="20" t="n">
        <v>45775.54166666666</v>
      </c>
      <c r="BH119" s="20" t="n">
        <v>45775.625</v>
      </c>
    </row>
    <row r="120">
      <c r="A120" s="5">
        <f>A119+1</f>
        <v/>
      </c>
      <c r="B120" s="3">
        <f>-SUMIFS(df_extrato_zig!G:G,df_extrato_zig!E:E,Conciliacao!A120,df_extrato_zig!D:D,"Saque")-SUMIFS(df_extrato_zig!G:G,df_extrato_zig!E:E,Conciliacao!A120,df_extrato_zig!D:D,"Antecipação")</f>
        <v/>
      </c>
      <c r="C120" s="3">
        <f>SUMIFS(df_extrato_zig!E:E,df_extrato_zig!L:L,Conciliacao!A120,df_extrato_zig!F:F,"DINHEIRO")</f>
        <v/>
      </c>
      <c r="D120" s="3">
        <f>SUMIFS(view_parc_agrup!H:H,view_parc_agrup!G:G,Conciliacao!A120)</f>
        <v/>
      </c>
      <c r="E120" s="3">
        <f>SUMIFS(df_eventos!F:F,df_eventos!H:H,Conciliacao!A120)</f>
        <v/>
      </c>
      <c r="F120" s="3">
        <f>SUMIFS(df_mutuos!M:M,df_mutuos!B:B,Conciliacao!A120)</f>
        <v/>
      </c>
      <c r="G120" s="6">
        <f>SUMIFS(df_bloqueios_judiciais!G:G,df_bloqueios_judiciais!D:D,Conciliacao!A120,df_bloqueios_judiciais!G:G,"&gt;0")</f>
        <v/>
      </c>
      <c r="H120" s="7">
        <f>SUMIFS(df_extratos!I:I,df_extratos!F:F,"&gt;="&amp;Conciliacao!BE120,df_extratos!F:F,"&lt;"&amp;Conciliacao!BE120+1,df_extratos!G:G,"CREDITO")
+SUMIFS(df_extratos!I:I,df_extratos!F:F,"&gt;="&amp;Conciliacao!A120, df_extratos!F:F,"&lt;"&amp;Conciliacao!A120+1, df_extratos!G:G,"CREDITO")
+SUMIFS(df_extratos!I:I,df_extratos!F:F,"&gt;="&amp;Conciliacao!BF120,df_extratos!F:F,"&lt;"&amp;Conciliacao!BF120+1,df_extratos!G:G,"CREDITO")
+SUMIFS(df_extratos!I:I,df_extratos!F:F,"&gt;="&amp;Conciliacao!BG120,df_extratos!F:F,"&lt;"&amp;Conciliacao!BG120+1,df_extratos!G:G,"CREDITO")
+SUMIFS(df_extratos!I:I,df_extratos!F:F,"&gt;="&amp;Conciliacao!BH120,df_extratos!F:F,"&lt;"&amp;Conciliacao!BH120+1,df_extratos!G:G,"CREDITO")</f>
        <v/>
      </c>
      <c r="I120" s="9">
        <f>H120-SUM(B120:G120)</f>
        <v/>
      </c>
      <c r="J120" s="4">
        <f>SUMIFS(df_blueme_sem_parcelamento!E:E,df_blueme_sem_parcelamento!H:H,Conciliacao!A120)*(-1)</f>
        <v/>
      </c>
      <c r="K120" s="4">
        <f>SUMIFS(df_blueme_com_parcelamento!J:J,df_blueme_com_parcelamento!M:M,Conciliacao!A120)*(-1)</f>
        <v/>
      </c>
      <c r="L120" s="4">
        <f>SUMIFS(df_mutuos!N:N,df_mutuos!B:B,Conciliacao!A120)*(-1)</f>
        <v/>
      </c>
      <c r="M120" s="8">
        <f>SUMIFS(df_bloqueios_judiciais!G:G,df_bloqueios_judiciais!D:D,Conciliacao!A120,df_bloqueios_judiciais!G:G,"&lt;0")</f>
        <v/>
      </c>
      <c r="N120" s="10">
        <f>SUMIFS(df_extratos!I:I,df_extratos!F:F,"&gt;="&amp;Conciliacao!BE120,df_extratos!F:F,"&lt;"&amp;Conciliacao!BE120+1,df_extratos!G:G,"DEBITO")
+SUMIFS(df_extratos!I:I,df_extratos!F:F,"&gt;="&amp;Conciliacao!A120, df_extratos!F:F,"&lt;"&amp;Conciliacao!A120+1, df_extratos!G:G,"DEBITO")
+SUMIFS(df_extratos!I:I,df_extratos!F:F,"&gt;="&amp;Conciliacao!BF120,df_extratos!F:F,"&lt;"&amp;Conciliacao!BF120+1,df_extratos!G:G,"DEBITO")
+SUMIFS(df_extratos!I:I,df_extratos!F:F,"&gt;="&amp;Conciliacao!BG120,df_extratos!F:F,"&lt;"&amp;Conciliacao!BG120+1,df_extratos!G:G,"DEBITO")
+SUMIFS(df_extratos!I:I,df_extratos!F:F,"&gt;="&amp;Conciliacao!BH120,df_extratos!F:F,"&lt;"&amp;Conciliacao!BH120+1,df_extratos!G:G,"DEBITO")</f>
        <v/>
      </c>
      <c r="O120" s="11">
        <f>N120-SUM(J120:M120)</f>
        <v/>
      </c>
      <c r="P120" s="25">
        <f>SUMIFS(df_ajustes_conciliaco!D:D,df_ajustes_conciliaco!C:C,Conciliacao!A120)</f>
        <v/>
      </c>
      <c r="Q120" s="22">
        <f>O120+I120-P120</f>
        <v/>
      </c>
      <c r="BE120" s="20" t="n">
        <v>45776.5</v>
      </c>
      <c r="BF120" s="20" t="n">
        <v>45776.125</v>
      </c>
      <c r="BG120" s="20" t="n">
        <v>45776.54166666666</v>
      </c>
      <c r="BH120" s="20" t="n">
        <v>45776.625</v>
      </c>
    </row>
    <row r="121">
      <c r="A121" s="5">
        <f>A120+1</f>
        <v/>
      </c>
      <c r="B121" s="3">
        <f>-SUMIFS(df_extrato_zig!G:G,df_extrato_zig!E:E,Conciliacao!A121,df_extrato_zig!D:D,"Saque")-SUMIFS(df_extrato_zig!G:G,df_extrato_zig!E:E,Conciliacao!A121,df_extrato_zig!D:D,"Antecipação")</f>
        <v/>
      </c>
      <c r="C121" s="3">
        <f>SUMIFS(df_extrato_zig!E:E,df_extrato_zig!L:L,Conciliacao!A121,df_extrato_zig!F:F,"DINHEIRO")</f>
        <v/>
      </c>
      <c r="D121" s="3">
        <f>SUMIFS(view_parc_agrup!H:H,view_parc_agrup!G:G,Conciliacao!A121)</f>
        <v/>
      </c>
      <c r="E121" s="3">
        <f>SUMIFS(df_eventos!F:F,df_eventos!H:H,Conciliacao!A121)</f>
        <v/>
      </c>
      <c r="F121" s="3">
        <f>SUMIFS(df_mutuos!M:M,df_mutuos!B:B,Conciliacao!A121)</f>
        <v/>
      </c>
      <c r="G121" s="6">
        <f>SUMIFS(df_bloqueios_judiciais!G:G,df_bloqueios_judiciais!D:D,Conciliacao!A121,df_bloqueios_judiciais!G:G,"&gt;0")</f>
        <v/>
      </c>
      <c r="H121" s="7">
        <f>SUMIFS(df_extratos!I:I,df_extratos!F:F,"&gt;="&amp;Conciliacao!BE121,df_extratos!F:F,"&lt;"&amp;Conciliacao!BE121+1,df_extratos!G:G,"CREDITO")
+SUMIFS(df_extratos!I:I,df_extratos!F:F,"&gt;="&amp;Conciliacao!A121, df_extratos!F:F,"&lt;"&amp;Conciliacao!A121+1, df_extratos!G:G,"CREDITO")
+SUMIFS(df_extratos!I:I,df_extratos!F:F,"&gt;="&amp;Conciliacao!BF121,df_extratos!F:F,"&lt;"&amp;Conciliacao!BF121+1,df_extratos!G:G,"CREDITO")
+SUMIFS(df_extratos!I:I,df_extratos!F:F,"&gt;="&amp;Conciliacao!BG121,df_extratos!F:F,"&lt;"&amp;Conciliacao!BG121+1,df_extratos!G:G,"CREDITO")
+SUMIFS(df_extratos!I:I,df_extratos!F:F,"&gt;="&amp;Conciliacao!BH121,df_extratos!F:F,"&lt;"&amp;Conciliacao!BH121+1,df_extratos!G:G,"CREDITO")</f>
        <v/>
      </c>
      <c r="I121" s="9">
        <f>H121-SUM(B121:G121)</f>
        <v/>
      </c>
      <c r="J121" s="4">
        <f>SUMIFS(df_blueme_sem_parcelamento!E:E,df_blueme_sem_parcelamento!H:H,Conciliacao!A121)*(-1)</f>
        <v/>
      </c>
      <c r="K121" s="4">
        <f>SUMIFS(df_blueme_com_parcelamento!J:J,df_blueme_com_parcelamento!M:M,Conciliacao!A121)*(-1)</f>
        <v/>
      </c>
      <c r="L121" s="4">
        <f>SUMIFS(df_mutuos!N:N,df_mutuos!B:B,Conciliacao!A121)*(-1)</f>
        <v/>
      </c>
      <c r="M121" s="8">
        <f>SUMIFS(df_bloqueios_judiciais!G:G,df_bloqueios_judiciais!D:D,Conciliacao!A121,df_bloqueios_judiciais!G:G,"&lt;0")</f>
        <v/>
      </c>
      <c r="N121" s="10">
        <f>SUMIFS(df_extratos!I:I,df_extratos!F:F,"&gt;="&amp;Conciliacao!BE121,df_extratos!F:F,"&lt;"&amp;Conciliacao!BE121+1,df_extratos!G:G,"DEBITO")
+SUMIFS(df_extratos!I:I,df_extratos!F:F,"&gt;="&amp;Conciliacao!A121, df_extratos!F:F,"&lt;"&amp;Conciliacao!A121+1, df_extratos!G:G,"DEBITO")
+SUMIFS(df_extratos!I:I,df_extratos!F:F,"&gt;="&amp;Conciliacao!BF121,df_extratos!F:F,"&lt;"&amp;Conciliacao!BF121+1,df_extratos!G:G,"DEBITO")
+SUMIFS(df_extratos!I:I,df_extratos!F:F,"&gt;="&amp;Conciliacao!BG121,df_extratos!F:F,"&lt;"&amp;Conciliacao!BG121+1,df_extratos!G:G,"DEBITO")
+SUMIFS(df_extratos!I:I,df_extratos!F:F,"&gt;="&amp;Conciliacao!BH121,df_extratos!F:F,"&lt;"&amp;Conciliacao!BH121+1,df_extratos!G:G,"DEBITO")</f>
        <v/>
      </c>
      <c r="O121" s="11">
        <f>N121-SUM(J121:M121)</f>
        <v/>
      </c>
      <c r="P121" s="25">
        <f>SUMIFS(df_ajustes_conciliaco!D:D,df_ajustes_conciliaco!C:C,Conciliacao!A121)</f>
        <v/>
      </c>
      <c r="Q121" s="22">
        <f>O121+I121-P121</f>
        <v/>
      </c>
      <c r="BE121" s="20" t="n">
        <v>45777.5</v>
      </c>
      <c r="BF121" s="20" t="n">
        <v>45777.125</v>
      </c>
      <c r="BG121" s="20" t="n">
        <v>45777.54166666666</v>
      </c>
      <c r="BH121" s="20" t="n">
        <v>45777.625</v>
      </c>
    </row>
    <row r="122">
      <c r="A122" s="5">
        <f>A121+1</f>
        <v/>
      </c>
      <c r="B122" s="3">
        <f>-SUMIFS(df_extrato_zig!G:G,df_extrato_zig!E:E,Conciliacao!A122,df_extrato_zig!D:D,"Saque")-SUMIFS(df_extrato_zig!G:G,df_extrato_zig!E:E,Conciliacao!A122,df_extrato_zig!D:D,"Antecipação")</f>
        <v/>
      </c>
      <c r="C122" s="3">
        <f>SUMIFS(df_extrato_zig!E:E,df_extrato_zig!L:L,Conciliacao!A122,df_extrato_zig!F:F,"DINHEIRO")</f>
        <v/>
      </c>
      <c r="D122" s="3">
        <f>SUMIFS(view_parc_agrup!H:H,view_parc_agrup!G:G,Conciliacao!A122)</f>
        <v/>
      </c>
      <c r="E122" s="3">
        <f>SUMIFS(df_eventos!F:F,df_eventos!H:H,Conciliacao!A122)</f>
        <v/>
      </c>
      <c r="F122" s="3">
        <f>SUMIFS(df_mutuos!M:M,df_mutuos!B:B,Conciliacao!A122)</f>
        <v/>
      </c>
      <c r="G122" s="6">
        <f>SUMIFS(df_bloqueios_judiciais!G:G,df_bloqueios_judiciais!D:D,Conciliacao!A122,df_bloqueios_judiciais!G:G,"&gt;0")</f>
        <v/>
      </c>
      <c r="H122" s="7">
        <f>SUMIFS(df_extratos!I:I,df_extratos!F:F,"&gt;="&amp;Conciliacao!BE122,df_extratos!F:F,"&lt;"&amp;Conciliacao!BE122+1,df_extratos!G:G,"CREDITO")
+SUMIFS(df_extratos!I:I,df_extratos!F:F,"&gt;="&amp;Conciliacao!A122, df_extratos!F:F,"&lt;"&amp;Conciliacao!A122+1, df_extratos!G:G,"CREDITO")
+SUMIFS(df_extratos!I:I,df_extratos!F:F,"&gt;="&amp;Conciliacao!BF122,df_extratos!F:F,"&lt;"&amp;Conciliacao!BF122+1,df_extratos!G:G,"CREDITO")
+SUMIFS(df_extratos!I:I,df_extratos!F:F,"&gt;="&amp;Conciliacao!BG122,df_extratos!F:F,"&lt;"&amp;Conciliacao!BG122+1,df_extratos!G:G,"CREDITO")
+SUMIFS(df_extratos!I:I,df_extratos!F:F,"&gt;="&amp;Conciliacao!BH122,df_extratos!F:F,"&lt;"&amp;Conciliacao!BH122+1,df_extratos!G:G,"CREDITO")</f>
        <v/>
      </c>
      <c r="I122" s="9">
        <f>H122-SUM(B122:G122)</f>
        <v/>
      </c>
      <c r="J122" s="4">
        <f>SUMIFS(df_blueme_sem_parcelamento!E:E,df_blueme_sem_parcelamento!H:H,Conciliacao!A122)*(-1)</f>
        <v/>
      </c>
      <c r="K122" s="4">
        <f>SUMIFS(df_blueme_com_parcelamento!J:J,df_blueme_com_parcelamento!M:M,Conciliacao!A122)*(-1)</f>
        <v/>
      </c>
      <c r="L122" s="4">
        <f>SUMIFS(df_mutuos!N:N,df_mutuos!B:B,Conciliacao!A122)*(-1)</f>
        <v/>
      </c>
      <c r="M122" s="8">
        <f>SUMIFS(df_bloqueios_judiciais!G:G,df_bloqueios_judiciais!D:D,Conciliacao!A122,df_bloqueios_judiciais!G:G,"&lt;0")</f>
        <v/>
      </c>
      <c r="N122" s="10">
        <f>SUMIFS(df_extratos!I:I,df_extratos!F:F,"&gt;="&amp;Conciliacao!BE122,df_extratos!F:F,"&lt;"&amp;Conciliacao!BE122+1,df_extratos!G:G,"DEBITO")
+SUMIFS(df_extratos!I:I,df_extratos!F:F,"&gt;="&amp;Conciliacao!A122, df_extratos!F:F,"&lt;"&amp;Conciliacao!A122+1, df_extratos!G:G,"DEBITO")
+SUMIFS(df_extratos!I:I,df_extratos!F:F,"&gt;="&amp;Conciliacao!BF122,df_extratos!F:F,"&lt;"&amp;Conciliacao!BF122+1,df_extratos!G:G,"DEBITO")
+SUMIFS(df_extratos!I:I,df_extratos!F:F,"&gt;="&amp;Conciliacao!BG122,df_extratos!F:F,"&lt;"&amp;Conciliacao!BG122+1,df_extratos!G:G,"DEBITO")
+SUMIFS(df_extratos!I:I,df_extratos!F:F,"&gt;="&amp;Conciliacao!BH122,df_extratos!F:F,"&lt;"&amp;Conciliacao!BH122+1,df_extratos!G:G,"DEBITO")</f>
        <v/>
      </c>
      <c r="O122" s="11">
        <f>N122-SUM(J122:M122)</f>
        <v/>
      </c>
      <c r="P122" s="25">
        <f>SUMIFS(df_ajustes_conciliaco!D:D,df_ajustes_conciliaco!C:C,Conciliacao!A122)</f>
        <v/>
      </c>
      <c r="Q122" s="22">
        <f>O122+I122-P122</f>
        <v/>
      </c>
      <c r="BE122" s="20" t="n">
        <v>45778.5</v>
      </c>
      <c r="BF122" s="20" t="n">
        <v>45778.125</v>
      </c>
      <c r="BG122" s="20" t="n">
        <v>45778.54166666666</v>
      </c>
      <c r="BH122" s="20" t="n">
        <v>45778.625</v>
      </c>
    </row>
    <row r="123">
      <c r="A123" s="5">
        <f>A122+1</f>
        <v/>
      </c>
      <c r="B123" s="3">
        <f>-SUMIFS(df_extrato_zig!G:G,df_extrato_zig!E:E,Conciliacao!A123,df_extrato_zig!D:D,"Saque")-SUMIFS(df_extrato_zig!G:G,df_extrato_zig!E:E,Conciliacao!A123,df_extrato_zig!D:D,"Antecipação")</f>
        <v/>
      </c>
      <c r="C123" s="3">
        <f>SUMIFS(df_extrato_zig!E:E,df_extrato_zig!L:L,Conciliacao!A123,df_extrato_zig!F:F,"DINHEIRO")</f>
        <v/>
      </c>
      <c r="D123" s="3">
        <f>SUMIFS(view_parc_agrup!H:H,view_parc_agrup!G:G,Conciliacao!A123)</f>
        <v/>
      </c>
      <c r="E123" s="3">
        <f>SUMIFS(df_eventos!F:F,df_eventos!H:H,Conciliacao!A123)</f>
        <v/>
      </c>
      <c r="F123" s="3">
        <f>SUMIFS(df_mutuos!M:M,df_mutuos!B:B,Conciliacao!A123)</f>
        <v/>
      </c>
      <c r="G123" s="6">
        <f>SUMIFS(df_bloqueios_judiciais!G:G,df_bloqueios_judiciais!D:D,Conciliacao!A123,df_bloqueios_judiciais!G:G,"&gt;0")</f>
        <v/>
      </c>
      <c r="H123" s="7">
        <f>SUMIFS(df_extratos!I:I,df_extratos!F:F,"&gt;="&amp;Conciliacao!BE123,df_extratos!F:F,"&lt;"&amp;Conciliacao!BE123+1,df_extratos!G:G,"CREDITO")
+SUMIFS(df_extratos!I:I,df_extratos!F:F,"&gt;="&amp;Conciliacao!A123, df_extratos!F:F,"&lt;"&amp;Conciliacao!A123+1, df_extratos!G:G,"CREDITO")
+SUMIFS(df_extratos!I:I,df_extratos!F:F,"&gt;="&amp;Conciliacao!BF123,df_extratos!F:F,"&lt;"&amp;Conciliacao!BF123+1,df_extratos!G:G,"CREDITO")
+SUMIFS(df_extratos!I:I,df_extratos!F:F,"&gt;="&amp;Conciliacao!BG123,df_extratos!F:F,"&lt;"&amp;Conciliacao!BG123+1,df_extratos!G:G,"CREDITO")
+SUMIFS(df_extratos!I:I,df_extratos!F:F,"&gt;="&amp;Conciliacao!BH123,df_extratos!F:F,"&lt;"&amp;Conciliacao!BH123+1,df_extratos!G:G,"CREDITO")</f>
        <v/>
      </c>
      <c r="I123" s="9">
        <f>H123-SUM(B123:G123)</f>
        <v/>
      </c>
      <c r="J123" s="4">
        <f>SUMIFS(df_blueme_sem_parcelamento!E:E,df_blueme_sem_parcelamento!H:H,Conciliacao!A123)*(-1)</f>
        <v/>
      </c>
      <c r="K123" s="4">
        <f>SUMIFS(df_blueme_com_parcelamento!J:J,df_blueme_com_parcelamento!M:M,Conciliacao!A123)*(-1)</f>
        <v/>
      </c>
      <c r="L123" s="4">
        <f>SUMIFS(df_mutuos!N:N,df_mutuos!B:B,Conciliacao!A123)*(-1)</f>
        <v/>
      </c>
      <c r="M123" s="8">
        <f>SUMIFS(df_bloqueios_judiciais!G:G,df_bloqueios_judiciais!D:D,Conciliacao!A123,df_bloqueios_judiciais!G:G,"&lt;0")</f>
        <v/>
      </c>
      <c r="N123" s="10">
        <f>SUMIFS(df_extratos!I:I,df_extratos!F:F,"&gt;="&amp;Conciliacao!BE123,df_extratos!F:F,"&lt;"&amp;Conciliacao!BE123+1,df_extratos!G:G,"DEBITO")
+SUMIFS(df_extratos!I:I,df_extratos!F:F,"&gt;="&amp;Conciliacao!A123, df_extratos!F:F,"&lt;"&amp;Conciliacao!A123+1, df_extratos!G:G,"DEBITO")
+SUMIFS(df_extratos!I:I,df_extratos!F:F,"&gt;="&amp;Conciliacao!BF123,df_extratos!F:F,"&lt;"&amp;Conciliacao!BF123+1,df_extratos!G:G,"DEBITO")
+SUMIFS(df_extratos!I:I,df_extratos!F:F,"&gt;="&amp;Conciliacao!BG123,df_extratos!F:F,"&lt;"&amp;Conciliacao!BG123+1,df_extratos!G:G,"DEBITO")
+SUMIFS(df_extratos!I:I,df_extratos!F:F,"&gt;="&amp;Conciliacao!BH123,df_extratos!F:F,"&lt;"&amp;Conciliacao!BH123+1,df_extratos!G:G,"DEBITO")</f>
        <v/>
      </c>
      <c r="O123" s="11">
        <f>N123-SUM(J123:M123)</f>
        <v/>
      </c>
      <c r="P123" s="25">
        <f>SUMIFS(df_ajustes_conciliaco!D:D,df_ajustes_conciliaco!C:C,Conciliacao!A123)</f>
        <v/>
      </c>
      <c r="Q123" s="22">
        <f>O123+I123-P123</f>
        <v/>
      </c>
      <c r="BE123" s="20" t="n">
        <v>45779.5</v>
      </c>
      <c r="BF123" s="20" t="n">
        <v>45779.125</v>
      </c>
      <c r="BG123" s="20" t="n">
        <v>45779.54166666666</v>
      </c>
      <c r="BH123" s="20" t="n">
        <v>45779.625</v>
      </c>
    </row>
    <row r="124">
      <c r="A124" s="5">
        <f>A123+1</f>
        <v/>
      </c>
      <c r="B124" s="3">
        <f>-SUMIFS(df_extrato_zig!G:G,df_extrato_zig!E:E,Conciliacao!A124,df_extrato_zig!D:D,"Saque")-SUMIFS(df_extrato_zig!G:G,df_extrato_zig!E:E,Conciliacao!A124,df_extrato_zig!D:D,"Antecipação")</f>
        <v/>
      </c>
      <c r="C124" s="3">
        <f>SUMIFS(df_extrato_zig!E:E,df_extrato_zig!L:L,Conciliacao!A124,df_extrato_zig!F:F,"DINHEIRO")</f>
        <v/>
      </c>
      <c r="D124" s="3">
        <f>SUMIFS(view_parc_agrup!H:H,view_parc_agrup!G:G,Conciliacao!A124)</f>
        <v/>
      </c>
      <c r="E124" s="3">
        <f>SUMIFS(df_eventos!F:F,df_eventos!H:H,Conciliacao!A124)</f>
        <v/>
      </c>
      <c r="F124" s="3">
        <f>SUMIFS(df_mutuos!M:M,df_mutuos!B:B,Conciliacao!A124)</f>
        <v/>
      </c>
      <c r="G124" s="6">
        <f>SUMIFS(df_bloqueios_judiciais!G:G,df_bloqueios_judiciais!D:D,Conciliacao!A124,df_bloqueios_judiciais!G:G,"&gt;0")</f>
        <v/>
      </c>
      <c r="H124" s="7">
        <f>SUMIFS(df_extratos!I:I,df_extratos!F:F,"&gt;="&amp;Conciliacao!BE124,df_extratos!F:F,"&lt;"&amp;Conciliacao!BE124+1,df_extratos!G:G,"CREDITO")
+SUMIFS(df_extratos!I:I,df_extratos!F:F,"&gt;="&amp;Conciliacao!A124, df_extratos!F:F,"&lt;"&amp;Conciliacao!A124+1, df_extratos!G:G,"CREDITO")
+SUMIFS(df_extratos!I:I,df_extratos!F:F,"&gt;="&amp;Conciliacao!BF124,df_extratos!F:F,"&lt;"&amp;Conciliacao!BF124+1,df_extratos!G:G,"CREDITO")
+SUMIFS(df_extratos!I:I,df_extratos!F:F,"&gt;="&amp;Conciliacao!BG124,df_extratos!F:F,"&lt;"&amp;Conciliacao!BG124+1,df_extratos!G:G,"CREDITO")
+SUMIFS(df_extratos!I:I,df_extratos!F:F,"&gt;="&amp;Conciliacao!BH124,df_extratos!F:F,"&lt;"&amp;Conciliacao!BH124+1,df_extratos!G:G,"CREDITO")</f>
        <v/>
      </c>
      <c r="I124" s="9">
        <f>H124-SUM(B124:G124)</f>
        <v/>
      </c>
      <c r="J124" s="4">
        <f>SUMIFS(df_blueme_sem_parcelamento!E:E,df_blueme_sem_parcelamento!H:H,Conciliacao!A124)*(-1)</f>
        <v/>
      </c>
      <c r="K124" s="4">
        <f>SUMIFS(df_blueme_com_parcelamento!J:J,df_blueme_com_parcelamento!M:M,Conciliacao!A124)*(-1)</f>
        <v/>
      </c>
      <c r="L124" s="4">
        <f>SUMIFS(df_mutuos!N:N,df_mutuos!B:B,Conciliacao!A124)*(-1)</f>
        <v/>
      </c>
      <c r="M124" s="8">
        <f>SUMIFS(df_bloqueios_judiciais!G:G,df_bloqueios_judiciais!D:D,Conciliacao!A124,df_bloqueios_judiciais!G:G,"&lt;0")</f>
        <v/>
      </c>
      <c r="N124" s="10">
        <f>SUMIFS(df_extratos!I:I,df_extratos!F:F,"&gt;="&amp;Conciliacao!BE124,df_extratos!F:F,"&lt;"&amp;Conciliacao!BE124+1,df_extratos!G:G,"DEBITO")
+SUMIFS(df_extratos!I:I,df_extratos!F:F,"&gt;="&amp;Conciliacao!A124, df_extratos!F:F,"&lt;"&amp;Conciliacao!A124+1, df_extratos!G:G,"DEBITO")
+SUMIFS(df_extratos!I:I,df_extratos!F:F,"&gt;="&amp;Conciliacao!BF124,df_extratos!F:F,"&lt;"&amp;Conciliacao!BF124+1,df_extratos!G:G,"DEBITO")
+SUMIFS(df_extratos!I:I,df_extratos!F:F,"&gt;="&amp;Conciliacao!BG124,df_extratos!F:F,"&lt;"&amp;Conciliacao!BG124+1,df_extratos!G:G,"DEBITO")
+SUMIFS(df_extratos!I:I,df_extratos!F:F,"&gt;="&amp;Conciliacao!BH124,df_extratos!F:F,"&lt;"&amp;Conciliacao!BH124+1,df_extratos!G:G,"DEBITO")</f>
        <v/>
      </c>
      <c r="O124" s="11">
        <f>N124-SUM(J124:M124)</f>
        <v/>
      </c>
      <c r="P124" s="25">
        <f>SUMIFS(df_ajustes_conciliaco!D:D,df_ajustes_conciliaco!C:C,Conciliacao!A124)</f>
        <v/>
      </c>
      <c r="Q124" s="22">
        <f>O124+I124-P124</f>
        <v/>
      </c>
      <c r="BE124" s="20" t="n">
        <v>45780.5</v>
      </c>
      <c r="BF124" s="20" t="n">
        <v>45780.125</v>
      </c>
      <c r="BG124" s="20" t="n">
        <v>45780.54166666666</v>
      </c>
      <c r="BH124" s="20" t="n">
        <v>45780.625</v>
      </c>
    </row>
    <row r="125">
      <c r="A125" s="5">
        <f>A124+1</f>
        <v/>
      </c>
      <c r="B125" s="3">
        <f>-SUMIFS(df_extrato_zig!G:G,df_extrato_zig!E:E,Conciliacao!A125,df_extrato_zig!D:D,"Saque")-SUMIFS(df_extrato_zig!G:G,df_extrato_zig!E:E,Conciliacao!A125,df_extrato_zig!D:D,"Antecipação")</f>
        <v/>
      </c>
      <c r="C125" s="3">
        <f>SUMIFS(df_extrato_zig!E:E,df_extrato_zig!L:L,Conciliacao!A125,df_extrato_zig!F:F,"DINHEIRO")</f>
        <v/>
      </c>
      <c r="D125" s="3">
        <f>SUMIFS(view_parc_agrup!H:H,view_parc_agrup!G:G,Conciliacao!A125)</f>
        <v/>
      </c>
      <c r="E125" s="3">
        <f>SUMIFS(df_eventos!F:F,df_eventos!H:H,Conciliacao!A125)</f>
        <v/>
      </c>
      <c r="F125" s="3">
        <f>SUMIFS(df_mutuos!M:M,df_mutuos!B:B,Conciliacao!A125)</f>
        <v/>
      </c>
      <c r="G125" s="6">
        <f>SUMIFS(df_bloqueios_judiciais!G:G,df_bloqueios_judiciais!D:D,Conciliacao!A125,df_bloqueios_judiciais!G:G,"&gt;0")</f>
        <v/>
      </c>
      <c r="H125" s="7">
        <f>SUMIFS(df_extratos!I:I,df_extratos!F:F,"&gt;="&amp;Conciliacao!BE125,df_extratos!F:F,"&lt;"&amp;Conciliacao!BE125+1,df_extratos!G:G,"CREDITO")
+SUMIFS(df_extratos!I:I,df_extratos!F:F,"&gt;="&amp;Conciliacao!A125, df_extratos!F:F,"&lt;"&amp;Conciliacao!A125+1, df_extratos!G:G,"CREDITO")
+SUMIFS(df_extratos!I:I,df_extratos!F:F,"&gt;="&amp;Conciliacao!BF125,df_extratos!F:F,"&lt;"&amp;Conciliacao!BF125+1,df_extratos!G:G,"CREDITO")
+SUMIFS(df_extratos!I:I,df_extratos!F:F,"&gt;="&amp;Conciliacao!BG125,df_extratos!F:F,"&lt;"&amp;Conciliacao!BG125+1,df_extratos!G:G,"CREDITO")
+SUMIFS(df_extratos!I:I,df_extratos!F:F,"&gt;="&amp;Conciliacao!BH125,df_extratos!F:F,"&lt;"&amp;Conciliacao!BH125+1,df_extratos!G:G,"CREDITO")</f>
        <v/>
      </c>
      <c r="I125" s="9">
        <f>H125-SUM(B125:G125)</f>
        <v/>
      </c>
      <c r="J125" s="4">
        <f>SUMIFS(df_blueme_sem_parcelamento!E:E,df_blueme_sem_parcelamento!H:H,Conciliacao!A125)*(-1)</f>
        <v/>
      </c>
      <c r="K125" s="4">
        <f>SUMIFS(df_blueme_com_parcelamento!J:J,df_blueme_com_parcelamento!M:M,Conciliacao!A125)*(-1)</f>
        <v/>
      </c>
      <c r="L125" s="4">
        <f>SUMIFS(df_mutuos!N:N,df_mutuos!B:B,Conciliacao!A125)*(-1)</f>
        <v/>
      </c>
      <c r="M125" s="8">
        <f>SUMIFS(df_bloqueios_judiciais!G:G,df_bloqueios_judiciais!D:D,Conciliacao!A125,df_bloqueios_judiciais!G:G,"&lt;0")</f>
        <v/>
      </c>
      <c r="N125" s="10">
        <f>SUMIFS(df_extratos!I:I,df_extratos!F:F,"&gt;="&amp;Conciliacao!BE125,df_extratos!F:F,"&lt;"&amp;Conciliacao!BE125+1,df_extratos!G:G,"DEBITO")
+SUMIFS(df_extratos!I:I,df_extratos!F:F,"&gt;="&amp;Conciliacao!A125, df_extratos!F:F,"&lt;"&amp;Conciliacao!A125+1, df_extratos!G:G,"DEBITO")
+SUMIFS(df_extratos!I:I,df_extratos!F:F,"&gt;="&amp;Conciliacao!BF125,df_extratos!F:F,"&lt;"&amp;Conciliacao!BF125+1,df_extratos!G:G,"DEBITO")
+SUMIFS(df_extratos!I:I,df_extratos!F:F,"&gt;="&amp;Conciliacao!BG125,df_extratos!F:F,"&lt;"&amp;Conciliacao!BG125+1,df_extratos!G:G,"DEBITO")
+SUMIFS(df_extratos!I:I,df_extratos!F:F,"&gt;="&amp;Conciliacao!BH125,df_extratos!F:F,"&lt;"&amp;Conciliacao!BH125+1,df_extratos!G:G,"DEBITO")</f>
        <v/>
      </c>
      <c r="O125" s="11">
        <f>N125-SUM(J125:M125)</f>
        <v/>
      </c>
      <c r="P125" s="25">
        <f>SUMIFS(df_ajustes_conciliaco!D:D,df_ajustes_conciliaco!C:C,Conciliacao!A125)</f>
        <v/>
      </c>
      <c r="Q125" s="22">
        <f>O125+I125-P125</f>
        <v/>
      </c>
      <c r="BE125" s="20" t="n">
        <v>45781.5</v>
      </c>
      <c r="BF125" s="20" t="n">
        <v>45781.125</v>
      </c>
      <c r="BG125" s="20" t="n">
        <v>45781.54166666666</v>
      </c>
      <c r="BH125" s="20" t="n">
        <v>45781.625</v>
      </c>
    </row>
    <row r="126">
      <c r="A126" s="5">
        <f>A125+1</f>
        <v/>
      </c>
      <c r="B126" s="3">
        <f>-SUMIFS(df_extrato_zig!G:G,df_extrato_zig!E:E,Conciliacao!A126,df_extrato_zig!D:D,"Saque")-SUMIFS(df_extrato_zig!G:G,df_extrato_zig!E:E,Conciliacao!A126,df_extrato_zig!D:D,"Antecipação")</f>
        <v/>
      </c>
      <c r="C126" s="3">
        <f>SUMIFS(df_extrato_zig!E:E,df_extrato_zig!L:L,Conciliacao!A126,df_extrato_zig!F:F,"DINHEIRO")</f>
        <v/>
      </c>
      <c r="D126" s="3">
        <f>SUMIFS(view_parc_agrup!H:H,view_parc_agrup!G:G,Conciliacao!A126)</f>
        <v/>
      </c>
      <c r="E126" s="3">
        <f>SUMIFS(df_eventos!F:F,df_eventos!H:H,Conciliacao!A126)</f>
        <v/>
      </c>
      <c r="F126" s="3">
        <f>SUMIFS(df_mutuos!M:M,df_mutuos!B:B,Conciliacao!A126)</f>
        <v/>
      </c>
      <c r="G126" s="6">
        <f>SUMIFS(df_bloqueios_judiciais!G:G,df_bloqueios_judiciais!D:D,Conciliacao!A126,df_bloqueios_judiciais!G:G,"&gt;0")</f>
        <v/>
      </c>
      <c r="H126" s="7">
        <f>SUMIFS(df_extratos!I:I,df_extratos!F:F,"&gt;="&amp;Conciliacao!BE126,df_extratos!F:F,"&lt;"&amp;Conciliacao!BE126+1,df_extratos!G:G,"CREDITO")
+SUMIFS(df_extratos!I:I,df_extratos!F:F,"&gt;="&amp;Conciliacao!A126, df_extratos!F:F,"&lt;"&amp;Conciliacao!A126+1, df_extratos!G:G,"CREDITO")
+SUMIFS(df_extratos!I:I,df_extratos!F:F,"&gt;="&amp;Conciliacao!BF126,df_extratos!F:F,"&lt;"&amp;Conciliacao!BF126+1,df_extratos!G:G,"CREDITO")
+SUMIFS(df_extratos!I:I,df_extratos!F:F,"&gt;="&amp;Conciliacao!BG126,df_extratos!F:F,"&lt;"&amp;Conciliacao!BG126+1,df_extratos!G:G,"CREDITO")
+SUMIFS(df_extratos!I:I,df_extratos!F:F,"&gt;="&amp;Conciliacao!BH126,df_extratos!F:F,"&lt;"&amp;Conciliacao!BH126+1,df_extratos!G:G,"CREDITO")</f>
        <v/>
      </c>
      <c r="I126" s="9">
        <f>H126-SUM(B126:G126)</f>
        <v/>
      </c>
      <c r="J126" s="4">
        <f>SUMIFS(df_blueme_sem_parcelamento!E:E,df_blueme_sem_parcelamento!H:H,Conciliacao!A126)*(-1)</f>
        <v/>
      </c>
      <c r="K126" s="4">
        <f>SUMIFS(df_blueme_com_parcelamento!J:J,df_blueme_com_parcelamento!M:M,Conciliacao!A126)*(-1)</f>
        <v/>
      </c>
      <c r="L126" s="4">
        <f>SUMIFS(df_mutuos!N:N,df_mutuos!B:B,Conciliacao!A126)*(-1)</f>
        <v/>
      </c>
      <c r="M126" s="8">
        <f>SUMIFS(df_bloqueios_judiciais!G:G,df_bloqueios_judiciais!D:D,Conciliacao!A126,df_bloqueios_judiciais!G:G,"&lt;0")</f>
        <v/>
      </c>
      <c r="N126" s="10">
        <f>SUMIFS(df_extratos!I:I,df_extratos!F:F,"&gt;="&amp;Conciliacao!BE126,df_extratos!F:F,"&lt;"&amp;Conciliacao!BE126+1,df_extratos!G:G,"DEBITO")
+SUMIFS(df_extratos!I:I,df_extratos!F:F,"&gt;="&amp;Conciliacao!A126, df_extratos!F:F,"&lt;"&amp;Conciliacao!A126+1, df_extratos!G:G,"DEBITO")
+SUMIFS(df_extratos!I:I,df_extratos!F:F,"&gt;="&amp;Conciliacao!BF126,df_extratos!F:F,"&lt;"&amp;Conciliacao!BF126+1,df_extratos!G:G,"DEBITO")
+SUMIFS(df_extratos!I:I,df_extratos!F:F,"&gt;="&amp;Conciliacao!BG126,df_extratos!F:F,"&lt;"&amp;Conciliacao!BG126+1,df_extratos!G:G,"DEBITO")
+SUMIFS(df_extratos!I:I,df_extratos!F:F,"&gt;="&amp;Conciliacao!BH126,df_extratos!F:F,"&lt;"&amp;Conciliacao!BH126+1,df_extratos!G:G,"DEBITO")</f>
        <v/>
      </c>
      <c r="O126" s="11">
        <f>N126-SUM(J126:M126)</f>
        <v/>
      </c>
      <c r="P126" s="25">
        <f>SUMIFS(df_ajustes_conciliaco!D:D,df_ajustes_conciliaco!C:C,Conciliacao!A126)</f>
        <v/>
      </c>
      <c r="Q126" s="22">
        <f>O126+I126-P126</f>
        <v/>
      </c>
      <c r="BE126" s="20" t="n">
        <v>45782.5</v>
      </c>
      <c r="BF126" s="20" t="n">
        <v>45782.125</v>
      </c>
      <c r="BG126" s="20" t="n">
        <v>45782.54166666666</v>
      </c>
      <c r="BH126" s="20" t="n">
        <v>45782.625</v>
      </c>
    </row>
    <row r="127">
      <c r="A127" s="5">
        <f>A126+1</f>
        <v/>
      </c>
      <c r="B127" s="3">
        <f>-SUMIFS(df_extrato_zig!G:G,df_extrato_zig!E:E,Conciliacao!A127,df_extrato_zig!D:D,"Saque")-SUMIFS(df_extrato_zig!G:G,df_extrato_zig!E:E,Conciliacao!A127,df_extrato_zig!D:D,"Antecipação")</f>
        <v/>
      </c>
      <c r="C127" s="3">
        <f>SUMIFS(df_extrato_zig!E:E,df_extrato_zig!L:L,Conciliacao!A127,df_extrato_zig!F:F,"DINHEIRO")</f>
        <v/>
      </c>
      <c r="D127" s="3">
        <f>SUMIFS(view_parc_agrup!H:H,view_parc_agrup!G:G,Conciliacao!A127)</f>
        <v/>
      </c>
      <c r="E127" s="3">
        <f>SUMIFS(df_eventos!F:F,df_eventos!H:H,Conciliacao!A127)</f>
        <v/>
      </c>
      <c r="F127" s="3">
        <f>SUMIFS(df_mutuos!M:M,df_mutuos!B:B,Conciliacao!A127)</f>
        <v/>
      </c>
      <c r="G127" s="6">
        <f>SUMIFS(df_bloqueios_judiciais!G:G,df_bloqueios_judiciais!D:D,Conciliacao!A127,df_bloqueios_judiciais!G:G,"&gt;0")</f>
        <v/>
      </c>
      <c r="H127" s="7">
        <f>SUMIFS(df_extratos!I:I,df_extratos!F:F,"&gt;="&amp;Conciliacao!BE127,df_extratos!F:F,"&lt;"&amp;Conciliacao!BE127+1,df_extratos!G:G,"CREDITO")
+SUMIFS(df_extratos!I:I,df_extratos!F:F,"&gt;="&amp;Conciliacao!A127, df_extratos!F:F,"&lt;"&amp;Conciliacao!A127+1, df_extratos!G:G,"CREDITO")
+SUMIFS(df_extratos!I:I,df_extratos!F:F,"&gt;="&amp;Conciliacao!BF127,df_extratos!F:F,"&lt;"&amp;Conciliacao!BF127+1,df_extratos!G:G,"CREDITO")
+SUMIFS(df_extratos!I:I,df_extratos!F:F,"&gt;="&amp;Conciliacao!BG127,df_extratos!F:F,"&lt;"&amp;Conciliacao!BG127+1,df_extratos!G:G,"CREDITO")
+SUMIFS(df_extratos!I:I,df_extratos!F:F,"&gt;="&amp;Conciliacao!BH127,df_extratos!F:F,"&lt;"&amp;Conciliacao!BH127+1,df_extratos!G:G,"CREDITO")</f>
        <v/>
      </c>
      <c r="I127" s="9">
        <f>H127-SUM(B127:G127)</f>
        <v/>
      </c>
      <c r="J127" s="4">
        <f>SUMIFS(df_blueme_sem_parcelamento!E:E,df_blueme_sem_parcelamento!H:H,Conciliacao!A127)*(-1)</f>
        <v/>
      </c>
      <c r="K127" s="4">
        <f>SUMIFS(df_blueme_com_parcelamento!J:J,df_blueme_com_parcelamento!M:M,Conciliacao!A127)*(-1)</f>
        <v/>
      </c>
      <c r="L127" s="4">
        <f>SUMIFS(df_mutuos!N:N,df_mutuos!B:B,Conciliacao!A127)*(-1)</f>
        <v/>
      </c>
      <c r="M127" s="8">
        <f>SUMIFS(df_bloqueios_judiciais!G:G,df_bloqueios_judiciais!D:D,Conciliacao!A127,df_bloqueios_judiciais!G:G,"&lt;0")</f>
        <v/>
      </c>
      <c r="N127" s="10">
        <f>SUMIFS(df_extratos!I:I,df_extratos!F:F,"&gt;="&amp;Conciliacao!BE127,df_extratos!F:F,"&lt;"&amp;Conciliacao!BE127+1,df_extratos!G:G,"DEBITO")
+SUMIFS(df_extratos!I:I,df_extratos!F:F,"&gt;="&amp;Conciliacao!A127, df_extratos!F:F,"&lt;"&amp;Conciliacao!A127+1, df_extratos!G:G,"DEBITO")
+SUMIFS(df_extratos!I:I,df_extratos!F:F,"&gt;="&amp;Conciliacao!BF127,df_extratos!F:F,"&lt;"&amp;Conciliacao!BF127+1,df_extratos!G:G,"DEBITO")
+SUMIFS(df_extratos!I:I,df_extratos!F:F,"&gt;="&amp;Conciliacao!BG127,df_extratos!F:F,"&lt;"&amp;Conciliacao!BG127+1,df_extratos!G:G,"DEBITO")
+SUMIFS(df_extratos!I:I,df_extratos!F:F,"&gt;="&amp;Conciliacao!BH127,df_extratos!F:F,"&lt;"&amp;Conciliacao!BH127+1,df_extratos!G:G,"DEBITO")</f>
        <v/>
      </c>
      <c r="O127" s="11">
        <f>N127-SUM(J127:M127)</f>
        <v/>
      </c>
      <c r="P127" s="25">
        <f>SUMIFS(df_ajustes_conciliaco!D:D,df_ajustes_conciliaco!C:C,Conciliacao!A127)</f>
        <v/>
      </c>
      <c r="Q127" s="22">
        <f>O127+I127-P127</f>
        <v/>
      </c>
      <c r="BE127" s="20" t="n">
        <v>45783.5</v>
      </c>
      <c r="BF127" s="20" t="n">
        <v>45783.125</v>
      </c>
      <c r="BG127" s="20" t="n">
        <v>45783.54166666666</v>
      </c>
      <c r="BH127" s="20" t="n">
        <v>45783.625</v>
      </c>
    </row>
    <row r="128">
      <c r="A128" s="5">
        <f>A127+1</f>
        <v/>
      </c>
      <c r="B128" s="3">
        <f>-SUMIFS(df_extrato_zig!G:G,df_extrato_zig!E:E,Conciliacao!A128,df_extrato_zig!D:D,"Saque")-SUMIFS(df_extrato_zig!G:G,df_extrato_zig!E:E,Conciliacao!A128,df_extrato_zig!D:D,"Antecipação")</f>
        <v/>
      </c>
      <c r="C128" s="3">
        <f>SUMIFS(df_extrato_zig!E:E,df_extrato_zig!L:L,Conciliacao!A128,df_extrato_zig!F:F,"DINHEIRO")</f>
        <v/>
      </c>
      <c r="D128" s="3">
        <f>SUMIFS(view_parc_agrup!H:H,view_parc_agrup!G:G,Conciliacao!A128)</f>
        <v/>
      </c>
      <c r="E128" s="3">
        <f>SUMIFS(df_eventos!F:F,df_eventos!H:H,Conciliacao!A128)</f>
        <v/>
      </c>
      <c r="F128" s="3">
        <f>SUMIFS(df_mutuos!M:M,df_mutuos!B:B,Conciliacao!A128)</f>
        <v/>
      </c>
      <c r="G128" s="6">
        <f>SUMIFS(df_bloqueios_judiciais!G:G,df_bloqueios_judiciais!D:D,Conciliacao!A128,df_bloqueios_judiciais!G:G,"&gt;0")</f>
        <v/>
      </c>
      <c r="H128" s="7">
        <f>SUMIFS(df_extratos!I:I,df_extratos!F:F,"&gt;="&amp;Conciliacao!BE128,df_extratos!F:F,"&lt;"&amp;Conciliacao!BE128+1,df_extratos!G:G,"CREDITO")
+SUMIFS(df_extratos!I:I,df_extratos!F:F,"&gt;="&amp;Conciliacao!A128, df_extratos!F:F,"&lt;"&amp;Conciliacao!A128+1, df_extratos!G:G,"CREDITO")
+SUMIFS(df_extratos!I:I,df_extratos!F:F,"&gt;="&amp;Conciliacao!BF128,df_extratos!F:F,"&lt;"&amp;Conciliacao!BF128+1,df_extratos!G:G,"CREDITO")
+SUMIFS(df_extratos!I:I,df_extratos!F:F,"&gt;="&amp;Conciliacao!BG128,df_extratos!F:F,"&lt;"&amp;Conciliacao!BG128+1,df_extratos!G:G,"CREDITO")
+SUMIFS(df_extratos!I:I,df_extratos!F:F,"&gt;="&amp;Conciliacao!BH128,df_extratos!F:F,"&lt;"&amp;Conciliacao!BH128+1,df_extratos!G:G,"CREDITO")</f>
        <v/>
      </c>
      <c r="I128" s="9">
        <f>H128-SUM(B128:G128)</f>
        <v/>
      </c>
      <c r="J128" s="4">
        <f>SUMIFS(df_blueme_sem_parcelamento!E:E,df_blueme_sem_parcelamento!H:H,Conciliacao!A128)*(-1)</f>
        <v/>
      </c>
      <c r="K128" s="4">
        <f>SUMIFS(df_blueme_com_parcelamento!J:J,df_blueme_com_parcelamento!M:M,Conciliacao!A128)*(-1)</f>
        <v/>
      </c>
      <c r="L128" s="4">
        <f>SUMIFS(df_mutuos!N:N,df_mutuos!B:B,Conciliacao!A128)*(-1)</f>
        <v/>
      </c>
      <c r="M128" s="8">
        <f>SUMIFS(df_bloqueios_judiciais!G:G,df_bloqueios_judiciais!D:D,Conciliacao!A128,df_bloqueios_judiciais!G:G,"&lt;0")</f>
        <v/>
      </c>
      <c r="N128" s="10">
        <f>SUMIFS(df_extratos!I:I,df_extratos!F:F,"&gt;="&amp;Conciliacao!BE128,df_extratos!F:F,"&lt;"&amp;Conciliacao!BE128+1,df_extratos!G:G,"DEBITO")
+SUMIFS(df_extratos!I:I,df_extratos!F:F,"&gt;="&amp;Conciliacao!A128, df_extratos!F:F,"&lt;"&amp;Conciliacao!A128+1, df_extratos!G:G,"DEBITO")
+SUMIFS(df_extratos!I:I,df_extratos!F:F,"&gt;="&amp;Conciliacao!BF128,df_extratos!F:F,"&lt;"&amp;Conciliacao!BF128+1,df_extratos!G:G,"DEBITO")
+SUMIFS(df_extratos!I:I,df_extratos!F:F,"&gt;="&amp;Conciliacao!BG128,df_extratos!F:F,"&lt;"&amp;Conciliacao!BG128+1,df_extratos!G:G,"DEBITO")
+SUMIFS(df_extratos!I:I,df_extratos!F:F,"&gt;="&amp;Conciliacao!BH128,df_extratos!F:F,"&lt;"&amp;Conciliacao!BH128+1,df_extratos!G:G,"DEBITO")</f>
        <v/>
      </c>
      <c r="O128" s="11">
        <f>N128-SUM(J128:M128)</f>
        <v/>
      </c>
      <c r="P128" s="25">
        <f>SUMIFS(df_ajustes_conciliaco!D:D,df_ajustes_conciliaco!C:C,Conciliacao!A128)</f>
        <v/>
      </c>
      <c r="Q128" s="22">
        <f>O128+I128-P128</f>
        <v/>
      </c>
      <c r="BE128" s="20" t="n">
        <v>45784.5</v>
      </c>
      <c r="BF128" s="20" t="n">
        <v>45784.125</v>
      </c>
      <c r="BG128" s="20" t="n">
        <v>45784.54166666666</v>
      </c>
      <c r="BH128" s="20" t="n">
        <v>45784.625</v>
      </c>
    </row>
    <row r="129">
      <c r="A129" s="5">
        <f>A128+1</f>
        <v/>
      </c>
      <c r="B129" s="3">
        <f>-SUMIFS(df_extrato_zig!G:G,df_extrato_zig!E:E,Conciliacao!A129,df_extrato_zig!D:D,"Saque")-SUMIFS(df_extrato_zig!G:G,df_extrato_zig!E:E,Conciliacao!A129,df_extrato_zig!D:D,"Antecipação")</f>
        <v/>
      </c>
      <c r="C129" s="3">
        <f>SUMIFS(df_extrato_zig!E:E,df_extrato_zig!L:L,Conciliacao!A129,df_extrato_zig!F:F,"DINHEIRO")</f>
        <v/>
      </c>
      <c r="D129" s="3">
        <f>SUMIFS(view_parc_agrup!H:H,view_parc_agrup!G:G,Conciliacao!A129)</f>
        <v/>
      </c>
      <c r="E129" s="3">
        <f>SUMIFS(df_eventos!F:F,df_eventos!H:H,Conciliacao!A129)</f>
        <v/>
      </c>
      <c r="F129" s="3">
        <f>SUMIFS(df_mutuos!M:M,df_mutuos!B:B,Conciliacao!A129)</f>
        <v/>
      </c>
      <c r="G129" s="6">
        <f>SUMIFS(df_bloqueios_judiciais!G:G,df_bloqueios_judiciais!D:D,Conciliacao!A129,df_bloqueios_judiciais!G:G,"&gt;0")</f>
        <v/>
      </c>
      <c r="H129" s="7">
        <f>SUMIFS(df_extratos!I:I,df_extratos!F:F,"&gt;="&amp;Conciliacao!BE129,df_extratos!F:F,"&lt;"&amp;Conciliacao!BE129+1,df_extratos!G:G,"CREDITO")
+SUMIFS(df_extratos!I:I,df_extratos!F:F,"&gt;="&amp;Conciliacao!A129, df_extratos!F:F,"&lt;"&amp;Conciliacao!A129+1, df_extratos!G:G,"CREDITO")
+SUMIFS(df_extratos!I:I,df_extratos!F:F,"&gt;="&amp;Conciliacao!BF129,df_extratos!F:F,"&lt;"&amp;Conciliacao!BF129+1,df_extratos!G:G,"CREDITO")
+SUMIFS(df_extratos!I:I,df_extratos!F:F,"&gt;="&amp;Conciliacao!BG129,df_extratos!F:F,"&lt;"&amp;Conciliacao!BG129+1,df_extratos!G:G,"CREDITO")
+SUMIFS(df_extratos!I:I,df_extratos!F:F,"&gt;="&amp;Conciliacao!BH129,df_extratos!F:F,"&lt;"&amp;Conciliacao!BH129+1,df_extratos!G:G,"CREDITO")</f>
        <v/>
      </c>
      <c r="I129" s="9">
        <f>H129-SUM(B129:G129)</f>
        <v/>
      </c>
      <c r="J129" s="4">
        <f>SUMIFS(df_blueme_sem_parcelamento!E:E,df_blueme_sem_parcelamento!H:H,Conciliacao!A129)*(-1)</f>
        <v/>
      </c>
      <c r="K129" s="4">
        <f>SUMIFS(df_blueme_com_parcelamento!J:J,df_blueme_com_parcelamento!M:M,Conciliacao!A129)*(-1)</f>
        <v/>
      </c>
      <c r="L129" s="4">
        <f>SUMIFS(df_mutuos!N:N,df_mutuos!B:B,Conciliacao!A129)*(-1)</f>
        <v/>
      </c>
      <c r="M129" s="8">
        <f>SUMIFS(df_bloqueios_judiciais!G:G,df_bloqueios_judiciais!D:D,Conciliacao!A129,df_bloqueios_judiciais!G:G,"&lt;0")</f>
        <v/>
      </c>
      <c r="N129" s="10">
        <f>SUMIFS(df_extratos!I:I,df_extratos!F:F,"&gt;="&amp;Conciliacao!BE129,df_extratos!F:F,"&lt;"&amp;Conciliacao!BE129+1,df_extratos!G:G,"DEBITO")
+SUMIFS(df_extratos!I:I,df_extratos!F:F,"&gt;="&amp;Conciliacao!A129, df_extratos!F:F,"&lt;"&amp;Conciliacao!A129+1, df_extratos!G:G,"DEBITO")
+SUMIFS(df_extratos!I:I,df_extratos!F:F,"&gt;="&amp;Conciliacao!BF129,df_extratos!F:F,"&lt;"&amp;Conciliacao!BF129+1,df_extratos!G:G,"DEBITO")
+SUMIFS(df_extratos!I:I,df_extratos!F:F,"&gt;="&amp;Conciliacao!BG129,df_extratos!F:F,"&lt;"&amp;Conciliacao!BG129+1,df_extratos!G:G,"DEBITO")
+SUMIFS(df_extratos!I:I,df_extratos!F:F,"&gt;="&amp;Conciliacao!BH129,df_extratos!F:F,"&lt;"&amp;Conciliacao!BH129+1,df_extratos!G:G,"DEBITO")</f>
        <v/>
      </c>
      <c r="O129" s="11">
        <f>N129-SUM(J129:M129)</f>
        <v/>
      </c>
      <c r="P129" s="25">
        <f>SUMIFS(df_ajustes_conciliaco!D:D,df_ajustes_conciliaco!C:C,Conciliacao!A129)</f>
        <v/>
      </c>
      <c r="Q129" s="22">
        <f>O129+I129-P129</f>
        <v/>
      </c>
      <c r="BE129" s="20" t="n">
        <v>45785.5</v>
      </c>
      <c r="BF129" s="20" t="n">
        <v>45785.125</v>
      </c>
      <c r="BG129" s="20" t="n">
        <v>45785.54166666666</v>
      </c>
      <c r="BH129" s="20" t="n">
        <v>45785.625</v>
      </c>
    </row>
    <row r="130">
      <c r="A130" s="5">
        <f>A129+1</f>
        <v/>
      </c>
      <c r="B130" s="3">
        <f>-SUMIFS(df_extrato_zig!G:G,df_extrato_zig!E:E,Conciliacao!A130,df_extrato_zig!D:D,"Saque")-SUMIFS(df_extrato_zig!G:G,df_extrato_zig!E:E,Conciliacao!A130,df_extrato_zig!D:D,"Antecipação")</f>
        <v/>
      </c>
      <c r="C130" s="3">
        <f>SUMIFS(df_extrato_zig!E:E,df_extrato_zig!L:L,Conciliacao!A130,df_extrato_zig!F:F,"DINHEIRO")</f>
        <v/>
      </c>
      <c r="D130" s="3">
        <f>SUMIFS(view_parc_agrup!H:H,view_parc_agrup!G:G,Conciliacao!A130)</f>
        <v/>
      </c>
      <c r="E130" s="3">
        <f>SUMIFS(df_eventos!F:F,df_eventos!H:H,Conciliacao!A130)</f>
        <v/>
      </c>
      <c r="F130" s="3">
        <f>SUMIFS(df_mutuos!M:M,df_mutuos!B:B,Conciliacao!A130)</f>
        <v/>
      </c>
      <c r="G130" s="6">
        <f>SUMIFS(df_bloqueios_judiciais!G:G,df_bloqueios_judiciais!D:D,Conciliacao!A130,df_bloqueios_judiciais!G:G,"&gt;0")</f>
        <v/>
      </c>
      <c r="H130" s="7">
        <f>SUMIFS(df_extratos!I:I,df_extratos!F:F,"&gt;="&amp;Conciliacao!BE130,df_extratos!F:F,"&lt;"&amp;Conciliacao!BE130+1,df_extratos!G:G,"CREDITO")
+SUMIFS(df_extratos!I:I,df_extratos!F:F,"&gt;="&amp;Conciliacao!A130, df_extratos!F:F,"&lt;"&amp;Conciliacao!A130+1, df_extratos!G:G,"CREDITO")
+SUMIFS(df_extratos!I:I,df_extratos!F:F,"&gt;="&amp;Conciliacao!BF130,df_extratos!F:F,"&lt;"&amp;Conciliacao!BF130+1,df_extratos!G:G,"CREDITO")
+SUMIFS(df_extratos!I:I,df_extratos!F:F,"&gt;="&amp;Conciliacao!BG130,df_extratos!F:F,"&lt;"&amp;Conciliacao!BG130+1,df_extratos!G:G,"CREDITO")
+SUMIFS(df_extratos!I:I,df_extratos!F:F,"&gt;="&amp;Conciliacao!BH130,df_extratos!F:F,"&lt;"&amp;Conciliacao!BH130+1,df_extratos!G:G,"CREDITO")</f>
        <v/>
      </c>
      <c r="I130" s="9">
        <f>H130-SUM(B130:G130)</f>
        <v/>
      </c>
      <c r="J130" s="4">
        <f>SUMIFS(df_blueme_sem_parcelamento!E:E,df_blueme_sem_parcelamento!H:H,Conciliacao!A130)*(-1)</f>
        <v/>
      </c>
      <c r="K130" s="4">
        <f>SUMIFS(df_blueme_com_parcelamento!J:J,df_blueme_com_parcelamento!M:M,Conciliacao!A130)*(-1)</f>
        <v/>
      </c>
      <c r="L130" s="4">
        <f>SUMIFS(df_mutuos!N:N,df_mutuos!B:B,Conciliacao!A130)*(-1)</f>
        <v/>
      </c>
      <c r="M130" s="8">
        <f>SUMIFS(df_bloqueios_judiciais!G:G,df_bloqueios_judiciais!D:D,Conciliacao!A130,df_bloqueios_judiciais!G:G,"&lt;0")</f>
        <v/>
      </c>
      <c r="N130" s="10">
        <f>SUMIFS(df_extratos!I:I,df_extratos!F:F,"&gt;="&amp;Conciliacao!BE130,df_extratos!F:F,"&lt;"&amp;Conciliacao!BE130+1,df_extratos!G:G,"DEBITO")
+SUMIFS(df_extratos!I:I,df_extratos!F:F,"&gt;="&amp;Conciliacao!A130, df_extratos!F:F,"&lt;"&amp;Conciliacao!A130+1, df_extratos!G:G,"DEBITO")
+SUMIFS(df_extratos!I:I,df_extratos!F:F,"&gt;="&amp;Conciliacao!BF130,df_extratos!F:F,"&lt;"&amp;Conciliacao!BF130+1,df_extratos!G:G,"DEBITO")
+SUMIFS(df_extratos!I:I,df_extratos!F:F,"&gt;="&amp;Conciliacao!BG130,df_extratos!F:F,"&lt;"&amp;Conciliacao!BG130+1,df_extratos!G:G,"DEBITO")
+SUMIFS(df_extratos!I:I,df_extratos!F:F,"&gt;="&amp;Conciliacao!BH130,df_extratos!F:F,"&lt;"&amp;Conciliacao!BH130+1,df_extratos!G:G,"DEBITO")</f>
        <v/>
      </c>
      <c r="O130" s="11">
        <f>N130-SUM(J130:M130)</f>
        <v/>
      </c>
      <c r="P130" s="25">
        <f>SUMIFS(df_ajustes_conciliaco!D:D,df_ajustes_conciliaco!C:C,Conciliacao!A130)</f>
        <v/>
      </c>
      <c r="Q130" s="22">
        <f>O130+I130-P130</f>
        <v/>
      </c>
      <c r="BE130" s="20" t="n">
        <v>45786.5</v>
      </c>
      <c r="BF130" s="20" t="n">
        <v>45786.125</v>
      </c>
      <c r="BG130" s="20" t="n">
        <v>45786.54166666666</v>
      </c>
      <c r="BH130" s="20" t="n">
        <v>45786.625</v>
      </c>
    </row>
    <row r="131">
      <c r="A131" s="5">
        <f>A130+1</f>
        <v/>
      </c>
      <c r="B131" s="3">
        <f>-SUMIFS(df_extrato_zig!G:G,df_extrato_zig!E:E,Conciliacao!A131,df_extrato_zig!D:D,"Saque")-SUMIFS(df_extrato_zig!G:G,df_extrato_zig!E:E,Conciliacao!A131,df_extrato_zig!D:D,"Antecipação")</f>
        <v/>
      </c>
      <c r="C131" s="3">
        <f>SUMIFS(df_extrato_zig!E:E,df_extrato_zig!L:L,Conciliacao!A131,df_extrato_zig!F:F,"DINHEIRO")</f>
        <v/>
      </c>
      <c r="D131" s="3">
        <f>SUMIFS(view_parc_agrup!H:H,view_parc_agrup!G:G,Conciliacao!A131)</f>
        <v/>
      </c>
      <c r="E131" s="3">
        <f>SUMIFS(df_eventos!F:F,df_eventos!H:H,Conciliacao!A131)</f>
        <v/>
      </c>
      <c r="F131" s="3">
        <f>SUMIFS(df_mutuos!M:M,df_mutuos!B:B,Conciliacao!A131)</f>
        <v/>
      </c>
      <c r="G131" s="6">
        <f>SUMIFS(df_bloqueios_judiciais!G:G,df_bloqueios_judiciais!D:D,Conciliacao!A131,df_bloqueios_judiciais!G:G,"&gt;0")</f>
        <v/>
      </c>
      <c r="H131" s="7">
        <f>SUMIFS(df_extratos!I:I,df_extratos!F:F,"&gt;="&amp;Conciliacao!BE131,df_extratos!F:F,"&lt;"&amp;Conciliacao!BE131+1,df_extratos!G:G,"CREDITO")
+SUMIFS(df_extratos!I:I,df_extratos!F:F,"&gt;="&amp;Conciliacao!A131, df_extratos!F:F,"&lt;"&amp;Conciliacao!A131+1, df_extratos!G:G,"CREDITO")
+SUMIFS(df_extratos!I:I,df_extratos!F:F,"&gt;="&amp;Conciliacao!BF131,df_extratos!F:F,"&lt;"&amp;Conciliacao!BF131+1,df_extratos!G:G,"CREDITO")
+SUMIFS(df_extratos!I:I,df_extratos!F:F,"&gt;="&amp;Conciliacao!BG131,df_extratos!F:F,"&lt;"&amp;Conciliacao!BG131+1,df_extratos!G:G,"CREDITO")
+SUMIFS(df_extratos!I:I,df_extratos!F:F,"&gt;="&amp;Conciliacao!BH131,df_extratos!F:F,"&lt;"&amp;Conciliacao!BH131+1,df_extratos!G:G,"CREDITO")</f>
        <v/>
      </c>
      <c r="I131" s="9">
        <f>H131-SUM(B131:G131)</f>
        <v/>
      </c>
      <c r="J131" s="4">
        <f>SUMIFS(df_blueme_sem_parcelamento!E:E,df_blueme_sem_parcelamento!H:H,Conciliacao!A131)*(-1)</f>
        <v/>
      </c>
      <c r="K131" s="4">
        <f>SUMIFS(df_blueme_com_parcelamento!J:J,df_blueme_com_parcelamento!M:M,Conciliacao!A131)*(-1)</f>
        <v/>
      </c>
      <c r="L131" s="4">
        <f>SUMIFS(df_mutuos!N:N,df_mutuos!B:B,Conciliacao!A131)*(-1)</f>
        <v/>
      </c>
      <c r="M131" s="8">
        <f>SUMIFS(df_bloqueios_judiciais!G:G,df_bloqueios_judiciais!D:D,Conciliacao!A131,df_bloqueios_judiciais!G:G,"&lt;0")</f>
        <v/>
      </c>
      <c r="N131" s="10">
        <f>SUMIFS(df_extratos!I:I,df_extratos!F:F,"&gt;="&amp;Conciliacao!BE131,df_extratos!F:F,"&lt;"&amp;Conciliacao!BE131+1,df_extratos!G:G,"DEBITO")
+SUMIFS(df_extratos!I:I,df_extratos!F:F,"&gt;="&amp;Conciliacao!A131, df_extratos!F:F,"&lt;"&amp;Conciliacao!A131+1, df_extratos!G:G,"DEBITO")
+SUMIFS(df_extratos!I:I,df_extratos!F:F,"&gt;="&amp;Conciliacao!BF131,df_extratos!F:F,"&lt;"&amp;Conciliacao!BF131+1,df_extratos!G:G,"DEBITO")
+SUMIFS(df_extratos!I:I,df_extratos!F:F,"&gt;="&amp;Conciliacao!BG131,df_extratos!F:F,"&lt;"&amp;Conciliacao!BG131+1,df_extratos!G:G,"DEBITO")
+SUMIFS(df_extratos!I:I,df_extratos!F:F,"&gt;="&amp;Conciliacao!BH131,df_extratos!F:F,"&lt;"&amp;Conciliacao!BH131+1,df_extratos!G:G,"DEBITO")</f>
        <v/>
      </c>
      <c r="O131" s="11">
        <f>N131-SUM(J131:M131)</f>
        <v/>
      </c>
      <c r="P131" s="25">
        <f>SUMIFS(df_ajustes_conciliaco!D:D,df_ajustes_conciliaco!C:C,Conciliacao!A131)</f>
        <v/>
      </c>
      <c r="Q131" s="22">
        <f>O131+I131-P131</f>
        <v/>
      </c>
      <c r="BE131" s="20" t="n">
        <v>45787.5</v>
      </c>
      <c r="BF131" s="20" t="n">
        <v>45787.125</v>
      </c>
      <c r="BG131" s="20" t="n">
        <v>45787.54166666666</v>
      </c>
      <c r="BH131" s="20" t="n">
        <v>45787.625</v>
      </c>
    </row>
    <row r="132">
      <c r="A132" s="5">
        <f>A131+1</f>
        <v/>
      </c>
      <c r="B132" s="3">
        <f>-SUMIFS(df_extrato_zig!G:G,df_extrato_zig!E:E,Conciliacao!A132,df_extrato_zig!D:D,"Saque")-SUMIFS(df_extrato_zig!G:G,df_extrato_zig!E:E,Conciliacao!A132,df_extrato_zig!D:D,"Antecipação")</f>
        <v/>
      </c>
      <c r="C132" s="3">
        <f>SUMIFS(df_extrato_zig!E:E,df_extrato_zig!L:L,Conciliacao!A132,df_extrato_zig!F:F,"DINHEIRO")</f>
        <v/>
      </c>
      <c r="D132" s="3">
        <f>SUMIFS(view_parc_agrup!H:H,view_parc_agrup!G:G,Conciliacao!A132)</f>
        <v/>
      </c>
      <c r="E132" s="3">
        <f>SUMIFS(df_eventos!F:F,df_eventos!H:H,Conciliacao!A132)</f>
        <v/>
      </c>
      <c r="F132" s="3">
        <f>SUMIFS(df_mutuos!M:M,df_mutuos!B:B,Conciliacao!A132)</f>
        <v/>
      </c>
      <c r="G132" s="6">
        <f>SUMIFS(df_bloqueios_judiciais!G:G,df_bloqueios_judiciais!D:D,Conciliacao!A132,df_bloqueios_judiciais!G:G,"&gt;0")</f>
        <v/>
      </c>
      <c r="H132" s="7">
        <f>SUMIFS(df_extratos!I:I,df_extratos!F:F,"&gt;="&amp;Conciliacao!BE132,df_extratos!F:F,"&lt;"&amp;Conciliacao!BE132+1,df_extratos!G:G,"CREDITO")
+SUMIFS(df_extratos!I:I,df_extratos!F:F,"&gt;="&amp;Conciliacao!A132, df_extratos!F:F,"&lt;"&amp;Conciliacao!A132+1, df_extratos!G:G,"CREDITO")
+SUMIFS(df_extratos!I:I,df_extratos!F:F,"&gt;="&amp;Conciliacao!BF132,df_extratos!F:F,"&lt;"&amp;Conciliacao!BF132+1,df_extratos!G:G,"CREDITO")
+SUMIFS(df_extratos!I:I,df_extratos!F:F,"&gt;="&amp;Conciliacao!BG132,df_extratos!F:F,"&lt;"&amp;Conciliacao!BG132+1,df_extratos!G:G,"CREDITO")
+SUMIFS(df_extratos!I:I,df_extratos!F:F,"&gt;="&amp;Conciliacao!BH132,df_extratos!F:F,"&lt;"&amp;Conciliacao!BH132+1,df_extratos!G:G,"CREDITO")</f>
        <v/>
      </c>
      <c r="I132" s="9">
        <f>H132-SUM(B132:G132)</f>
        <v/>
      </c>
      <c r="J132" s="4">
        <f>SUMIFS(df_blueme_sem_parcelamento!E:E,df_blueme_sem_parcelamento!H:H,Conciliacao!A132)*(-1)</f>
        <v/>
      </c>
      <c r="K132" s="4">
        <f>SUMIFS(df_blueme_com_parcelamento!J:J,df_blueme_com_parcelamento!M:M,Conciliacao!A132)*(-1)</f>
        <v/>
      </c>
      <c r="L132" s="4">
        <f>SUMIFS(df_mutuos!N:N,df_mutuos!B:B,Conciliacao!A132)*(-1)</f>
        <v/>
      </c>
      <c r="M132" s="8">
        <f>SUMIFS(df_bloqueios_judiciais!G:G,df_bloqueios_judiciais!D:D,Conciliacao!A132,df_bloqueios_judiciais!G:G,"&lt;0")</f>
        <v/>
      </c>
      <c r="N132" s="10">
        <f>SUMIFS(df_extratos!I:I,df_extratos!F:F,"&gt;="&amp;Conciliacao!BE132,df_extratos!F:F,"&lt;"&amp;Conciliacao!BE132+1,df_extratos!G:G,"DEBITO")
+SUMIFS(df_extratos!I:I,df_extratos!F:F,"&gt;="&amp;Conciliacao!A132, df_extratos!F:F,"&lt;"&amp;Conciliacao!A132+1, df_extratos!G:G,"DEBITO")
+SUMIFS(df_extratos!I:I,df_extratos!F:F,"&gt;="&amp;Conciliacao!BF132,df_extratos!F:F,"&lt;"&amp;Conciliacao!BF132+1,df_extratos!G:G,"DEBITO")
+SUMIFS(df_extratos!I:I,df_extratos!F:F,"&gt;="&amp;Conciliacao!BG132,df_extratos!F:F,"&lt;"&amp;Conciliacao!BG132+1,df_extratos!G:G,"DEBITO")
+SUMIFS(df_extratos!I:I,df_extratos!F:F,"&gt;="&amp;Conciliacao!BH132,df_extratos!F:F,"&lt;"&amp;Conciliacao!BH132+1,df_extratos!G:G,"DEBITO")</f>
        <v/>
      </c>
      <c r="O132" s="11">
        <f>N132-SUM(J132:M132)</f>
        <v/>
      </c>
      <c r="P132" s="25">
        <f>SUMIFS(df_ajustes_conciliaco!D:D,df_ajustes_conciliaco!C:C,Conciliacao!A132)</f>
        <v/>
      </c>
      <c r="Q132" s="22">
        <f>O132+I132-P132</f>
        <v/>
      </c>
      <c r="BE132" s="20" t="n">
        <v>45788.5</v>
      </c>
      <c r="BF132" s="20" t="n">
        <v>45788.125</v>
      </c>
      <c r="BG132" s="20" t="n">
        <v>45788.54166666666</v>
      </c>
      <c r="BH132" s="20" t="n">
        <v>45788.625</v>
      </c>
    </row>
    <row r="133">
      <c r="A133" s="5">
        <f>A132+1</f>
        <v/>
      </c>
      <c r="B133" s="3">
        <f>-SUMIFS(df_extrato_zig!G:G,df_extrato_zig!E:E,Conciliacao!A133,df_extrato_zig!D:D,"Saque")-SUMIFS(df_extrato_zig!G:G,df_extrato_zig!E:E,Conciliacao!A133,df_extrato_zig!D:D,"Antecipação")</f>
        <v/>
      </c>
      <c r="C133" s="3">
        <f>SUMIFS(df_extrato_zig!E:E,df_extrato_zig!L:L,Conciliacao!A133,df_extrato_zig!F:F,"DINHEIRO")</f>
        <v/>
      </c>
      <c r="D133" s="3">
        <f>SUMIFS(view_parc_agrup!H:H,view_parc_agrup!G:G,Conciliacao!A133)</f>
        <v/>
      </c>
      <c r="E133" s="3">
        <f>SUMIFS(df_eventos!F:F,df_eventos!H:H,Conciliacao!A133)</f>
        <v/>
      </c>
      <c r="F133" s="3">
        <f>SUMIFS(df_mutuos!M:M,df_mutuos!B:B,Conciliacao!A133)</f>
        <v/>
      </c>
      <c r="G133" s="6">
        <f>SUMIFS(df_bloqueios_judiciais!G:G,df_bloqueios_judiciais!D:D,Conciliacao!A133,df_bloqueios_judiciais!G:G,"&gt;0")</f>
        <v/>
      </c>
      <c r="H133" s="7">
        <f>SUMIFS(df_extratos!I:I,df_extratos!F:F,"&gt;="&amp;Conciliacao!BE133,df_extratos!F:F,"&lt;"&amp;Conciliacao!BE133+1,df_extratos!G:G,"CREDITO")
+SUMIFS(df_extratos!I:I,df_extratos!F:F,"&gt;="&amp;Conciliacao!A133, df_extratos!F:F,"&lt;"&amp;Conciliacao!A133+1, df_extratos!G:G,"CREDITO")
+SUMIFS(df_extratos!I:I,df_extratos!F:F,"&gt;="&amp;Conciliacao!BF133,df_extratos!F:F,"&lt;"&amp;Conciliacao!BF133+1,df_extratos!G:G,"CREDITO")
+SUMIFS(df_extratos!I:I,df_extratos!F:F,"&gt;="&amp;Conciliacao!BG133,df_extratos!F:F,"&lt;"&amp;Conciliacao!BG133+1,df_extratos!G:G,"CREDITO")
+SUMIFS(df_extratos!I:I,df_extratos!F:F,"&gt;="&amp;Conciliacao!BH133,df_extratos!F:F,"&lt;"&amp;Conciliacao!BH133+1,df_extratos!G:G,"CREDITO")</f>
        <v/>
      </c>
      <c r="I133" s="9">
        <f>H133-SUM(B133:G133)</f>
        <v/>
      </c>
      <c r="J133" s="4">
        <f>SUMIFS(df_blueme_sem_parcelamento!E:E,df_blueme_sem_parcelamento!H:H,Conciliacao!A133)*(-1)</f>
        <v/>
      </c>
      <c r="K133" s="4">
        <f>SUMIFS(df_blueme_com_parcelamento!J:J,df_blueme_com_parcelamento!M:M,Conciliacao!A133)*(-1)</f>
        <v/>
      </c>
      <c r="L133" s="4">
        <f>SUMIFS(df_mutuos!N:N,df_mutuos!B:B,Conciliacao!A133)*(-1)</f>
        <v/>
      </c>
      <c r="M133" s="8">
        <f>SUMIFS(df_bloqueios_judiciais!G:G,df_bloqueios_judiciais!D:D,Conciliacao!A133,df_bloqueios_judiciais!G:G,"&lt;0")</f>
        <v/>
      </c>
      <c r="N133" s="10">
        <f>SUMIFS(df_extratos!I:I,df_extratos!F:F,"&gt;="&amp;Conciliacao!BE133,df_extratos!F:F,"&lt;"&amp;Conciliacao!BE133+1,df_extratos!G:G,"DEBITO")
+SUMIFS(df_extratos!I:I,df_extratos!F:F,"&gt;="&amp;Conciliacao!A133, df_extratos!F:F,"&lt;"&amp;Conciliacao!A133+1, df_extratos!G:G,"DEBITO")
+SUMIFS(df_extratos!I:I,df_extratos!F:F,"&gt;="&amp;Conciliacao!BF133,df_extratos!F:F,"&lt;"&amp;Conciliacao!BF133+1,df_extratos!G:G,"DEBITO")
+SUMIFS(df_extratos!I:I,df_extratos!F:F,"&gt;="&amp;Conciliacao!BG133,df_extratos!F:F,"&lt;"&amp;Conciliacao!BG133+1,df_extratos!G:G,"DEBITO")
+SUMIFS(df_extratos!I:I,df_extratos!F:F,"&gt;="&amp;Conciliacao!BH133,df_extratos!F:F,"&lt;"&amp;Conciliacao!BH133+1,df_extratos!G:G,"DEBITO")</f>
        <v/>
      </c>
      <c r="O133" s="11">
        <f>N133-SUM(J133:M133)</f>
        <v/>
      </c>
      <c r="P133" s="25">
        <f>SUMIFS(df_ajustes_conciliaco!D:D,df_ajustes_conciliaco!C:C,Conciliacao!A133)</f>
        <v/>
      </c>
      <c r="Q133" s="22">
        <f>O133+I133-P133</f>
        <v/>
      </c>
      <c r="BE133" s="20" t="n">
        <v>45789.5</v>
      </c>
      <c r="BF133" s="20" t="n">
        <v>45789.125</v>
      </c>
      <c r="BG133" s="20" t="n">
        <v>45789.54166666666</v>
      </c>
      <c r="BH133" s="20" t="n">
        <v>45789.625</v>
      </c>
    </row>
    <row r="134">
      <c r="A134" s="5">
        <f>A133+1</f>
        <v/>
      </c>
      <c r="B134" s="3">
        <f>-SUMIFS(df_extrato_zig!G:G,df_extrato_zig!E:E,Conciliacao!A134,df_extrato_zig!D:D,"Saque")-SUMIFS(df_extrato_zig!G:G,df_extrato_zig!E:E,Conciliacao!A134,df_extrato_zig!D:D,"Antecipação")</f>
        <v/>
      </c>
      <c r="C134" s="3">
        <f>SUMIFS(df_extrato_zig!E:E,df_extrato_zig!L:L,Conciliacao!A134,df_extrato_zig!F:F,"DINHEIRO")</f>
        <v/>
      </c>
      <c r="D134" s="3">
        <f>SUMIFS(view_parc_agrup!H:H,view_parc_agrup!G:G,Conciliacao!A134)</f>
        <v/>
      </c>
      <c r="E134" s="3">
        <f>SUMIFS(df_eventos!F:F,df_eventos!H:H,Conciliacao!A134)</f>
        <v/>
      </c>
      <c r="F134" s="3">
        <f>SUMIFS(df_mutuos!M:M,df_mutuos!B:B,Conciliacao!A134)</f>
        <v/>
      </c>
      <c r="G134" s="6">
        <f>SUMIFS(df_bloqueios_judiciais!G:G,df_bloqueios_judiciais!D:D,Conciliacao!A134,df_bloqueios_judiciais!G:G,"&gt;0")</f>
        <v/>
      </c>
      <c r="H134" s="7">
        <f>SUMIFS(df_extratos!I:I,df_extratos!F:F,"&gt;="&amp;Conciliacao!BE134,df_extratos!F:F,"&lt;"&amp;Conciliacao!BE134+1,df_extratos!G:G,"CREDITO")
+SUMIFS(df_extratos!I:I,df_extratos!F:F,"&gt;="&amp;Conciliacao!A134, df_extratos!F:F,"&lt;"&amp;Conciliacao!A134+1, df_extratos!G:G,"CREDITO")
+SUMIFS(df_extratos!I:I,df_extratos!F:F,"&gt;="&amp;Conciliacao!BF134,df_extratos!F:F,"&lt;"&amp;Conciliacao!BF134+1,df_extratos!G:G,"CREDITO")
+SUMIFS(df_extratos!I:I,df_extratos!F:F,"&gt;="&amp;Conciliacao!BG134,df_extratos!F:F,"&lt;"&amp;Conciliacao!BG134+1,df_extratos!G:G,"CREDITO")
+SUMIFS(df_extratos!I:I,df_extratos!F:F,"&gt;="&amp;Conciliacao!BH134,df_extratos!F:F,"&lt;"&amp;Conciliacao!BH134+1,df_extratos!G:G,"CREDITO")</f>
        <v/>
      </c>
      <c r="I134" s="9">
        <f>H134-SUM(B134:G134)</f>
        <v/>
      </c>
      <c r="J134" s="4">
        <f>SUMIFS(df_blueme_sem_parcelamento!E:E,df_blueme_sem_parcelamento!H:H,Conciliacao!A134)*(-1)</f>
        <v/>
      </c>
      <c r="K134" s="4">
        <f>SUMIFS(df_blueme_com_parcelamento!J:J,df_blueme_com_parcelamento!M:M,Conciliacao!A134)*(-1)</f>
        <v/>
      </c>
      <c r="L134" s="4">
        <f>SUMIFS(df_mutuos!N:N,df_mutuos!B:B,Conciliacao!A134)*(-1)</f>
        <v/>
      </c>
      <c r="M134" s="8">
        <f>SUMIFS(df_bloqueios_judiciais!G:G,df_bloqueios_judiciais!D:D,Conciliacao!A134,df_bloqueios_judiciais!G:G,"&lt;0")</f>
        <v/>
      </c>
      <c r="N134" s="10">
        <f>SUMIFS(df_extratos!I:I,df_extratos!F:F,"&gt;="&amp;Conciliacao!BE134,df_extratos!F:F,"&lt;"&amp;Conciliacao!BE134+1,df_extratos!G:G,"DEBITO")
+SUMIFS(df_extratos!I:I,df_extratos!F:F,"&gt;="&amp;Conciliacao!A134, df_extratos!F:F,"&lt;"&amp;Conciliacao!A134+1, df_extratos!G:G,"DEBITO")
+SUMIFS(df_extratos!I:I,df_extratos!F:F,"&gt;="&amp;Conciliacao!BF134,df_extratos!F:F,"&lt;"&amp;Conciliacao!BF134+1,df_extratos!G:G,"DEBITO")
+SUMIFS(df_extratos!I:I,df_extratos!F:F,"&gt;="&amp;Conciliacao!BG134,df_extratos!F:F,"&lt;"&amp;Conciliacao!BG134+1,df_extratos!G:G,"DEBITO")
+SUMIFS(df_extratos!I:I,df_extratos!F:F,"&gt;="&amp;Conciliacao!BH134,df_extratos!F:F,"&lt;"&amp;Conciliacao!BH134+1,df_extratos!G:G,"DEBITO")</f>
        <v/>
      </c>
      <c r="O134" s="11">
        <f>N134-SUM(J134:M134)</f>
        <v/>
      </c>
      <c r="P134" s="25">
        <f>SUMIFS(df_ajustes_conciliaco!D:D,df_ajustes_conciliaco!C:C,Conciliacao!A134)</f>
        <v/>
      </c>
      <c r="Q134" s="22">
        <f>O134+I134-P134</f>
        <v/>
      </c>
      <c r="BE134" s="20" t="n">
        <v>45790.5</v>
      </c>
      <c r="BF134" s="20" t="n">
        <v>45790.125</v>
      </c>
      <c r="BG134" s="20" t="n">
        <v>45790.54166666666</v>
      </c>
      <c r="BH134" s="20" t="n">
        <v>45790.625</v>
      </c>
    </row>
    <row r="135">
      <c r="A135" s="5">
        <f>A134+1</f>
        <v/>
      </c>
      <c r="B135" s="3">
        <f>-SUMIFS(df_extrato_zig!G:G,df_extrato_zig!E:E,Conciliacao!A135,df_extrato_zig!D:D,"Saque")-SUMIFS(df_extrato_zig!G:G,df_extrato_zig!E:E,Conciliacao!A135,df_extrato_zig!D:D,"Antecipação")</f>
        <v/>
      </c>
      <c r="C135" s="3">
        <f>SUMIFS(df_extrato_zig!E:E,df_extrato_zig!L:L,Conciliacao!A135,df_extrato_zig!F:F,"DINHEIRO")</f>
        <v/>
      </c>
      <c r="D135" s="3">
        <f>SUMIFS(view_parc_agrup!H:H,view_parc_agrup!G:G,Conciliacao!A135)</f>
        <v/>
      </c>
      <c r="E135" s="3">
        <f>SUMIFS(df_eventos!F:F,df_eventos!H:H,Conciliacao!A135)</f>
        <v/>
      </c>
      <c r="F135" s="3">
        <f>SUMIFS(df_mutuos!M:M,df_mutuos!B:B,Conciliacao!A135)</f>
        <v/>
      </c>
      <c r="G135" s="6">
        <f>SUMIFS(df_bloqueios_judiciais!G:G,df_bloqueios_judiciais!D:D,Conciliacao!A135,df_bloqueios_judiciais!G:G,"&gt;0")</f>
        <v/>
      </c>
      <c r="H135" s="7">
        <f>SUMIFS(df_extratos!I:I,df_extratos!F:F,"&gt;="&amp;Conciliacao!BE135,df_extratos!F:F,"&lt;"&amp;Conciliacao!BE135+1,df_extratos!G:G,"CREDITO")
+SUMIFS(df_extratos!I:I,df_extratos!F:F,"&gt;="&amp;Conciliacao!A135, df_extratos!F:F,"&lt;"&amp;Conciliacao!A135+1, df_extratos!G:G,"CREDITO")
+SUMIFS(df_extratos!I:I,df_extratos!F:F,"&gt;="&amp;Conciliacao!BF135,df_extratos!F:F,"&lt;"&amp;Conciliacao!BF135+1,df_extratos!G:G,"CREDITO")
+SUMIFS(df_extratos!I:I,df_extratos!F:F,"&gt;="&amp;Conciliacao!BG135,df_extratos!F:F,"&lt;"&amp;Conciliacao!BG135+1,df_extratos!G:G,"CREDITO")
+SUMIFS(df_extratos!I:I,df_extratos!F:F,"&gt;="&amp;Conciliacao!BH135,df_extratos!F:F,"&lt;"&amp;Conciliacao!BH135+1,df_extratos!G:G,"CREDITO")</f>
        <v/>
      </c>
      <c r="I135" s="9">
        <f>H135-SUM(B135:G135)</f>
        <v/>
      </c>
      <c r="J135" s="4">
        <f>SUMIFS(df_blueme_sem_parcelamento!E:E,df_blueme_sem_parcelamento!H:H,Conciliacao!A135)*(-1)</f>
        <v/>
      </c>
      <c r="K135" s="4">
        <f>SUMIFS(df_blueme_com_parcelamento!J:J,df_blueme_com_parcelamento!M:M,Conciliacao!A135)*(-1)</f>
        <v/>
      </c>
      <c r="L135" s="4">
        <f>SUMIFS(df_mutuos!N:N,df_mutuos!B:B,Conciliacao!A135)*(-1)</f>
        <v/>
      </c>
      <c r="M135" s="8">
        <f>SUMIFS(df_bloqueios_judiciais!G:G,df_bloqueios_judiciais!D:D,Conciliacao!A135,df_bloqueios_judiciais!G:G,"&lt;0")</f>
        <v/>
      </c>
      <c r="N135" s="10">
        <f>SUMIFS(df_extratos!I:I,df_extratos!F:F,"&gt;="&amp;Conciliacao!BE135,df_extratos!F:F,"&lt;"&amp;Conciliacao!BE135+1,df_extratos!G:G,"DEBITO")
+SUMIFS(df_extratos!I:I,df_extratos!F:F,"&gt;="&amp;Conciliacao!A135, df_extratos!F:F,"&lt;"&amp;Conciliacao!A135+1, df_extratos!G:G,"DEBITO")
+SUMIFS(df_extratos!I:I,df_extratos!F:F,"&gt;="&amp;Conciliacao!BF135,df_extratos!F:F,"&lt;"&amp;Conciliacao!BF135+1,df_extratos!G:G,"DEBITO")
+SUMIFS(df_extratos!I:I,df_extratos!F:F,"&gt;="&amp;Conciliacao!BG135,df_extratos!F:F,"&lt;"&amp;Conciliacao!BG135+1,df_extratos!G:G,"DEBITO")
+SUMIFS(df_extratos!I:I,df_extratos!F:F,"&gt;="&amp;Conciliacao!BH135,df_extratos!F:F,"&lt;"&amp;Conciliacao!BH135+1,df_extratos!G:G,"DEBITO")</f>
        <v/>
      </c>
      <c r="O135" s="11">
        <f>N135-SUM(J135:M135)</f>
        <v/>
      </c>
      <c r="P135" s="25">
        <f>SUMIFS(df_ajustes_conciliaco!D:D,df_ajustes_conciliaco!C:C,Conciliacao!A135)</f>
        <v/>
      </c>
      <c r="Q135" s="22">
        <f>O135+I135-P135</f>
        <v/>
      </c>
      <c r="BE135" s="20" t="n">
        <v>45791.5</v>
      </c>
      <c r="BF135" s="20" t="n">
        <v>45791.125</v>
      </c>
      <c r="BG135" s="20" t="n">
        <v>45791.54166666666</v>
      </c>
      <c r="BH135" s="20" t="n">
        <v>45791.625</v>
      </c>
    </row>
    <row r="136">
      <c r="A136" s="5">
        <f>A135+1</f>
        <v/>
      </c>
      <c r="B136" s="3">
        <f>-SUMIFS(df_extrato_zig!G:G,df_extrato_zig!E:E,Conciliacao!A136,df_extrato_zig!D:D,"Saque")-SUMIFS(df_extrato_zig!G:G,df_extrato_zig!E:E,Conciliacao!A136,df_extrato_zig!D:D,"Antecipação")</f>
        <v/>
      </c>
      <c r="C136" s="3">
        <f>SUMIFS(df_extrato_zig!E:E,df_extrato_zig!L:L,Conciliacao!A136,df_extrato_zig!F:F,"DINHEIRO")</f>
        <v/>
      </c>
      <c r="D136" s="3">
        <f>SUMIFS(view_parc_agrup!H:H,view_parc_agrup!G:G,Conciliacao!A136)</f>
        <v/>
      </c>
      <c r="E136" s="3">
        <f>SUMIFS(df_eventos!F:F,df_eventos!H:H,Conciliacao!A136)</f>
        <v/>
      </c>
      <c r="F136" s="3">
        <f>SUMIFS(df_mutuos!M:M,df_mutuos!B:B,Conciliacao!A136)</f>
        <v/>
      </c>
      <c r="G136" s="6">
        <f>SUMIFS(df_bloqueios_judiciais!G:G,df_bloqueios_judiciais!D:D,Conciliacao!A136,df_bloqueios_judiciais!G:G,"&gt;0")</f>
        <v/>
      </c>
      <c r="H136" s="7">
        <f>SUMIFS(df_extratos!I:I,df_extratos!F:F,"&gt;="&amp;Conciliacao!BE136,df_extratos!F:F,"&lt;"&amp;Conciliacao!BE136+1,df_extratos!G:G,"CREDITO")
+SUMIFS(df_extratos!I:I,df_extratos!F:F,"&gt;="&amp;Conciliacao!A136, df_extratos!F:F,"&lt;"&amp;Conciliacao!A136+1, df_extratos!G:G,"CREDITO")
+SUMIFS(df_extratos!I:I,df_extratos!F:F,"&gt;="&amp;Conciliacao!BF136,df_extratos!F:F,"&lt;"&amp;Conciliacao!BF136+1,df_extratos!G:G,"CREDITO")
+SUMIFS(df_extratos!I:I,df_extratos!F:F,"&gt;="&amp;Conciliacao!BG136,df_extratos!F:F,"&lt;"&amp;Conciliacao!BG136+1,df_extratos!G:G,"CREDITO")
+SUMIFS(df_extratos!I:I,df_extratos!F:F,"&gt;="&amp;Conciliacao!BH136,df_extratos!F:F,"&lt;"&amp;Conciliacao!BH136+1,df_extratos!G:G,"CREDITO")</f>
        <v/>
      </c>
      <c r="I136" s="9">
        <f>H136-SUM(B136:G136)</f>
        <v/>
      </c>
      <c r="J136" s="4">
        <f>SUMIFS(df_blueme_sem_parcelamento!E:E,df_blueme_sem_parcelamento!H:H,Conciliacao!A136)*(-1)</f>
        <v/>
      </c>
      <c r="K136" s="4">
        <f>SUMIFS(df_blueme_com_parcelamento!J:J,df_blueme_com_parcelamento!M:M,Conciliacao!A136)*(-1)</f>
        <v/>
      </c>
      <c r="L136" s="4">
        <f>SUMIFS(df_mutuos!N:N,df_mutuos!B:B,Conciliacao!A136)*(-1)</f>
        <v/>
      </c>
      <c r="M136" s="8">
        <f>SUMIFS(df_bloqueios_judiciais!G:G,df_bloqueios_judiciais!D:D,Conciliacao!A136,df_bloqueios_judiciais!G:G,"&lt;0")</f>
        <v/>
      </c>
      <c r="N136" s="10">
        <f>SUMIFS(df_extratos!I:I,df_extratos!F:F,"&gt;="&amp;Conciliacao!BE136,df_extratos!F:F,"&lt;"&amp;Conciliacao!BE136+1,df_extratos!G:G,"DEBITO")
+SUMIFS(df_extratos!I:I,df_extratos!F:F,"&gt;="&amp;Conciliacao!A136, df_extratos!F:F,"&lt;"&amp;Conciliacao!A136+1, df_extratos!G:G,"DEBITO")
+SUMIFS(df_extratos!I:I,df_extratos!F:F,"&gt;="&amp;Conciliacao!BF136,df_extratos!F:F,"&lt;"&amp;Conciliacao!BF136+1,df_extratos!G:G,"DEBITO")
+SUMIFS(df_extratos!I:I,df_extratos!F:F,"&gt;="&amp;Conciliacao!BG136,df_extratos!F:F,"&lt;"&amp;Conciliacao!BG136+1,df_extratos!G:G,"DEBITO")
+SUMIFS(df_extratos!I:I,df_extratos!F:F,"&gt;="&amp;Conciliacao!BH136,df_extratos!F:F,"&lt;"&amp;Conciliacao!BH136+1,df_extratos!G:G,"DEBITO")</f>
        <v/>
      </c>
      <c r="O136" s="11">
        <f>N136-SUM(J136:M136)</f>
        <v/>
      </c>
      <c r="P136" s="25">
        <f>SUMIFS(df_ajustes_conciliaco!D:D,df_ajustes_conciliaco!C:C,Conciliacao!A136)</f>
        <v/>
      </c>
      <c r="Q136" s="22">
        <f>O136+I136-P136</f>
        <v/>
      </c>
      <c r="BE136" s="20" t="n">
        <v>45792.5</v>
      </c>
      <c r="BF136" s="20" t="n">
        <v>45792.125</v>
      </c>
      <c r="BG136" s="20" t="n">
        <v>45792.54166666666</v>
      </c>
      <c r="BH136" s="20" t="n">
        <v>45792.625</v>
      </c>
    </row>
    <row r="137">
      <c r="A137" s="5">
        <f>A136+1</f>
        <v/>
      </c>
      <c r="B137" s="3">
        <f>-SUMIFS(df_extrato_zig!G:G,df_extrato_zig!E:E,Conciliacao!A137,df_extrato_zig!D:D,"Saque")-SUMIFS(df_extrato_zig!G:G,df_extrato_zig!E:E,Conciliacao!A137,df_extrato_zig!D:D,"Antecipação")</f>
        <v/>
      </c>
      <c r="C137" s="3">
        <f>SUMIFS(df_extrato_zig!E:E,df_extrato_zig!L:L,Conciliacao!A137,df_extrato_zig!F:F,"DINHEIRO")</f>
        <v/>
      </c>
      <c r="D137" s="3">
        <f>SUMIFS(view_parc_agrup!H:H,view_parc_agrup!G:G,Conciliacao!A137)</f>
        <v/>
      </c>
      <c r="E137" s="3">
        <f>SUMIFS(df_eventos!F:F,df_eventos!H:H,Conciliacao!A137)</f>
        <v/>
      </c>
      <c r="F137" s="3">
        <f>SUMIFS(df_mutuos!M:M,df_mutuos!B:B,Conciliacao!A137)</f>
        <v/>
      </c>
      <c r="G137" s="6">
        <f>SUMIFS(df_bloqueios_judiciais!G:G,df_bloqueios_judiciais!D:D,Conciliacao!A137,df_bloqueios_judiciais!G:G,"&gt;0")</f>
        <v/>
      </c>
      <c r="H137" s="7">
        <f>SUMIFS(df_extratos!I:I,df_extratos!F:F,"&gt;="&amp;Conciliacao!BE137,df_extratos!F:F,"&lt;"&amp;Conciliacao!BE137+1,df_extratos!G:G,"CREDITO")
+SUMIFS(df_extratos!I:I,df_extratos!F:F,"&gt;="&amp;Conciliacao!A137, df_extratos!F:F,"&lt;"&amp;Conciliacao!A137+1, df_extratos!G:G,"CREDITO")
+SUMIFS(df_extratos!I:I,df_extratos!F:F,"&gt;="&amp;Conciliacao!BF137,df_extratos!F:F,"&lt;"&amp;Conciliacao!BF137+1,df_extratos!G:G,"CREDITO")
+SUMIFS(df_extratos!I:I,df_extratos!F:F,"&gt;="&amp;Conciliacao!BG137,df_extratos!F:F,"&lt;"&amp;Conciliacao!BG137+1,df_extratos!G:G,"CREDITO")
+SUMIFS(df_extratos!I:I,df_extratos!F:F,"&gt;="&amp;Conciliacao!BH137,df_extratos!F:F,"&lt;"&amp;Conciliacao!BH137+1,df_extratos!G:G,"CREDITO")</f>
        <v/>
      </c>
      <c r="I137" s="9">
        <f>H137-SUM(B137:G137)</f>
        <v/>
      </c>
      <c r="J137" s="4">
        <f>SUMIFS(df_blueme_sem_parcelamento!E:E,df_blueme_sem_parcelamento!H:H,Conciliacao!A137)*(-1)</f>
        <v/>
      </c>
      <c r="K137" s="4">
        <f>SUMIFS(df_blueme_com_parcelamento!J:J,df_blueme_com_parcelamento!M:M,Conciliacao!A137)*(-1)</f>
        <v/>
      </c>
      <c r="L137" s="4">
        <f>SUMIFS(df_mutuos!N:N,df_mutuos!B:B,Conciliacao!A137)*(-1)</f>
        <v/>
      </c>
      <c r="M137" s="8">
        <f>SUMIFS(df_bloqueios_judiciais!G:G,df_bloqueios_judiciais!D:D,Conciliacao!A137,df_bloqueios_judiciais!G:G,"&lt;0")</f>
        <v/>
      </c>
      <c r="N137" s="10">
        <f>SUMIFS(df_extratos!I:I,df_extratos!F:F,"&gt;="&amp;Conciliacao!BE137,df_extratos!F:F,"&lt;"&amp;Conciliacao!BE137+1,df_extratos!G:G,"DEBITO")
+SUMIFS(df_extratos!I:I,df_extratos!F:F,"&gt;="&amp;Conciliacao!A137, df_extratos!F:F,"&lt;"&amp;Conciliacao!A137+1, df_extratos!G:G,"DEBITO")
+SUMIFS(df_extratos!I:I,df_extratos!F:F,"&gt;="&amp;Conciliacao!BF137,df_extratos!F:F,"&lt;"&amp;Conciliacao!BF137+1,df_extratos!G:G,"DEBITO")
+SUMIFS(df_extratos!I:I,df_extratos!F:F,"&gt;="&amp;Conciliacao!BG137,df_extratos!F:F,"&lt;"&amp;Conciliacao!BG137+1,df_extratos!G:G,"DEBITO")
+SUMIFS(df_extratos!I:I,df_extratos!F:F,"&gt;="&amp;Conciliacao!BH137,df_extratos!F:F,"&lt;"&amp;Conciliacao!BH137+1,df_extratos!G:G,"DEBITO")</f>
        <v/>
      </c>
      <c r="O137" s="11">
        <f>N137-SUM(J137:M137)</f>
        <v/>
      </c>
      <c r="P137" s="25">
        <f>SUMIFS(df_ajustes_conciliaco!D:D,df_ajustes_conciliaco!C:C,Conciliacao!A137)</f>
        <v/>
      </c>
      <c r="Q137" s="22">
        <f>O137+I137-P137</f>
        <v/>
      </c>
      <c r="BE137" s="20" t="n">
        <v>45793.5</v>
      </c>
      <c r="BF137" s="20" t="n">
        <v>45793.125</v>
      </c>
      <c r="BG137" s="20" t="n">
        <v>45793.54166666666</v>
      </c>
      <c r="BH137" s="20" t="n">
        <v>45793.625</v>
      </c>
    </row>
    <row r="138">
      <c r="A138" s="5">
        <f>A137+1</f>
        <v/>
      </c>
      <c r="B138" s="3">
        <f>-SUMIFS(df_extrato_zig!G:G,df_extrato_zig!E:E,Conciliacao!A138,df_extrato_zig!D:D,"Saque")-SUMIFS(df_extrato_zig!G:G,df_extrato_zig!E:E,Conciliacao!A138,df_extrato_zig!D:D,"Antecipação")</f>
        <v/>
      </c>
      <c r="C138" s="3">
        <f>SUMIFS(df_extrato_zig!E:E,df_extrato_zig!L:L,Conciliacao!A138,df_extrato_zig!F:F,"DINHEIRO")</f>
        <v/>
      </c>
      <c r="D138" s="3">
        <f>SUMIFS(view_parc_agrup!H:H,view_parc_agrup!G:G,Conciliacao!A138)</f>
        <v/>
      </c>
      <c r="E138" s="3">
        <f>SUMIFS(df_eventos!F:F,df_eventos!H:H,Conciliacao!A138)</f>
        <v/>
      </c>
      <c r="F138" s="3">
        <f>SUMIFS(df_mutuos!M:M,df_mutuos!B:B,Conciliacao!A138)</f>
        <v/>
      </c>
      <c r="G138" s="6">
        <f>SUMIFS(df_bloqueios_judiciais!G:G,df_bloqueios_judiciais!D:D,Conciliacao!A138,df_bloqueios_judiciais!G:G,"&gt;0")</f>
        <v/>
      </c>
      <c r="H138" s="7">
        <f>SUMIFS(df_extratos!I:I,df_extratos!F:F,"&gt;="&amp;Conciliacao!BE138,df_extratos!F:F,"&lt;"&amp;Conciliacao!BE138+1,df_extratos!G:G,"CREDITO")
+SUMIFS(df_extratos!I:I,df_extratos!F:F,"&gt;="&amp;Conciliacao!A138, df_extratos!F:F,"&lt;"&amp;Conciliacao!A138+1, df_extratos!G:G,"CREDITO")
+SUMIFS(df_extratos!I:I,df_extratos!F:F,"&gt;="&amp;Conciliacao!BF138,df_extratos!F:F,"&lt;"&amp;Conciliacao!BF138+1,df_extratos!G:G,"CREDITO")
+SUMIFS(df_extratos!I:I,df_extratos!F:F,"&gt;="&amp;Conciliacao!BG138,df_extratos!F:F,"&lt;"&amp;Conciliacao!BG138+1,df_extratos!G:G,"CREDITO")
+SUMIFS(df_extratos!I:I,df_extratos!F:F,"&gt;="&amp;Conciliacao!BH138,df_extratos!F:F,"&lt;"&amp;Conciliacao!BH138+1,df_extratos!G:G,"CREDITO")</f>
        <v/>
      </c>
      <c r="I138" s="9">
        <f>H138-SUM(B138:G138)</f>
        <v/>
      </c>
      <c r="J138" s="4">
        <f>SUMIFS(df_blueme_sem_parcelamento!E:E,df_blueme_sem_parcelamento!H:H,Conciliacao!A138)*(-1)</f>
        <v/>
      </c>
      <c r="K138" s="4">
        <f>SUMIFS(df_blueme_com_parcelamento!J:J,df_blueme_com_parcelamento!M:M,Conciliacao!A138)*(-1)</f>
        <v/>
      </c>
      <c r="L138" s="4">
        <f>SUMIFS(df_mutuos!N:N,df_mutuos!B:B,Conciliacao!A138)*(-1)</f>
        <v/>
      </c>
      <c r="M138" s="8">
        <f>SUMIFS(df_bloqueios_judiciais!G:G,df_bloqueios_judiciais!D:D,Conciliacao!A138,df_bloqueios_judiciais!G:G,"&lt;0")</f>
        <v/>
      </c>
      <c r="N138" s="10">
        <f>SUMIFS(df_extratos!I:I,df_extratos!F:F,"&gt;="&amp;Conciliacao!BE138,df_extratos!F:F,"&lt;"&amp;Conciliacao!BE138+1,df_extratos!G:G,"DEBITO")
+SUMIFS(df_extratos!I:I,df_extratos!F:F,"&gt;="&amp;Conciliacao!A138, df_extratos!F:F,"&lt;"&amp;Conciliacao!A138+1, df_extratos!G:G,"DEBITO")
+SUMIFS(df_extratos!I:I,df_extratos!F:F,"&gt;="&amp;Conciliacao!BF138,df_extratos!F:F,"&lt;"&amp;Conciliacao!BF138+1,df_extratos!G:G,"DEBITO")
+SUMIFS(df_extratos!I:I,df_extratos!F:F,"&gt;="&amp;Conciliacao!BG138,df_extratos!F:F,"&lt;"&amp;Conciliacao!BG138+1,df_extratos!G:G,"DEBITO")
+SUMIFS(df_extratos!I:I,df_extratos!F:F,"&gt;="&amp;Conciliacao!BH138,df_extratos!F:F,"&lt;"&amp;Conciliacao!BH138+1,df_extratos!G:G,"DEBITO")</f>
        <v/>
      </c>
      <c r="O138" s="11">
        <f>N138-SUM(J138:M138)</f>
        <v/>
      </c>
      <c r="P138" s="25">
        <f>SUMIFS(df_ajustes_conciliaco!D:D,df_ajustes_conciliaco!C:C,Conciliacao!A138)</f>
        <v/>
      </c>
      <c r="Q138" s="22">
        <f>O138+I138-P138</f>
        <v/>
      </c>
      <c r="BE138" s="20" t="n">
        <v>45794.5</v>
      </c>
      <c r="BF138" s="20" t="n">
        <v>45794.125</v>
      </c>
      <c r="BG138" s="20" t="n">
        <v>45794.54166666666</v>
      </c>
      <c r="BH138" s="20" t="n">
        <v>45794.625</v>
      </c>
    </row>
    <row r="139">
      <c r="A139" s="5">
        <f>A138+1</f>
        <v/>
      </c>
      <c r="B139" s="3">
        <f>-SUMIFS(df_extrato_zig!G:G,df_extrato_zig!E:E,Conciliacao!A139,df_extrato_zig!D:D,"Saque")-SUMIFS(df_extrato_zig!G:G,df_extrato_zig!E:E,Conciliacao!A139,df_extrato_zig!D:D,"Antecipação")</f>
        <v/>
      </c>
      <c r="C139" s="3">
        <f>SUMIFS(df_extrato_zig!E:E,df_extrato_zig!L:L,Conciliacao!A139,df_extrato_zig!F:F,"DINHEIRO")</f>
        <v/>
      </c>
      <c r="D139" s="3">
        <f>SUMIFS(view_parc_agrup!H:H,view_parc_agrup!G:G,Conciliacao!A139)</f>
        <v/>
      </c>
      <c r="E139" s="3">
        <f>SUMIFS(df_eventos!F:F,df_eventos!H:H,Conciliacao!A139)</f>
        <v/>
      </c>
      <c r="F139" s="3">
        <f>SUMIFS(df_mutuos!M:M,df_mutuos!B:B,Conciliacao!A139)</f>
        <v/>
      </c>
      <c r="G139" s="6">
        <f>SUMIFS(df_bloqueios_judiciais!G:G,df_bloqueios_judiciais!D:D,Conciliacao!A139,df_bloqueios_judiciais!G:G,"&gt;0")</f>
        <v/>
      </c>
      <c r="H139" s="7">
        <f>SUMIFS(df_extratos!I:I,df_extratos!F:F,"&gt;="&amp;Conciliacao!BE139,df_extratos!F:F,"&lt;"&amp;Conciliacao!BE139+1,df_extratos!G:G,"CREDITO")
+SUMIFS(df_extratos!I:I,df_extratos!F:F,"&gt;="&amp;Conciliacao!A139, df_extratos!F:F,"&lt;"&amp;Conciliacao!A139+1, df_extratos!G:G,"CREDITO")
+SUMIFS(df_extratos!I:I,df_extratos!F:F,"&gt;="&amp;Conciliacao!BF139,df_extratos!F:F,"&lt;"&amp;Conciliacao!BF139+1,df_extratos!G:G,"CREDITO")
+SUMIFS(df_extratos!I:I,df_extratos!F:F,"&gt;="&amp;Conciliacao!BG139,df_extratos!F:F,"&lt;"&amp;Conciliacao!BG139+1,df_extratos!G:G,"CREDITO")
+SUMIFS(df_extratos!I:I,df_extratos!F:F,"&gt;="&amp;Conciliacao!BH139,df_extratos!F:F,"&lt;"&amp;Conciliacao!BH139+1,df_extratos!G:G,"CREDITO")</f>
        <v/>
      </c>
      <c r="I139" s="9">
        <f>H139-SUM(B139:G139)</f>
        <v/>
      </c>
      <c r="J139" s="4">
        <f>SUMIFS(df_blueme_sem_parcelamento!E:E,df_blueme_sem_parcelamento!H:H,Conciliacao!A139)*(-1)</f>
        <v/>
      </c>
      <c r="K139" s="4">
        <f>SUMIFS(df_blueme_com_parcelamento!J:J,df_blueme_com_parcelamento!M:M,Conciliacao!A139)*(-1)</f>
        <v/>
      </c>
      <c r="L139" s="4">
        <f>SUMIFS(df_mutuos!N:N,df_mutuos!B:B,Conciliacao!A139)*(-1)</f>
        <v/>
      </c>
      <c r="M139" s="8">
        <f>SUMIFS(df_bloqueios_judiciais!G:G,df_bloqueios_judiciais!D:D,Conciliacao!A139,df_bloqueios_judiciais!G:G,"&lt;0")</f>
        <v/>
      </c>
      <c r="N139" s="10">
        <f>SUMIFS(df_extratos!I:I,df_extratos!F:F,"&gt;="&amp;Conciliacao!BE139,df_extratos!F:F,"&lt;"&amp;Conciliacao!BE139+1,df_extratos!G:G,"DEBITO")
+SUMIFS(df_extratos!I:I,df_extratos!F:F,"&gt;="&amp;Conciliacao!A139, df_extratos!F:F,"&lt;"&amp;Conciliacao!A139+1, df_extratos!G:G,"DEBITO")
+SUMIFS(df_extratos!I:I,df_extratos!F:F,"&gt;="&amp;Conciliacao!BF139,df_extratos!F:F,"&lt;"&amp;Conciliacao!BF139+1,df_extratos!G:G,"DEBITO")
+SUMIFS(df_extratos!I:I,df_extratos!F:F,"&gt;="&amp;Conciliacao!BG139,df_extratos!F:F,"&lt;"&amp;Conciliacao!BG139+1,df_extratos!G:G,"DEBITO")
+SUMIFS(df_extratos!I:I,df_extratos!F:F,"&gt;="&amp;Conciliacao!BH139,df_extratos!F:F,"&lt;"&amp;Conciliacao!BH139+1,df_extratos!G:G,"DEBITO")</f>
        <v/>
      </c>
      <c r="O139" s="11">
        <f>N139-SUM(J139:M139)</f>
        <v/>
      </c>
      <c r="P139" s="25">
        <f>SUMIFS(df_ajustes_conciliaco!D:D,df_ajustes_conciliaco!C:C,Conciliacao!A139)</f>
        <v/>
      </c>
      <c r="Q139" s="22">
        <f>O139+I139-P139</f>
        <v/>
      </c>
      <c r="BE139" s="20" t="n">
        <v>45795.5</v>
      </c>
      <c r="BF139" s="20" t="n">
        <v>45795.125</v>
      </c>
      <c r="BG139" s="20" t="n">
        <v>45795.54166666666</v>
      </c>
      <c r="BH139" s="20" t="n">
        <v>45795.625</v>
      </c>
    </row>
    <row r="140">
      <c r="A140" s="5">
        <f>A139+1</f>
        <v/>
      </c>
      <c r="B140" s="3">
        <f>-SUMIFS(df_extrato_zig!G:G,df_extrato_zig!E:E,Conciliacao!A140,df_extrato_zig!D:D,"Saque")-SUMIFS(df_extrato_zig!G:G,df_extrato_zig!E:E,Conciliacao!A140,df_extrato_zig!D:D,"Antecipação")</f>
        <v/>
      </c>
      <c r="C140" s="3">
        <f>SUMIFS(df_extrato_zig!E:E,df_extrato_zig!L:L,Conciliacao!A140,df_extrato_zig!F:F,"DINHEIRO")</f>
        <v/>
      </c>
      <c r="D140" s="3">
        <f>SUMIFS(view_parc_agrup!H:H,view_parc_agrup!G:G,Conciliacao!A140)</f>
        <v/>
      </c>
      <c r="E140" s="3">
        <f>SUMIFS(df_eventos!F:F,df_eventos!H:H,Conciliacao!A140)</f>
        <v/>
      </c>
      <c r="F140" s="3">
        <f>SUMIFS(df_mutuos!M:M,df_mutuos!B:B,Conciliacao!A140)</f>
        <v/>
      </c>
      <c r="G140" s="6">
        <f>SUMIFS(df_bloqueios_judiciais!G:G,df_bloqueios_judiciais!D:D,Conciliacao!A140,df_bloqueios_judiciais!G:G,"&gt;0")</f>
        <v/>
      </c>
      <c r="H140" s="7">
        <f>SUMIFS(df_extratos!I:I,df_extratos!F:F,"&gt;="&amp;Conciliacao!BE140,df_extratos!F:F,"&lt;"&amp;Conciliacao!BE140+1,df_extratos!G:G,"CREDITO")
+SUMIFS(df_extratos!I:I,df_extratos!F:F,"&gt;="&amp;Conciliacao!A140, df_extratos!F:F,"&lt;"&amp;Conciliacao!A140+1, df_extratos!G:G,"CREDITO")
+SUMIFS(df_extratos!I:I,df_extratos!F:F,"&gt;="&amp;Conciliacao!BF140,df_extratos!F:F,"&lt;"&amp;Conciliacao!BF140+1,df_extratos!G:G,"CREDITO")
+SUMIFS(df_extratos!I:I,df_extratos!F:F,"&gt;="&amp;Conciliacao!BG140,df_extratos!F:F,"&lt;"&amp;Conciliacao!BG140+1,df_extratos!G:G,"CREDITO")
+SUMIFS(df_extratos!I:I,df_extratos!F:F,"&gt;="&amp;Conciliacao!BH140,df_extratos!F:F,"&lt;"&amp;Conciliacao!BH140+1,df_extratos!G:G,"CREDITO")</f>
        <v/>
      </c>
      <c r="I140" s="9">
        <f>H140-SUM(B140:G140)</f>
        <v/>
      </c>
      <c r="J140" s="4">
        <f>SUMIFS(df_blueme_sem_parcelamento!E:E,df_blueme_sem_parcelamento!H:H,Conciliacao!A140)*(-1)</f>
        <v/>
      </c>
      <c r="K140" s="4">
        <f>SUMIFS(df_blueme_com_parcelamento!J:J,df_blueme_com_parcelamento!M:M,Conciliacao!A140)*(-1)</f>
        <v/>
      </c>
      <c r="L140" s="4">
        <f>SUMIFS(df_mutuos!N:N,df_mutuos!B:B,Conciliacao!A140)*(-1)</f>
        <v/>
      </c>
      <c r="M140" s="8">
        <f>SUMIFS(df_bloqueios_judiciais!G:G,df_bloqueios_judiciais!D:D,Conciliacao!A140,df_bloqueios_judiciais!G:G,"&lt;0")</f>
        <v/>
      </c>
      <c r="N140" s="10">
        <f>SUMIFS(df_extratos!I:I,df_extratos!F:F,"&gt;="&amp;Conciliacao!BE140,df_extratos!F:F,"&lt;"&amp;Conciliacao!BE140+1,df_extratos!G:G,"DEBITO")
+SUMIFS(df_extratos!I:I,df_extratos!F:F,"&gt;="&amp;Conciliacao!A140, df_extratos!F:F,"&lt;"&amp;Conciliacao!A140+1, df_extratos!G:G,"DEBITO")
+SUMIFS(df_extratos!I:I,df_extratos!F:F,"&gt;="&amp;Conciliacao!BF140,df_extratos!F:F,"&lt;"&amp;Conciliacao!BF140+1,df_extratos!G:G,"DEBITO")
+SUMIFS(df_extratos!I:I,df_extratos!F:F,"&gt;="&amp;Conciliacao!BG140,df_extratos!F:F,"&lt;"&amp;Conciliacao!BG140+1,df_extratos!G:G,"DEBITO")
+SUMIFS(df_extratos!I:I,df_extratos!F:F,"&gt;="&amp;Conciliacao!BH140,df_extratos!F:F,"&lt;"&amp;Conciliacao!BH140+1,df_extratos!G:G,"DEBITO")</f>
        <v/>
      </c>
      <c r="O140" s="11">
        <f>N140-SUM(J140:M140)</f>
        <v/>
      </c>
      <c r="P140" s="25">
        <f>SUMIFS(df_ajustes_conciliaco!D:D,df_ajustes_conciliaco!C:C,Conciliacao!A140)</f>
        <v/>
      </c>
      <c r="Q140" s="22">
        <f>O140+I140-P140</f>
        <v/>
      </c>
      <c r="BE140" s="20" t="n">
        <v>45796.5</v>
      </c>
      <c r="BF140" s="20" t="n">
        <v>45796.125</v>
      </c>
      <c r="BG140" s="20" t="n">
        <v>45796.54166666666</v>
      </c>
      <c r="BH140" s="20" t="n">
        <v>45796.625</v>
      </c>
    </row>
    <row r="141">
      <c r="A141" s="5">
        <f>A140+1</f>
        <v/>
      </c>
      <c r="B141" s="3">
        <f>-SUMIFS(df_extrato_zig!G:G,df_extrato_zig!E:E,Conciliacao!A141,df_extrato_zig!D:D,"Saque")-SUMIFS(df_extrato_zig!G:G,df_extrato_zig!E:E,Conciliacao!A141,df_extrato_zig!D:D,"Antecipação")</f>
        <v/>
      </c>
      <c r="C141" s="3">
        <f>SUMIFS(df_extrato_zig!E:E,df_extrato_zig!L:L,Conciliacao!A141,df_extrato_zig!F:F,"DINHEIRO")</f>
        <v/>
      </c>
      <c r="D141" s="3">
        <f>SUMIFS(view_parc_agrup!H:H,view_parc_agrup!G:G,Conciliacao!A141)</f>
        <v/>
      </c>
      <c r="E141" s="3">
        <f>SUMIFS(df_eventos!F:F,df_eventos!H:H,Conciliacao!A141)</f>
        <v/>
      </c>
      <c r="F141" s="3">
        <f>SUMIFS(df_mutuos!M:M,df_mutuos!B:B,Conciliacao!A141)</f>
        <v/>
      </c>
      <c r="G141" s="6">
        <f>SUMIFS(df_bloqueios_judiciais!G:G,df_bloqueios_judiciais!D:D,Conciliacao!A141,df_bloqueios_judiciais!G:G,"&gt;0")</f>
        <v/>
      </c>
      <c r="H141" s="7">
        <f>SUMIFS(df_extratos!I:I,df_extratos!F:F,"&gt;="&amp;Conciliacao!BE141,df_extratos!F:F,"&lt;"&amp;Conciliacao!BE141+1,df_extratos!G:G,"CREDITO")
+SUMIFS(df_extratos!I:I,df_extratos!F:F,"&gt;="&amp;Conciliacao!A141, df_extratos!F:F,"&lt;"&amp;Conciliacao!A141+1, df_extratos!G:G,"CREDITO")
+SUMIFS(df_extratos!I:I,df_extratos!F:F,"&gt;="&amp;Conciliacao!BF141,df_extratos!F:F,"&lt;"&amp;Conciliacao!BF141+1,df_extratos!G:G,"CREDITO")
+SUMIFS(df_extratos!I:I,df_extratos!F:F,"&gt;="&amp;Conciliacao!BG141,df_extratos!F:F,"&lt;"&amp;Conciliacao!BG141+1,df_extratos!G:G,"CREDITO")
+SUMIFS(df_extratos!I:I,df_extratos!F:F,"&gt;="&amp;Conciliacao!BH141,df_extratos!F:F,"&lt;"&amp;Conciliacao!BH141+1,df_extratos!G:G,"CREDITO")</f>
        <v/>
      </c>
      <c r="I141" s="9">
        <f>H141-SUM(B141:G141)</f>
        <v/>
      </c>
      <c r="J141" s="4">
        <f>SUMIFS(df_blueme_sem_parcelamento!E:E,df_blueme_sem_parcelamento!H:H,Conciliacao!A141)*(-1)</f>
        <v/>
      </c>
      <c r="K141" s="4">
        <f>SUMIFS(df_blueme_com_parcelamento!J:J,df_blueme_com_parcelamento!M:M,Conciliacao!A141)*(-1)</f>
        <v/>
      </c>
      <c r="L141" s="4">
        <f>SUMIFS(df_mutuos!N:N,df_mutuos!B:B,Conciliacao!A141)*(-1)</f>
        <v/>
      </c>
      <c r="M141" s="8">
        <f>SUMIFS(df_bloqueios_judiciais!G:G,df_bloqueios_judiciais!D:D,Conciliacao!A141,df_bloqueios_judiciais!G:G,"&lt;0")</f>
        <v/>
      </c>
      <c r="N141" s="10">
        <f>SUMIFS(df_extratos!I:I,df_extratos!F:F,"&gt;="&amp;Conciliacao!BE141,df_extratos!F:F,"&lt;"&amp;Conciliacao!BE141+1,df_extratos!G:G,"DEBITO")
+SUMIFS(df_extratos!I:I,df_extratos!F:F,"&gt;="&amp;Conciliacao!A141, df_extratos!F:F,"&lt;"&amp;Conciliacao!A141+1, df_extratos!G:G,"DEBITO")
+SUMIFS(df_extratos!I:I,df_extratos!F:F,"&gt;="&amp;Conciliacao!BF141,df_extratos!F:F,"&lt;"&amp;Conciliacao!BF141+1,df_extratos!G:G,"DEBITO")
+SUMIFS(df_extratos!I:I,df_extratos!F:F,"&gt;="&amp;Conciliacao!BG141,df_extratos!F:F,"&lt;"&amp;Conciliacao!BG141+1,df_extratos!G:G,"DEBITO")
+SUMIFS(df_extratos!I:I,df_extratos!F:F,"&gt;="&amp;Conciliacao!BH141,df_extratos!F:F,"&lt;"&amp;Conciliacao!BH141+1,df_extratos!G:G,"DEBITO")</f>
        <v/>
      </c>
      <c r="O141" s="11">
        <f>N141-SUM(J141:M141)</f>
        <v/>
      </c>
      <c r="P141" s="25">
        <f>SUMIFS(df_ajustes_conciliaco!D:D,df_ajustes_conciliaco!C:C,Conciliacao!A141)</f>
        <v/>
      </c>
      <c r="Q141" s="22">
        <f>O141+I141-P141</f>
        <v/>
      </c>
      <c r="BE141" s="20" t="n">
        <v>45797.5</v>
      </c>
      <c r="BF141" s="20" t="n">
        <v>45797.125</v>
      </c>
      <c r="BG141" s="20" t="n">
        <v>45797.54166666666</v>
      </c>
      <c r="BH141" s="20" t="n">
        <v>45797.625</v>
      </c>
    </row>
    <row r="142">
      <c r="A142" s="5">
        <f>A141+1</f>
        <v/>
      </c>
      <c r="B142" s="3">
        <f>-SUMIFS(df_extrato_zig!G:G,df_extrato_zig!E:E,Conciliacao!A142,df_extrato_zig!D:D,"Saque")-SUMIFS(df_extrato_zig!G:G,df_extrato_zig!E:E,Conciliacao!A142,df_extrato_zig!D:D,"Antecipação")</f>
        <v/>
      </c>
      <c r="C142" s="3">
        <f>SUMIFS(df_extrato_zig!E:E,df_extrato_zig!L:L,Conciliacao!A142,df_extrato_zig!F:F,"DINHEIRO")</f>
        <v/>
      </c>
      <c r="D142" s="3">
        <f>SUMIFS(view_parc_agrup!H:H,view_parc_agrup!G:G,Conciliacao!A142)</f>
        <v/>
      </c>
      <c r="E142" s="3">
        <f>SUMIFS(df_eventos!F:F,df_eventos!H:H,Conciliacao!A142)</f>
        <v/>
      </c>
      <c r="F142" s="3">
        <f>SUMIFS(df_mutuos!M:M,df_mutuos!B:B,Conciliacao!A142)</f>
        <v/>
      </c>
      <c r="G142" s="6">
        <f>SUMIFS(df_bloqueios_judiciais!G:G,df_bloqueios_judiciais!D:D,Conciliacao!A142,df_bloqueios_judiciais!G:G,"&gt;0")</f>
        <v/>
      </c>
      <c r="H142" s="7">
        <f>SUMIFS(df_extratos!I:I,df_extratos!F:F,"&gt;="&amp;Conciliacao!BE142,df_extratos!F:F,"&lt;"&amp;Conciliacao!BE142+1,df_extratos!G:G,"CREDITO")
+SUMIFS(df_extratos!I:I,df_extratos!F:F,"&gt;="&amp;Conciliacao!A142, df_extratos!F:F,"&lt;"&amp;Conciliacao!A142+1, df_extratos!G:G,"CREDITO")
+SUMIFS(df_extratos!I:I,df_extratos!F:F,"&gt;="&amp;Conciliacao!BF142,df_extratos!F:F,"&lt;"&amp;Conciliacao!BF142+1,df_extratos!G:G,"CREDITO")
+SUMIFS(df_extratos!I:I,df_extratos!F:F,"&gt;="&amp;Conciliacao!BG142,df_extratos!F:F,"&lt;"&amp;Conciliacao!BG142+1,df_extratos!G:G,"CREDITO")
+SUMIFS(df_extratos!I:I,df_extratos!F:F,"&gt;="&amp;Conciliacao!BH142,df_extratos!F:F,"&lt;"&amp;Conciliacao!BH142+1,df_extratos!G:G,"CREDITO")</f>
        <v/>
      </c>
      <c r="I142" s="9">
        <f>H142-SUM(B142:G142)</f>
        <v/>
      </c>
      <c r="J142" s="4">
        <f>SUMIFS(df_blueme_sem_parcelamento!E:E,df_blueme_sem_parcelamento!H:H,Conciliacao!A142)*(-1)</f>
        <v/>
      </c>
      <c r="K142" s="4">
        <f>SUMIFS(df_blueme_com_parcelamento!J:J,df_blueme_com_parcelamento!M:M,Conciliacao!A142)*(-1)</f>
        <v/>
      </c>
      <c r="L142" s="4">
        <f>SUMIFS(df_mutuos!N:N,df_mutuos!B:B,Conciliacao!A142)*(-1)</f>
        <v/>
      </c>
      <c r="M142" s="8">
        <f>SUMIFS(df_bloqueios_judiciais!G:G,df_bloqueios_judiciais!D:D,Conciliacao!A142,df_bloqueios_judiciais!G:G,"&lt;0")</f>
        <v/>
      </c>
      <c r="N142" s="10">
        <f>SUMIFS(df_extratos!I:I,df_extratos!F:F,"&gt;="&amp;Conciliacao!BE142,df_extratos!F:F,"&lt;"&amp;Conciliacao!BE142+1,df_extratos!G:G,"DEBITO")
+SUMIFS(df_extratos!I:I,df_extratos!F:F,"&gt;="&amp;Conciliacao!A142, df_extratos!F:F,"&lt;"&amp;Conciliacao!A142+1, df_extratos!G:G,"DEBITO")
+SUMIFS(df_extratos!I:I,df_extratos!F:F,"&gt;="&amp;Conciliacao!BF142,df_extratos!F:F,"&lt;"&amp;Conciliacao!BF142+1,df_extratos!G:G,"DEBITO")
+SUMIFS(df_extratos!I:I,df_extratos!F:F,"&gt;="&amp;Conciliacao!BG142,df_extratos!F:F,"&lt;"&amp;Conciliacao!BG142+1,df_extratos!G:G,"DEBITO")
+SUMIFS(df_extratos!I:I,df_extratos!F:F,"&gt;="&amp;Conciliacao!BH142,df_extratos!F:F,"&lt;"&amp;Conciliacao!BH142+1,df_extratos!G:G,"DEBITO")</f>
        <v/>
      </c>
      <c r="O142" s="11">
        <f>N142-SUM(J142:M142)</f>
        <v/>
      </c>
      <c r="P142" s="25">
        <f>SUMIFS(df_ajustes_conciliaco!D:D,df_ajustes_conciliaco!C:C,Conciliacao!A142)</f>
        <v/>
      </c>
      <c r="Q142" s="22">
        <f>O142+I142-P142</f>
        <v/>
      </c>
      <c r="BE142" s="20" t="n">
        <v>45798.5</v>
      </c>
      <c r="BF142" s="20" t="n">
        <v>45798.125</v>
      </c>
      <c r="BG142" s="20" t="n">
        <v>45798.54166666666</v>
      </c>
      <c r="BH142" s="20" t="n">
        <v>45798.625</v>
      </c>
    </row>
    <row r="143">
      <c r="A143" s="5">
        <f>A142+1</f>
        <v/>
      </c>
      <c r="B143" s="3">
        <f>-SUMIFS(df_extrato_zig!G:G,df_extrato_zig!E:E,Conciliacao!A143,df_extrato_zig!D:D,"Saque")-SUMIFS(df_extrato_zig!G:G,df_extrato_zig!E:E,Conciliacao!A143,df_extrato_zig!D:D,"Antecipação")</f>
        <v/>
      </c>
      <c r="C143" s="3">
        <f>SUMIFS(df_extrato_zig!E:E,df_extrato_zig!L:L,Conciliacao!A143,df_extrato_zig!F:F,"DINHEIRO")</f>
        <v/>
      </c>
      <c r="D143" s="3">
        <f>SUMIFS(view_parc_agrup!H:H,view_parc_agrup!G:G,Conciliacao!A143)</f>
        <v/>
      </c>
      <c r="E143" s="3">
        <f>SUMIFS(df_eventos!F:F,df_eventos!H:H,Conciliacao!A143)</f>
        <v/>
      </c>
      <c r="F143" s="3">
        <f>SUMIFS(df_mutuos!M:M,df_mutuos!B:B,Conciliacao!A143)</f>
        <v/>
      </c>
      <c r="G143" s="6">
        <f>SUMIFS(df_bloqueios_judiciais!G:G,df_bloqueios_judiciais!D:D,Conciliacao!A143,df_bloqueios_judiciais!G:G,"&gt;0")</f>
        <v/>
      </c>
      <c r="H143" s="7">
        <f>SUMIFS(df_extratos!I:I,df_extratos!F:F,"&gt;="&amp;Conciliacao!BE143,df_extratos!F:F,"&lt;"&amp;Conciliacao!BE143+1,df_extratos!G:G,"CREDITO")
+SUMIFS(df_extratos!I:I,df_extratos!F:F,"&gt;="&amp;Conciliacao!A143, df_extratos!F:F,"&lt;"&amp;Conciliacao!A143+1, df_extratos!G:G,"CREDITO")
+SUMIFS(df_extratos!I:I,df_extratos!F:F,"&gt;="&amp;Conciliacao!BF143,df_extratos!F:F,"&lt;"&amp;Conciliacao!BF143+1,df_extratos!G:G,"CREDITO")
+SUMIFS(df_extratos!I:I,df_extratos!F:F,"&gt;="&amp;Conciliacao!BG143,df_extratos!F:F,"&lt;"&amp;Conciliacao!BG143+1,df_extratos!G:G,"CREDITO")
+SUMIFS(df_extratos!I:I,df_extratos!F:F,"&gt;="&amp;Conciliacao!BH143,df_extratos!F:F,"&lt;"&amp;Conciliacao!BH143+1,df_extratos!G:G,"CREDITO")</f>
        <v/>
      </c>
      <c r="I143" s="9">
        <f>H143-SUM(B143:G143)</f>
        <v/>
      </c>
      <c r="J143" s="4">
        <f>SUMIFS(df_blueme_sem_parcelamento!E:E,df_blueme_sem_parcelamento!H:H,Conciliacao!A143)*(-1)</f>
        <v/>
      </c>
      <c r="K143" s="4">
        <f>SUMIFS(df_blueme_com_parcelamento!J:J,df_blueme_com_parcelamento!M:M,Conciliacao!A143)*(-1)</f>
        <v/>
      </c>
      <c r="L143" s="4">
        <f>SUMIFS(df_mutuos!N:N,df_mutuos!B:B,Conciliacao!A143)*(-1)</f>
        <v/>
      </c>
      <c r="M143" s="8">
        <f>SUMIFS(df_bloqueios_judiciais!G:G,df_bloqueios_judiciais!D:D,Conciliacao!A143,df_bloqueios_judiciais!G:G,"&lt;0")</f>
        <v/>
      </c>
      <c r="N143" s="10">
        <f>SUMIFS(df_extratos!I:I,df_extratos!F:F,"&gt;="&amp;Conciliacao!BE143,df_extratos!F:F,"&lt;"&amp;Conciliacao!BE143+1,df_extratos!G:G,"DEBITO")
+SUMIFS(df_extratos!I:I,df_extratos!F:F,"&gt;="&amp;Conciliacao!A143, df_extratos!F:F,"&lt;"&amp;Conciliacao!A143+1, df_extratos!G:G,"DEBITO")
+SUMIFS(df_extratos!I:I,df_extratos!F:F,"&gt;="&amp;Conciliacao!BF143,df_extratos!F:F,"&lt;"&amp;Conciliacao!BF143+1,df_extratos!G:G,"DEBITO")
+SUMIFS(df_extratos!I:I,df_extratos!F:F,"&gt;="&amp;Conciliacao!BG143,df_extratos!F:F,"&lt;"&amp;Conciliacao!BG143+1,df_extratos!G:G,"DEBITO")
+SUMIFS(df_extratos!I:I,df_extratos!F:F,"&gt;="&amp;Conciliacao!BH143,df_extratos!F:F,"&lt;"&amp;Conciliacao!BH143+1,df_extratos!G:G,"DEBITO")</f>
        <v/>
      </c>
      <c r="O143" s="11">
        <f>N143-SUM(J143:M143)</f>
        <v/>
      </c>
      <c r="P143" s="25">
        <f>SUMIFS(df_ajustes_conciliaco!D:D,df_ajustes_conciliaco!C:C,Conciliacao!A143)</f>
        <v/>
      </c>
      <c r="Q143" s="22">
        <f>O143+I143-P143</f>
        <v/>
      </c>
      <c r="BE143" s="20" t="n">
        <v>45799.5</v>
      </c>
      <c r="BF143" s="20" t="n">
        <v>45799.125</v>
      </c>
      <c r="BG143" s="20" t="n">
        <v>45799.54166666666</v>
      </c>
      <c r="BH143" s="20" t="n">
        <v>45799.625</v>
      </c>
    </row>
    <row r="144">
      <c r="A144" s="5">
        <f>A143+1</f>
        <v/>
      </c>
      <c r="B144" s="3">
        <f>-SUMIFS(df_extrato_zig!G:G,df_extrato_zig!E:E,Conciliacao!A144,df_extrato_zig!D:D,"Saque")-SUMIFS(df_extrato_zig!G:G,df_extrato_zig!E:E,Conciliacao!A144,df_extrato_zig!D:D,"Antecipação")</f>
        <v/>
      </c>
      <c r="C144" s="3">
        <f>SUMIFS(df_extrato_zig!E:E,df_extrato_zig!L:L,Conciliacao!A144,df_extrato_zig!F:F,"DINHEIRO")</f>
        <v/>
      </c>
      <c r="D144" s="3">
        <f>SUMIFS(view_parc_agrup!H:H,view_parc_agrup!G:G,Conciliacao!A144)</f>
        <v/>
      </c>
      <c r="E144" s="3">
        <f>SUMIFS(df_eventos!F:F,df_eventos!H:H,Conciliacao!A144)</f>
        <v/>
      </c>
      <c r="F144" s="3">
        <f>SUMIFS(df_mutuos!M:M,df_mutuos!B:B,Conciliacao!A144)</f>
        <v/>
      </c>
      <c r="G144" s="6">
        <f>SUMIFS(df_bloqueios_judiciais!G:G,df_bloqueios_judiciais!D:D,Conciliacao!A144,df_bloqueios_judiciais!G:G,"&gt;0")</f>
        <v/>
      </c>
      <c r="H144" s="7">
        <f>SUMIFS(df_extratos!I:I,df_extratos!F:F,"&gt;="&amp;Conciliacao!BE144,df_extratos!F:F,"&lt;"&amp;Conciliacao!BE144+1,df_extratos!G:G,"CREDITO")
+SUMIFS(df_extratos!I:I,df_extratos!F:F,"&gt;="&amp;Conciliacao!A144, df_extratos!F:F,"&lt;"&amp;Conciliacao!A144+1, df_extratos!G:G,"CREDITO")
+SUMIFS(df_extratos!I:I,df_extratos!F:F,"&gt;="&amp;Conciliacao!BF144,df_extratos!F:F,"&lt;"&amp;Conciliacao!BF144+1,df_extratos!G:G,"CREDITO")
+SUMIFS(df_extratos!I:I,df_extratos!F:F,"&gt;="&amp;Conciliacao!BG144,df_extratos!F:F,"&lt;"&amp;Conciliacao!BG144+1,df_extratos!G:G,"CREDITO")
+SUMIFS(df_extratos!I:I,df_extratos!F:F,"&gt;="&amp;Conciliacao!BH144,df_extratos!F:F,"&lt;"&amp;Conciliacao!BH144+1,df_extratos!G:G,"CREDITO")</f>
        <v/>
      </c>
      <c r="I144" s="9">
        <f>H144-SUM(B144:G144)</f>
        <v/>
      </c>
      <c r="J144" s="4">
        <f>SUMIFS(df_blueme_sem_parcelamento!E:E,df_blueme_sem_parcelamento!H:H,Conciliacao!A144)*(-1)</f>
        <v/>
      </c>
      <c r="K144" s="4">
        <f>SUMIFS(df_blueme_com_parcelamento!J:J,df_blueme_com_parcelamento!M:M,Conciliacao!A144)*(-1)</f>
        <v/>
      </c>
      <c r="L144" s="4">
        <f>SUMIFS(df_mutuos!N:N,df_mutuos!B:B,Conciliacao!A144)*(-1)</f>
        <v/>
      </c>
      <c r="M144" s="8">
        <f>SUMIFS(df_bloqueios_judiciais!G:G,df_bloqueios_judiciais!D:D,Conciliacao!A144,df_bloqueios_judiciais!G:G,"&lt;0")</f>
        <v/>
      </c>
      <c r="N144" s="10">
        <f>SUMIFS(df_extratos!I:I,df_extratos!F:F,"&gt;="&amp;Conciliacao!BE144,df_extratos!F:F,"&lt;"&amp;Conciliacao!BE144+1,df_extratos!G:G,"DEBITO")
+SUMIFS(df_extratos!I:I,df_extratos!F:F,"&gt;="&amp;Conciliacao!A144, df_extratos!F:F,"&lt;"&amp;Conciliacao!A144+1, df_extratos!G:G,"DEBITO")
+SUMIFS(df_extratos!I:I,df_extratos!F:F,"&gt;="&amp;Conciliacao!BF144,df_extratos!F:F,"&lt;"&amp;Conciliacao!BF144+1,df_extratos!G:G,"DEBITO")
+SUMIFS(df_extratos!I:I,df_extratos!F:F,"&gt;="&amp;Conciliacao!BG144,df_extratos!F:F,"&lt;"&amp;Conciliacao!BG144+1,df_extratos!G:G,"DEBITO")
+SUMIFS(df_extratos!I:I,df_extratos!F:F,"&gt;="&amp;Conciliacao!BH144,df_extratos!F:F,"&lt;"&amp;Conciliacao!BH144+1,df_extratos!G:G,"DEBITO")</f>
        <v/>
      </c>
      <c r="O144" s="11">
        <f>N144-SUM(J144:M144)</f>
        <v/>
      </c>
      <c r="P144" s="25">
        <f>SUMIFS(df_ajustes_conciliaco!D:D,df_ajustes_conciliaco!C:C,Conciliacao!A144)</f>
        <v/>
      </c>
      <c r="Q144" s="22">
        <f>O144+I144-P144</f>
        <v/>
      </c>
      <c r="BE144" s="20" t="n">
        <v>45800.5</v>
      </c>
      <c r="BF144" s="20" t="n">
        <v>45800.125</v>
      </c>
      <c r="BG144" s="20" t="n">
        <v>45800.54166666666</v>
      </c>
      <c r="BH144" s="20" t="n">
        <v>45800.625</v>
      </c>
    </row>
    <row r="145">
      <c r="A145" s="5">
        <f>A144+1</f>
        <v/>
      </c>
      <c r="B145" s="3">
        <f>-SUMIFS(df_extrato_zig!G:G,df_extrato_zig!E:E,Conciliacao!A145,df_extrato_zig!D:D,"Saque")-SUMIFS(df_extrato_zig!G:G,df_extrato_zig!E:E,Conciliacao!A145,df_extrato_zig!D:D,"Antecipação")</f>
        <v/>
      </c>
      <c r="C145" s="3">
        <f>SUMIFS(df_extrato_zig!E:E,df_extrato_zig!L:L,Conciliacao!A145,df_extrato_zig!F:F,"DINHEIRO")</f>
        <v/>
      </c>
      <c r="D145" s="3">
        <f>SUMIFS(view_parc_agrup!H:H,view_parc_agrup!G:G,Conciliacao!A145)</f>
        <v/>
      </c>
      <c r="E145" s="3">
        <f>SUMIFS(df_eventos!F:F,df_eventos!H:H,Conciliacao!A145)</f>
        <v/>
      </c>
      <c r="F145" s="3">
        <f>SUMIFS(df_mutuos!M:M,df_mutuos!B:B,Conciliacao!A145)</f>
        <v/>
      </c>
      <c r="G145" s="6">
        <f>SUMIFS(df_bloqueios_judiciais!G:G,df_bloqueios_judiciais!D:D,Conciliacao!A145,df_bloqueios_judiciais!G:G,"&gt;0")</f>
        <v/>
      </c>
      <c r="H145" s="7">
        <f>SUMIFS(df_extratos!I:I,df_extratos!F:F,"&gt;="&amp;Conciliacao!BE145,df_extratos!F:F,"&lt;"&amp;Conciliacao!BE145+1,df_extratos!G:G,"CREDITO")
+SUMIFS(df_extratos!I:I,df_extratos!F:F,"&gt;="&amp;Conciliacao!A145, df_extratos!F:F,"&lt;"&amp;Conciliacao!A145+1, df_extratos!G:G,"CREDITO")
+SUMIFS(df_extratos!I:I,df_extratos!F:F,"&gt;="&amp;Conciliacao!BF145,df_extratos!F:F,"&lt;"&amp;Conciliacao!BF145+1,df_extratos!G:G,"CREDITO")
+SUMIFS(df_extratos!I:I,df_extratos!F:F,"&gt;="&amp;Conciliacao!BG145,df_extratos!F:F,"&lt;"&amp;Conciliacao!BG145+1,df_extratos!G:G,"CREDITO")
+SUMIFS(df_extratos!I:I,df_extratos!F:F,"&gt;="&amp;Conciliacao!BH145,df_extratos!F:F,"&lt;"&amp;Conciliacao!BH145+1,df_extratos!G:G,"CREDITO")</f>
        <v/>
      </c>
      <c r="I145" s="9">
        <f>H145-SUM(B145:G145)</f>
        <v/>
      </c>
      <c r="J145" s="4">
        <f>SUMIFS(df_blueme_sem_parcelamento!E:E,df_blueme_sem_parcelamento!H:H,Conciliacao!A145)*(-1)</f>
        <v/>
      </c>
      <c r="K145" s="4">
        <f>SUMIFS(df_blueme_com_parcelamento!J:J,df_blueme_com_parcelamento!M:M,Conciliacao!A145)*(-1)</f>
        <v/>
      </c>
      <c r="L145" s="4">
        <f>SUMIFS(df_mutuos!N:N,df_mutuos!B:B,Conciliacao!A145)*(-1)</f>
        <v/>
      </c>
      <c r="M145" s="8">
        <f>SUMIFS(df_bloqueios_judiciais!G:G,df_bloqueios_judiciais!D:D,Conciliacao!A145,df_bloqueios_judiciais!G:G,"&lt;0")</f>
        <v/>
      </c>
      <c r="N145" s="10">
        <f>SUMIFS(df_extratos!I:I,df_extratos!F:F,"&gt;="&amp;Conciliacao!BE145,df_extratos!F:F,"&lt;"&amp;Conciliacao!BE145+1,df_extratos!G:G,"DEBITO")
+SUMIFS(df_extratos!I:I,df_extratos!F:F,"&gt;="&amp;Conciliacao!A145, df_extratos!F:F,"&lt;"&amp;Conciliacao!A145+1, df_extratos!G:G,"DEBITO")
+SUMIFS(df_extratos!I:I,df_extratos!F:F,"&gt;="&amp;Conciliacao!BF145,df_extratos!F:F,"&lt;"&amp;Conciliacao!BF145+1,df_extratos!G:G,"DEBITO")
+SUMIFS(df_extratos!I:I,df_extratos!F:F,"&gt;="&amp;Conciliacao!BG145,df_extratos!F:F,"&lt;"&amp;Conciliacao!BG145+1,df_extratos!G:G,"DEBITO")
+SUMIFS(df_extratos!I:I,df_extratos!F:F,"&gt;="&amp;Conciliacao!BH145,df_extratos!F:F,"&lt;"&amp;Conciliacao!BH145+1,df_extratos!G:G,"DEBITO")</f>
        <v/>
      </c>
      <c r="O145" s="11">
        <f>N145-SUM(J145:M145)</f>
        <v/>
      </c>
      <c r="P145" s="25">
        <f>SUMIFS(df_ajustes_conciliaco!D:D,df_ajustes_conciliaco!C:C,Conciliacao!A145)</f>
        <v/>
      </c>
      <c r="Q145" s="22">
        <f>O145+I145-P145</f>
        <v/>
      </c>
      <c r="BE145" s="20" t="n">
        <v>45801.5</v>
      </c>
      <c r="BF145" s="20" t="n">
        <v>45801.125</v>
      </c>
      <c r="BG145" s="20" t="n">
        <v>45801.54166666666</v>
      </c>
      <c r="BH145" s="20" t="n">
        <v>45801.625</v>
      </c>
    </row>
    <row r="146">
      <c r="A146" s="5">
        <f>A145+1</f>
        <v/>
      </c>
      <c r="B146" s="3">
        <f>-SUMIFS(df_extrato_zig!G:G,df_extrato_zig!E:E,Conciliacao!A146,df_extrato_zig!D:D,"Saque")-SUMIFS(df_extrato_zig!G:G,df_extrato_zig!E:E,Conciliacao!A146,df_extrato_zig!D:D,"Antecipação")</f>
        <v/>
      </c>
      <c r="C146" s="3">
        <f>SUMIFS(df_extrato_zig!E:E,df_extrato_zig!L:L,Conciliacao!A146,df_extrato_zig!F:F,"DINHEIRO")</f>
        <v/>
      </c>
      <c r="D146" s="3">
        <f>SUMIFS(view_parc_agrup!H:H,view_parc_agrup!G:G,Conciliacao!A146)</f>
        <v/>
      </c>
      <c r="E146" s="3">
        <f>SUMIFS(df_eventos!F:F,df_eventos!H:H,Conciliacao!A146)</f>
        <v/>
      </c>
      <c r="F146" s="3">
        <f>SUMIFS(df_mutuos!M:M,df_mutuos!B:B,Conciliacao!A146)</f>
        <v/>
      </c>
      <c r="G146" s="6">
        <f>SUMIFS(df_bloqueios_judiciais!G:G,df_bloqueios_judiciais!D:D,Conciliacao!A146,df_bloqueios_judiciais!G:G,"&gt;0")</f>
        <v/>
      </c>
      <c r="H146" s="7">
        <f>SUMIFS(df_extratos!I:I,df_extratos!F:F,"&gt;="&amp;Conciliacao!BE146,df_extratos!F:F,"&lt;"&amp;Conciliacao!BE146+1,df_extratos!G:G,"CREDITO")
+SUMIFS(df_extratos!I:I,df_extratos!F:F,"&gt;="&amp;Conciliacao!A146, df_extratos!F:F,"&lt;"&amp;Conciliacao!A146+1, df_extratos!G:G,"CREDITO")
+SUMIFS(df_extratos!I:I,df_extratos!F:F,"&gt;="&amp;Conciliacao!BF146,df_extratos!F:F,"&lt;"&amp;Conciliacao!BF146+1,df_extratos!G:G,"CREDITO")
+SUMIFS(df_extratos!I:I,df_extratos!F:F,"&gt;="&amp;Conciliacao!BG146,df_extratos!F:F,"&lt;"&amp;Conciliacao!BG146+1,df_extratos!G:G,"CREDITO")
+SUMIFS(df_extratos!I:I,df_extratos!F:F,"&gt;="&amp;Conciliacao!BH146,df_extratos!F:F,"&lt;"&amp;Conciliacao!BH146+1,df_extratos!G:G,"CREDITO")</f>
        <v/>
      </c>
      <c r="I146" s="9">
        <f>H146-SUM(B146:G146)</f>
        <v/>
      </c>
      <c r="J146" s="4">
        <f>SUMIFS(df_blueme_sem_parcelamento!E:E,df_blueme_sem_parcelamento!H:H,Conciliacao!A146)*(-1)</f>
        <v/>
      </c>
      <c r="K146" s="4">
        <f>SUMIFS(df_blueme_com_parcelamento!J:J,df_blueme_com_parcelamento!M:M,Conciliacao!A146)*(-1)</f>
        <v/>
      </c>
      <c r="L146" s="4">
        <f>SUMIFS(df_mutuos!N:N,df_mutuos!B:B,Conciliacao!A146)*(-1)</f>
        <v/>
      </c>
      <c r="M146" s="8">
        <f>SUMIFS(df_bloqueios_judiciais!G:G,df_bloqueios_judiciais!D:D,Conciliacao!A146,df_bloqueios_judiciais!G:G,"&lt;0")</f>
        <v/>
      </c>
      <c r="N146" s="10">
        <f>SUMIFS(df_extratos!I:I,df_extratos!F:F,"&gt;="&amp;Conciliacao!BE146,df_extratos!F:F,"&lt;"&amp;Conciliacao!BE146+1,df_extratos!G:G,"DEBITO")
+SUMIFS(df_extratos!I:I,df_extratos!F:F,"&gt;="&amp;Conciliacao!A146, df_extratos!F:F,"&lt;"&amp;Conciliacao!A146+1, df_extratos!G:G,"DEBITO")
+SUMIFS(df_extratos!I:I,df_extratos!F:F,"&gt;="&amp;Conciliacao!BF146,df_extratos!F:F,"&lt;"&amp;Conciliacao!BF146+1,df_extratos!G:G,"DEBITO")
+SUMIFS(df_extratos!I:I,df_extratos!F:F,"&gt;="&amp;Conciliacao!BG146,df_extratos!F:F,"&lt;"&amp;Conciliacao!BG146+1,df_extratos!G:G,"DEBITO")
+SUMIFS(df_extratos!I:I,df_extratos!F:F,"&gt;="&amp;Conciliacao!BH146,df_extratos!F:F,"&lt;"&amp;Conciliacao!BH146+1,df_extratos!G:G,"DEBITO")</f>
        <v/>
      </c>
      <c r="O146" s="11">
        <f>N146-SUM(J146:M146)</f>
        <v/>
      </c>
      <c r="P146" s="25">
        <f>SUMIFS(df_ajustes_conciliaco!D:D,df_ajustes_conciliaco!C:C,Conciliacao!A146)</f>
        <v/>
      </c>
      <c r="Q146" s="22">
        <f>O146+I146-P146</f>
        <v/>
      </c>
      <c r="BE146" s="20" t="n">
        <v>45802.5</v>
      </c>
      <c r="BF146" s="20" t="n">
        <v>45802.125</v>
      </c>
      <c r="BG146" s="20" t="n">
        <v>45802.54166666666</v>
      </c>
      <c r="BH146" s="20" t="n">
        <v>45802.625</v>
      </c>
    </row>
    <row r="147">
      <c r="A147" s="5">
        <f>A146+1</f>
        <v/>
      </c>
      <c r="B147" s="3">
        <f>-SUMIFS(df_extrato_zig!G:G,df_extrato_zig!E:E,Conciliacao!A147,df_extrato_zig!D:D,"Saque")-SUMIFS(df_extrato_zig!G:G,df_extrato_zig!E:E,Conciliacao!A147,df_extrato_zig!D:D,"Antecipação")</f>
        <v/>
      </c>
      <c r="C147" s="3">
        <f>SUMIFS(df_extrato_zig!E:E,df_extrato_zig!L:L,Conciliacao!A147,df_extrato_zig!F:F,"DINHEIRO")</f>
        <v/>
      </c>
      <c r="D147" s="3">
        <f>SUMIFS(view_parc_agrup!H:H,view_parc_agrup!G:G,Conciliacao!A147)</f>
        <v/>
      </c>
      <c r="E147" s="3">
        <f>SUMIFS(df_eventos!F:F,df_eventos!H:H,Conciliacao!A147)</f>
        <v/>
      </c>
      <c r="F147" s="3">
        <f>SUMIFS(df_mutuos!M:M,df_mutuos!B:B,Conciliacao!A147)</f>
        <v/>
      </c>
      <c r="G147" s="6">
        <f>SUMIFS(df_bloqueios_judiciais!G:G,df_bloqueios_judiciais!D:D,Conciliacao!A147,df_bloqueios_judiciais!G:G,"&gt;0")</f>
        <v/>
      </c>
      <c r="H147" s="7">
        <f>SUMIFS(df_extratos!I:I,df_extratos!F:F,"&gt;="&amp;Conciliacao!BE147,df_extratos!F:F,"&lt;"&amp;Conciliacao!BE147+1,df_extratos!G:G,"CREDITO")
+SUMIFS(df_extratos!I:I,df_extratos!F:F,"&gt;="&amp;Conciliacao!A147, df_extratos!F:F,"&lt;"&amp;Conciliacao!A147+1, df_extratos!G:G,"CREDITO")
+SUMIFS(df_extratos!I:I,df_extratos!F:F,"&gt;="&amp;Conciliacao!BF147,df_extratos!F:F,"&lt;"&amp;Conciliacao!BF147+1,df_extratos!G:G,"CREDITO")
+SUMIFS(df_extratos!I:I,df_extratos!F:F,"&gt;="&amp;Conciliacao!BG147,df_extratos!F:F,"&lt;"&amp;Conciliacao!BG147+1,df_extratos!G:G,"CREDITO")
+SUMIFS(df_extratos!I:I,df_extratos!F:F,"&gt;="&amp;Conciliacao!BH147,df_extratos!F:F,"&lt;"&amp;Conciliacao!BH147+1,df_extratos!G:G,"CREDITO")</f>
        <v/>
      </c>
      <c r="I147" s="9">
        <f>H147-SUM(B147:G147)</f>
        <v/>
      </c>
      <c r="J147" s="4">
        <f>SUMIFS(df_blueme_sem_parcelamento!E:E,df_blueme_sem_parcelamento!H:H,Conciliacao!A147)*(-1)</f>
        <v/>
      </c>
      <c r="K147" s="4">
        <f>SUMIFS(df_blueme_com_parcelamento!J:J,df_blueme_com_parcelamento!M:M,Conciliacao!A147)*(-1)</f>
        <v/>
      </c>
      <c r="L147" s="4">
        <f>SUMIFS(df_mutuos!N:N,df_mutuos!B:B,Conciliacao!A147)*(-1)</f>
        <v/>
      </c>
      <c r="M147" s="8">
        <f>SUMIFS(df_bloqueios_judiciais!G:G,df_bloqueios_judiciais!D:D,Conciliacao!A147,df_bloqueios_judiciais!G:G,"&lt;0")</f>
        <v/>
      </c>
      <c r="N147" s="10">
        <f>SUMIFS(df_extratos!I:I,df_extratos!F:F,"&gt;="&amp;Conciliacao!BE147,df_extratos!F:F,"&lt;"&amp;Conciliacao!BE147+1,df_extratos!G:G,"DEBITO")
+SUMIFS(df_extratos!I:I,df_extratos!F:F,"&gt;="&amp;Conciliacao!A147, df_extratos!F:F,"&lt;"&amp;Conciliacao!A147+1, df_extratos!G:G,"DEBITO")
+SUMIFS(df_extratos!I:I,df_extratos!F:F,"&gt;="&amp;Conciliacao!BF147,df_extratos!F:F,"&lt;"&amp;Conciliacao!BF147+1,df_extratos!G:G,"DEBITO")
+SUMIFS(df_extratos!I:I,df_extratos!F:F,"&gt;="&amp;Conciliacao!BG147,df_extratos!F:F,"&lt;"&amp;Conciliacao!BG147+1,df_extratos!G:G,"DEBITO")
+SUMIFS(df_extratos!I:I,df_extratos!F:F,"&gt;="&amp;Conciliacao!BH147,df_extratos!F:F,"&lt;"&amp;Conciliacao!BH147+1,df_extratos!G:G,"DEBITO")</f>
        <v/>
      </c>
      <c r="O147" s="11">
        <f>N147-SUM(J147:M147)</f>
        <v/>
      </c>
      <c r="P147" s="25">
        <f>SUMIFS(df_ajustes_conciliaco!D:D,df_ajustes_conciliaco!C:C,Conciliacao!A147)</f>
        <v/>
      </c>
      <c r="Q147" s="22">
        <f>O147+I147-P147</f>
        <v/>
      </c>
      <c r="BE147" s="20" t="n">
        <v>45803.5</v>
      </c>
      <c r="BF147" s="20" t="n">
        <v>45803.125</v>
      </c>
      <c r="BG147" s="20" t="n">
        <v>45803.54166666666</v>
      </c>
      <c r="BH147" s="20" t="n">
        <v>45803.625</v>
      </c>
    </row>
    <row r="148">
      <c r="A148" s="5">
        <f>A147+1</f>
        <v/>
      </c>
      <c r="B148" s="3">
        <f>-SUMIFS(df_extrato_zig!G:G,df_extrato_zig!E:E,Conciliacao!A148,df_extrato_zig!D:D,"Saque")-SUMIFS(df_extrato_zig!G:G,df_extrato_zig!E:E,Conciliacao!A148,df_extrato_zig!D:D,"Antecipação")</f>
        <v/>
      </c>
      <c r="C148" s="3">
        <f>SUMIFS(df_extrato_zig!E:E,df_extrato_zig!L:L,Conciliacao!A148,df_extrato_zig!F:F,"DINHEIRO")</f>
        <v/>
      </c>
      <c r="D148" s="3">
        <f>SUMIFS(view_parc_agrup!H:H,view_parc_agrup!G:G,Conciliacao!A148)</f>
        <v/>
      </c>
      <c r="E148" s="3">
        <f>SUMIFS(df_eventos!F:F,df_eventos!H:H,Conciliacao!A148)</f>
        <v/>
      </c>
      <c r="F148" s="3">
        <f>SUMIFS(df_mutuos!M:M,df_mutuos!B:B,Conciliacao!A148)</f>
        <v/>
      </c>
      <c r="G148" s="6">
        <f>SUMIFS(df_bloqueios_judiciais!G:G,df_bloqueios_judiciais!D:D,Conciliacao!A148,df_bloqueios_judiciais!G:G,"&gt;0")</f>
        <v/>
      </c>
      <c r="H148" s="7">
        <f>SUMIFS(df_extratos!I:I,df_extratos!F:F,"&gt;="&amp;Conciliacao!BE148,df_extratos!F:F,"&lt;"&amp;Conciliacao!BE148+1,df_extratos!G:G,"CREDITO")
+SUMIFS(df_extratos!I:I,df_extratos!F:F,"&gt;="&amp;Conciliacao!A148, df_extratos!F:F,"&lt;"&amp;Conciliacao!A148+1, df_extratos!G:G,"CREDITO")
+SUMIFS(df_extratos!I:I,df_extratos!F:F,"&gt;="&amp;Conciliacao!BF148,df_extratos!F:F,"&lt;"&amp;Conciliacao!BF148+1,df_extratos!G:G,"CREDITO")
+SUMIFS(df_extratos!I:I,df_extratos!F:F,"&gt;="&amp;Conciliacao!BG148,df_extratos!F:F,"&lt;"&amp;Conciliacao!BG148+1,df_extratos!G:G,"CREDITO")
+SUMIFS(df_extratos!I:I,df_extratos!F:F,"&gt;="&amp;Conciliacao!BH148,df_extratos!F:F,"&lt;"&amp;Conciliacao!BH148+1,df_extratos!G:G,"CREDITO")</f>
        <v/>
      </c>
      <c r="I148" s="9">
        <f>H148-SUM(B148:G148)</f>
        <v/>
      </c>
      <c r="J148" s="4">
        <f>SUMIFS(df_blueme_sem_parcelamento!E:E,df_blueme_sem_parcelamento!H:H,Conciliacao!A148)*(-1)</f>
        <v/>
      </c>
      <c r="K148" s="4">
        <f>SUMIFS(df_blueme_com_parcelamento!J:J,df_blueme_com_parcelamento!M:M,Conciliacao!A148)*(-1)</f>
        <v/>
      </c>
      <c r="L148" s="4">
        <f>SUMIFS(df_mutuos!N:N,df_mutuos!B:B,Conciliacao!A148)*(-1)</f>
        <v/>
      </c>
      <c r="M148" s="8">
        <f>SUMIFS(df_bloqueios_judiciais!G:G,df_bloqueios_judiciais!D:D,Conciliacao!A148,df_bloqueios_judiciais!G:G,"&lt;0")</f>
        <v/>
      </c>
      <c r="N148" s="10">
        <f>SUMIFS(df_extratos!I:I,df_extratos!F:F,"&gt;="&amp;Conciliacao!BE148,df_extratos!F:F,"&lt;"&amp;Conciliacao!BE148+1,df_extratos!G:G,"DEBITO")
+SUMIFS(df_extratos!I:I,df_extratos!F:F,"&gt;="&amp;Conciliacao!A148, df_extratos!F:F,"&lt;"&amp;Conciliacao!A148+1, df_extratos!G:G,"DEBITO")
+SUMIFS(df_extratos!I:I,df_extratos!F:F,"&gt;="&amp;Conciliacao!BF148,df_extratos!F:F,"&lt;"&amp;Conciliacao!BF148+1,df_extratos!G:G,"DEBITO")
+SUMIFS(df_extratos!I:I,df_extratos!F:F,"&gt;="&amp;Conciliacao!BG148,df_extratos!F:F,"&lt;"&amp;Conciliacao!BG148+1,df_extratos!G:G,"DEBITO")
+SUMIFS(df_extratos!I:I,df_extratos!F:F,"&gt;="&amp;Conciliacao!BH148,df_extratos!F:F,"&lt;"&amp;Conciliacao!BH148+1,df_extratos!G:G,"DEBITO")</f>
        <v/>
      </c>
      <c r="O148" s="11">
        <f>N148-SUM(J148:M148)</f>
        <v/>
      </c>
      <c r="P148" s="25">
        <f>SUMIFS(df_ajustes_conciliaco!D:D,df_ajustes_conciliaco!C:C,Conciliacao!A148)</f>
        <v/>
      </c>
      <c r="Q148" s="22">
        <f>O148+I148-P148</f>
        <v/>
      </c>
      <c r="BE148" s="20" t="n">
        <v>45804.5</v>
      </c>
      <c r="BF148" s="20" t="n">
        <v>45804.125</v>
      </c>
      <c r="BG148" s="20" t="n">
        <v>45804.54166666666</v>
      </c>
      <c r="BH148" s="20" t="n">
        <v>45804.625</v>
      </c>
    </row>
    <row r="149">
      <c r="A149" s="5">
        <f>A148+1</f>
        <v/>
      </c>
      <c r="B149" s="3">
        <f>-SUMIFS(df_extrato_zig!G:G,df_extrato_zig!E:E,Conciliacao!A149,df_extrato_zig!D:D,"Saque")-SUMIFS(df_extrato_zig!G:G,df_extrato_zig!E:E,Conciliacao!A149,df_extrato_zig!D:D,"Antecipação")</f>
        <v/>
      </c>
      <c r="C149" s="3">
        <f>SUMIFS(df_extrato_zig!E:E,df_extrato_zig!L:L,Conciliacao!A149,df_extrato_zig!F:F,"DINHEIRO")</f>
        <v/>
      </c>
      <c r="D149" s="3">
        <f>SUMIFS(view_parc_agrup!H:H,view_parc_agrup!G:G,Conciliacao!A149)</f>
        <v/>
      </c>
      <c r="E149" s="3">
        <f>SUMIFS(df_eventos!F:F,df_eventos!H:H,Conciliacao!A149)</f>
        <v/>
      </c>
      <c r="F149" s="3">
        <f>SUMIFS(df_mutuos!M:M,df_mutuos!B:B,Conciliacao!A149)</f>
        <v/>
      </c>
      <c r="G149" s="6">
        <f>SUMIFS(df_bloqueios_judiciais!G:G,df_bloqueios_judiciais!D:D,Conciliacao!A149,df_bloqueios_judiciais!G:G,"&gt;0")</f>
        <v/>
      </c>
      <c r="H149" s="7">
        <f>SUMIFS(df_extratos!I:I,df_extratos!F:F,"&gt;="&amp;Conciliacao!BE149,df_extratos!F:F,"&lt;"&amp;Conciliacao!BE149+1,df_extratos!G:G,"CREDITO")
+SUMIFS(df_extratos!I:I,df_extratos!F:F,"&gt;="&amp;Conciliacao!A149, df_extratos!F:F,"&lt;"&amp;Conciliacao!A149+1, df_extratos!G:G,"CREDITO")
+SUMIFS(df_extratos!I:I,df_extratos!F:F,"&gt;="&amp;Conciliacao!BF149,df_extratos!F:F,"&lt;"&amp;Conciliacao!BF149+1,df_extratos!G:G,"CREDITO")
+SUMIFS(df_extratos!I:I,df_extratos!F:F,"&gt;="&amp;Conciliacao!BG149,df_extratos!F:F,"&lt;"&amp;Conciliacao!BG149+1,df_extratos!G:G,"CREDITO")
+SUMIFS(df_extratos!I:I,df_extratos!F:F,"&gt;="&amp;Conciliacao!BH149,df_extratos!F:F,"&lt;"&amp;Conciliacao!BH149+1,df_extratos!G:G,"CREDITO")</f>
        <v/>
      </c>
      <c r="I149" s="9">
        <f>H149-SUM(B149:G149)</f>
        <v/>
      </c>
      <c r="J149" s="4">
        <f>SUMIFS(df_blueme_sem_parcelamento!E:E,df_blueme_sem_parcelamento!H:H,Conciliacao!A149)*(-1)</f>
        <v/>
      </c>
      <c r="K149" s="4">
        <f>SUMIFS(df_blueme_com_parcelamento!J:J,df_blueme_com_parcelamento!M:M,Conciliacao!A149)*(-1)</f>
        <v/>
      </c>
      <c r="L149" s="4">
        <f>SUMIFS(df_mutuos!N:N,df_mutuos!B:B,Conciliacao!A149)*(-1)</f>
        <v/>
      </c>
      <c r="M149" s="8">
        <f>SUMIFS(df_bloqueios_judiciais!G:G,df_bloqueios_judiciais!D:D,Conciliacao!A149,df_bloqueios_judiciais!G:G,"&lt;0")</f>
        <v/>
      </c>
      <c r="N149" s="10">
        <f>SUMIFS(df_extratos!I:I,df_extratos!F:F,"&gt;="&amp;Conciliacao!BE149,df_extratos!F:F,"&lt;"&amp;Conciliacao!BE149+1,df_extratos!G:G,"DEBITO")
+SUMIFS(df_extratos!I:I,df_extratos!F:F,"&gt;="&amp;Conciliacao!A149, df_extratos!F:F,"&lt;"&amp;Conciliacao!A149+1, df_extratos!G:G,"DEBITO")
+SUMIFS(df_extratos!I:I,df_extratos!F:F,"&gt;="&amp;Conciliacao!BF149,df_extratos!F:F,"&lt;"&amp;Conciliacao!BF149+1,df_extratos!G:G,"DEBITO")
+SUMIFS(df_extratos!I:I,df_extratos!F:F,"&gt;="&amp;Conciliacao!BG149,df_extratos!F:F,"&lt;"&amp;Conciliacao!BG149+1,df_extratos!G:G,"DEBITO")
+SUMIFS(df_extratos!I:I,df_extratos!F:F,"&gt;="&amp;Conciliacao!BH149,df_extratos!F:F,"&lt;"&amp;Conciliacao!BH149+1,df_extratos!G:G,"DEBITO")</f>
        <v/>
      </c>
      <c r="O149" s="11">
        <f>N149-SUM(J149:M149)</f>
        <v/>
      </c>
      <c r="P149" s="25">
        <f>SUMIFS(df_ajustes_conciliaco!D:D,df_ajustes_conciliaco!C:C,Conciliacao!A149)</f>
        <v/>
      </c>
      <c r="Q149" s="22">
        <f>O149+I149-P149</f>
        <v/>
      </c>
      <c r="BE149" s="20" t="n">
        <v>45805.5</v>
      </c>
      <c r="BF149" s="20" t="n">
        <v>45805.125</v>
      </c>
      <c r="BG149" s="20" t="n">
        <v>45805.54166666666</v>
      </c>
      <c r="BH149" s="20" t="n">
        <v>45805.625</v>
      </c>
    </row>
    <row r="150">
      <c r="A150" s="5">
        <f>A149+1</f>
        <v/>
      </c>
      <c r="B150" s="3">
        <f>-SUMIFS(df_extrato_zig!G:G,df_extrato_zig!E:E,Conciliacao!A150,df_extrato_zig!D:D,"Saque")-SUMIFS(df_extrato_zig!G:G,df_extrato_zig!E:E,Conciliacao!A150,df_extrato_zig!D:D,"Antecipação")</f>
        <v/>
      </c>
      <c r="C150" s="3">
        <f>SUMIFS(df_extrato_zig!E:E,df_extrato_zig!L:L,Conciliacao!A150,df_extrato_zig!F:F,"DINHEIRO")</f>
        <v/>
      </c>
      <c r="D150" s="3">
        <f>SUMIFS(view_parc_agrup!H:H,view_parc_agrup!G:G,Conciliacao!A150)</f>
        <v/>
      </c>
      <c r="E150" s="3">
        <f>SUMIFS(df_eventos!F:F,df_eventos!H:H,Conciliacao!A150)</f>
        <v/>
      </c>
      <c r="F150" s="3">
        <f>SUMIFS(df_mutuos!M:M,df_mutuos!B:B,Conciliacao!A150)</f>
        <v/>
      </c>
      <c r="G150" s="6">
        <f>SUMIFS(df_bloqueios_judiciais!G:G,df_bloqueios_judiciais!D:D,Conciliacao!A150,df_bloqueios_judiciais!G:G,"&gt;0")</f>
        <v/>
      </c>
      <c r="H150" s="7">
        <f>SUMIFS(df_extratos!I:I,df_extratos!F:F,"&gt;="&amp;Conciliacao!BE150,df_extratos!F:F,"&lt;"&amp;Conciliacao!BE150+1,df_extratos!G:G,"CREDITO")
+SUMIFS(df_extratos!I:I,df_extratos!F:F,"&gt;="&amp;Conciliacao!A150, df_extratos!F:F,"&lt;"&amp;Conciliacao!A150+1, df_extratos!G:G,"CREDITO")
+SUMIFS(df_extratos!I:I,df_extratos!F:F,"&gt;="&amp;Conciliacao!BF150,df_extratos!F:F,"&lt;"&amp;Conciliacao!BF150+1,df_extratos!G:G,"CREDITO")
+SUMIFS(df_extratos!I:I,df_extratos!F:F,"&gt;="&amp;Conciliacao!BG150,df_extratos!F:F,"&lt;"&amp;Conciliacao!BG150+1,df_extratos!G:G,"CREDITO")
+SUMIFS(df_extratos!I:I,df_extratos!F:F,"&gt;="&amp;Conciliacao!BH150,df_extratos!F:F,"&lt;"&amp;Conciliacao!BH150+1,df_extratos!G:G,"CREDITO")</f>
        <v/>
      </c>
      <c r="I150" s="9">
        <f>H150-SUM(B150:G150)</f>
        <v/>
      </c>
      <c r="J150" s="4">
        <f>SUMIFS(df_blueme_sem_parcelamento!E:E,df_blueme_sem_parcelamento!H:H,Conciliacao!A150)*(-1)</f>
        <v/>
      </c>
      <c r="K150" s="4">
        <f>SUMIFS(df_blueme_com_parcelamento!J:J,df_blueme_com_parcelamento!M:M,Conciliacao!A150)*(-1)</f>
        <v/>
      </c>
      <c r="L150" s="4">
        <f>SUMIFS(df_mutuos!N:N,df_mutuos!B:B,Conciliacao!A150)*(-1)</f>
        <v/>
      </c>
      <c r="M150" s="8">
        <f>SUMIFS(df_bloqueios_judiciais!G:G,df_bloqueios_judiciais!D:D,Conciliacao!A150,df_bloqueios_judiciais!G:G,"&lt;0")</f>
        <v/>
      </c>
      <c r="N150" s="10">
        <f>SUMIFS(df_extratos!I:I,df_extratos!F:F,"&gt;="&amp;Conciliacao!BE150,df_extratos!F:F,"&lt;"&amp;Conciliacao!BE150+1,df_extratos!G:G,"DEBITO")
+SUMIFS(df_extratos!I:I,df_extratos!F:F,"&gt;="&amp;Conciliacao!A150, df_extratos!F:F,"&lt;"&amp;Conciliacao!A150+1, df_extratos!G:G,"DEBITO")
+SUMIFS(df_extratos!I:I,df_extratos!F:F,"&gt;="&amp;Conciliacao!BF150,df_extratos!F:F,"&lt;"&amp;Conciliacao!BF150+1,df_extratos!G:G,"DEBITO")
+SUMIFS(df_extratos!I:I,df_extratos!F:F,"&gt;="&amp;Conciliacao!BG150,df_extratos!F:F,"&lt;"&amp;Conciliacao!BG150+1,df_extratos!G:G,"DEBITO")
+SUMIFS(df_extratos!I:I,df_extratos!F:F,"&gt;="&amp;Conciliacao!BH150,df_extratos!F:F,"&lt;"&amp;Conciliacao!BH150+1,df_extratos!G:G,"DEBITO")</f>
        <v/>
      </c>
      <c r="O150" s="11">
        <f>N150-SUM(J150:M150)</f>
        <v/>
      </c>
      <c r="P150" s="25">
        <f>SUMIFS(df_ajustes_conciliaco!D:D,df_ajustes_conciliaco!C:C,Conciliacao!A150)</f>
        <v/>
      </c>
      <c r="Q150" s="22">
        <f>O150+I150-P150</f>
        <v/>
      </c>
      <c r="BE150" s="20" t="n">
        <v>45806.5</v>
      </c>
      <c r="BF150" s="20" t="n">
        <v>45806.125</v>
      </c>
      <c r="BG150" s="20" t="n">
        <v>45806.54166666666</v>
      </c>
      <c r="BH150" s="20" t="n">
        <v>45806.625</v>
      </c>
    </row>
    <row r="151">
      <c r="A151" s="5">
        <f>A150+1</f>
        <v/>
      </c>
      <c r="B151" s="3">
        <f>-SUMIFS(df_extrato_zig!G:G,df_extrato_zig!E:E,Conciliacao!A151,df_extrato_zig!D:D,"Saque")-SUMIFS(df_extrato_zig!G:G,df_extrato_zig!E:E,Conciliacao!A151,df_extrato_zig!D:D,"Antecipação")</f>
        <v/>
      </c>
      <c r="C151" s="3">
        <f>SUMIFS(df_extrato_zig!E:E,df_extrato_zig!L:L,Conciliacao!A151,df_extrato_zig!F:F,"DINHEIRO")</f>
        <v/>
      </c>
      <c r="D151" s="3">
        <f>SUMIFS(view_parc_agrup!H:H,view_parc_agrup!G:G,Conciliacao!A151)</f>
        <v/>
      </c>
      <c r="E151" s="3">
        <f>SUMIFS(df_eventos!F:F,df_eventos!H:H,Conciliacao!A151)</f>
        <v/>
      </c>
      <c r="F151" s="3">
        <f>SUMIFS(df_mutuos!M:M,df_mutuos!B:B,Conciliacao!A151)</f>
        <v/>
      </c>
      <c r="G151" s="6">
        <f>SUMIFS(df_bloqueios_judiciais!G:G,df_bloqueios_judiciais!D:D,Conciliacao!A151,df_bloqueios_judiciais!G:G,"&gt;0")</f>
        <v/>
      </c>
      <c r="H151" s="7">
        <f>SUMIFS(df_extratos!I:I,df_extratos!F:F,"&gt;="&amp;Conciliacao!BE151,df_extratos!F:F,"&lt;"&amp;Conciliacao!BE151+1,df_extratos!G:G,"CREDITO")
+SUMIFS(df_extratos!I:I,df_extratos!F:F,"&gt;="&amp;Conciliacao!A151, df_extratos!F:F,"&lt;"&amp;Conciliacao!A151+1, df_extratos!G:G,"CREDITO")
+SUMIFS(df_extratos!I:I,df_extratos!F:F,"&gt;="&amp;Conciliacao!BF151,df_extratos!F:F,"&lt;"&amp;Conciliacao!BF151+1,df_extratos!G:G,"CREDITO")
+SUMIFS(df_extratos!I:I,df_extratos!F:F,"&gt;="&amp;Conciliacao!BG151,df_extratos!F:F,"&lt;"&amp;Conciliacao!BG151+1,df_extratos!G:G,"CREDITO")
+SUMIFS(df_extratos!I:I,df_extratos!F:F,"&gt;="&amp;Conciliacao!BH151,df_extratos!F:F,"&lt;"&amp;Conciliacao!BH151+1,df_extratos!G:G,"CREDITO")</f>
        <v/>
      </c>
      <c r="I151" s="9">
        <f>H151-SUM(B151:G151)</f>
        <v/>
      </c>
      <c r="J151" s="4">
        <f>SUMIFS(df_blueme_sem_parcelamento!E:E,df_blueme_sem_parcelamento!H:H,Conciliacao!A151)*(-1)</f>
        <v/>
      </c>
      <c r="K151" s="4">
        <f>SUMIFS(df_blueme_com_parcelamento!J:J,df_blueme_com_parcelamento!M:M,Conciliacao!A151)*(-1)</f>
        <v/>
      </c>
      <c r="L151" s="4">
        <f>SUMIFS(df_mutuos!N:N,df_mutuos!B:B,Conciliacao!A151)*(-1)</f>
        <v/>
      </c>
      <c r="M151" s="8">
        <f>SUMIFS(df_bloqueios_judiciais!G:G,df_bloqueios_judiciais!D:D,Conciliacao!A151,df_bloqueios_judiciais!G:G,"&lt;0")</f>
        <v/>
      </c>
      <c r="N151" s="10">
        <f>SUMIFS(df_extratos!I:I,df_extratos!F:F,"&gt;="&amp;Conciliacao!BE151,df_extratos!F:F,"&lt;"&amp;Conciliacao!BE151+1,df_extratos!G:G,"DEBITO")
+SUMIFS(df_extratos!I:I,df_extratos!F:F,"&gt;="&amp;Conciliacao!A151, df_extratos!F:F,"&lt;"&amp;Conciliacao!A151+1, df_extratos!G:G,"DEBITO")
+SUMIFS(df_extratos!I:I,df_extratos!F:F,"&gt;="&amp;Conciliacao!BF151,df_extratos!F:F,"&lt;"&amp;Conciliacao!BF151+1,df_extratos!G:G,"DEBITO")
+SUMIFS(df_extratos!I:I,df_extratos!F:F,"&gt;="&amp;Conciliacao!BG151,df_extratos!F:F,"&lt;"&amp;Conciliacao!BG151+1,df_extratos!G:G,"DEBITO")
+SUMIFS(df_extratos!I:I,df_extratos!F:F,"&gt;="&amp;Conciliacao!BH151,df_extratos!F:F,"&lt;"&amp;Conciliacao!BH151+1,df_extratos!G:G,"DEBITO")</f>
        <v/>
      </c>
      <c r="O151" s="11">
        <f>N151-SUM(J151:M151)</f>
        <v/>
      </c>
      <c r="P151" s="25">
        <f>SUMIFS(df_ajustes_conciliaco!D:D,df_ajustes_conciliaco!C:C,Conciliacao!A151)</f>
        <v/>
      </c>
      <c r="Q151" s="22">
        <f>O151+I151-P151</f>
        <v/>
      </c>
      <c r="BE151" s="20" t="n">
        <v>45807.5</v>
      </c>
      <c r="BF151" s="20" t="n">
        <v>45807.125</v>
      </c>
      <c r="BG151" s="20" t="n">
        <v>45807.54166666666</v>
      </c>
      <c r="BH151" s="20" t="n">
        <v>45807.625</v>
      </c>
    </row>
    <row r="152">
      <c r="A152" s="5">
        <f>A151+1</f>
        <v/>
      </c>
      <c r="B152" s="3">
        <f>-SUMIFS(df_extrato_zig!G:G,df_extrato_zig!E:E,Conciliacao!A152,df_extrato_zig!D:D,"Saque")-SUMIFS(df_extrato_zig!G:G,df_extrato_zig!E:E,Conciliacao!A152,df_extrato_zig!D:D,"Antecipação")</f>
        <v/>
      </c>
      <c r="C152" s="3">
        <f>SUMIFS(df_extrato_zig!E:E,df_extrato_zig!L:L,Conciliacao!A152,df_extrato_zig!F:F,"DINHEIRO")</f>
        <v/>
      </c>
      <c r="D152" s="3">
        <f>SUMIFS(view_parc_agrup!H:H,view_parc_agrup!G:G,Conciliacao!A152)</f>
        <v/>
      </c>
      <c r="E152" s="3">
        <f>SUMIFS(df_eventos!F:F,df_eventos!H:H,Conciliacao!A152)</f>
        <v/>
      </c>
      <c r="F152" s="3">
        <f>SUMIFS(df_mutuos!M:M,df_mutuos!B:B,Conciliacao!A152)</f>
        <v/>
      </c>
      <c r="G152" s="6">
        <f>SUMIFS(df_bloqueios_judiciais!G:G,df_bloqueios_judiciais!D:D,Conciliacao!A152,df_bloqueios_judiciais!G:G,"&gt;0")</f>
        <v/>
      </c>
      <c r="H152" s="7">
        <f>SUMIFS(df_extratos!I:I,df_extratos!F:F,"&gt;="&amp;Conciliacao!BE152,df_extratos!F:F,"&lt;"&amp;Conciliacao!BE152+1,df_extratos!G:G,"CREDITO")
+SUMIFS(df_extratos!I:I,df_extratos!F:F,"&gt;="&amp;Conciliacao!A152, df_extratos!F:F,"&lt;"&amp;Conciliacao!A152+1, df_extratos!G:G,"CREDITO")
+SUMIFS(df_extratos!I:I,df_extratos!F:F,"&gt;="&amp;Conciliacao!BF152,df_extratos!F:F,"&lt;"&amp;Conciliacao!BF152+1,df_extratos!G:G,"CREDITO")
+SUMIFS(df_extratos!I:I,df_extratos!F:F,"&gt;="&amp;Conciliacao!BG152,df_extratos!F:F,"&lt;"&amp;Conciliacao!BG152+1,df_extratos!G:G,"CREDITO")
+SUMIFS(df_extratos!I:I,df_extratos!F:F,"&gt;="&amp;Conciliacao!BH152,df_extratos!F:F,"&lt;"&amp;Conciliacao!BH152+1,df_extratos!G:G,"CREDITO")</f>
        <v/>
      </c>
      <c r="I152" s="9">
        <f>H152-SUM(B152:G152)</f>
        <v/>
      </c>
      <c r="J152" s="4">
        <f>SUMIFS(df_blueme_sem_parcelamento!E:E,df_blueme_sem_parcelamento!H:H,Conciliacao!A152)*(-1)</f>
        <v/>
      </c>
      <c r="K152" s="4">
        <f>SUMIFS(df_blueme_com_parcelamento!J:J,df_blueme_com_parcelamento!M:M,Conciliacao!A152)*(-1)</f>
        <v/>
      </c>
      <c r="L152" s="4">
        <f>SUMIFS(df_mutuos!N:N,df_mutuos!B:B,Conciliacao!A152)*(-1)</f>
        <v/>
      </c>
      <c r="M152" s="8">
        <f>SUMIFS(df_bloqueios_judiciais!G:G,df_bloqueios_judiciais!D:D,Conciliacao!A152,df_bloqueios_judiciais!G:G,"&lt;0")</f>
        <v/>
      </c>
      <c r="N152" s="10">
        <f>SUMIFS(df_extratos!I:I,df_extratos!F:F,"&gt;="&amp;Conciliacao!BE152,df_extratos!F:F,"&lt;"&amp;Conciliacao!BE152+1,df_extratos!G:G,"DEBITO")
+SUMIFS(df_extratos!I:I,df_extratos!F:F,"&gt;="&amp;Conciliacao!A152, df_extratos!F:F,"&lt;"&amp;Conciliacao!A152+1, df_extratos!G:G,"DEBITO")
+SUMIFS(df_extratos!I:I,df_extratos!F:F,"&gt;="&amp;Conciliacao!BF152,df_extratos!F:F,"&lt;"&amp;Conciliacao!BF152+1,df_extratos!G:G,"DEBITO")
+SUMIFS(df_extratos!I:I,df_extratos!F:F,"&gt;="&amp;Conciliacao!BG152,df_extratos!F:F,"&lt;"&amp;Conciliacao!BG152+1,df_extratos!G:G,"DEBITO")
+SUMIFS(df_extratos!I:I,df_extratos!F:F,"&gt;="&amp;Conciliacao!BH152,df_extratos!F:F,"&lt;"&amp;Conciliacao!BH152+1,df_extratos!G:G,"DEBITO")</f>
        <v/>
      </c>
      <c r="O152" s="11">
        <f>N152-SUM(J152:M152)</f>
        <v/>
      </c>
      <c r="P152" s="25">
        <f>SUMIFS(df_ajustes_conciliaco!D:D,df_ajustes_conciliaco!C:C,Conciliacao!A152)</f>
        <v/>
      </c>
      <c r="Q152" s="22">
        <f>O152+I152-P152</f>
        <v/>
      </c>
      <c r="BE152" s="20" t="n">
        <v>45808.5</v>
      </c>
      <c r="BF152" s="20" t="n">
        <v>45808.125</v>
      </c>
      <c r="BG152" s="20" t="n">
        <v>45808.54166666666</v>
      </c>
      <c r="BH152" s="20" t="n">
        <v>45808.625</v>
      </c>
    </row>
    <row r="153">
      <c r="A153" s="5">
        <f>A152+1</f>
        <v/>
      </c>
      <c r="B153" s="3">
        <f>-SUMIFS(df_extrato_zig!G:G,df_extrato_zig!E:E,Conciliacao!A153,df_extrato_zig!D:D,"Saque")-SUMIFS(df_extrato_zig!G:G,df_extrato_zig!E:E,Conciliacao!A153,df_extrato_zig!D:D,"Antecipação")</f>
        <v/>
      </c>
      <c r="C153" s="3">
        <f>SUMIFS(df_extrato_zig!E:E,df_extrato_zig!L:L,Conciliacao!A153,df_extrato_zig!F:F,"DINHEIRO")</f>
        <v/>
      </c>
      <c r="D153" s="3">
        <f>SUMIFS(view_parc_agrup!H:H,view_parc_agrup!G:G,Conciliacao!A153)</f>
        <v/>
      </c>
      <c r="E153" s="3">
        <f>SUMIFS(df_eventos!F:F,df_eventos!H:H,Conciliacao!A153)</f>
        <v/>
      </c>
      <c r="F153" s="3">
        <f>SUMIFS(df_mutuos!M:M,df_mutuos!B:B,Conciliacao!A153)</f>
        <v/>
      </c>
      <c r="G153" s="6">
        <f>SUMIFS(df_bloqueios_judiciais!G:G,df_bloqueios_judiciais!D:D,Conciliacao!A153,df_bloqueios_judiciais!G:G,"&gt;0")</f>
        <v/>
      </c>
      <c r="H153" s="7">
        <f>SUMIFS(df_extratos!I:I,df_extratos!F:F,"&gt;="&amp;Conciliacao!BE153,df_extratos!F:F,"&lt;"&amp;Conciliacao!BE153+1,df_extratos!G:G,"CREDITO")
+SUMIFS(df_extratos!I:I,df_extratos!F:F,"&gt;="&amp;Conciliacao!A153, df_extratos!F:F,"&lt;"&amp;Conciliacao!A153+1, df_extratos!G:G,"CREDITO")
+SUMIFS(df_extratos!I:I,df_extratos!F:F,"&gt;="&amp;Conciliacao!BF153,df_extratos!F:F,"&lt;"&amp;Conciliacao!BF153+1,df_extratos!G:G,"CREDITO")
+SUMIFS(df_extratos!I:I,df_extratos!F:F,"&gt;="&amp;Conciliacao!BG153,df_extratos!F:F,"&lt;"&amp;Conciliacao!BG153+1,df_extratos!G:G,"CREDITO")
+SUMIFS(df_extratos!I:I,df_extratos!F:F,"&gt;="&amp;Conciliacao!BH153,df_extratos!F:F,"&lt;"&amp;Conciliacao!BH153+1,df_extratos!G:G,"CREDITO")</f>
        <v/>
      </c>
      <c r="I153" s="9">
        <f>H153-SUM(B153:G153)</f>
        <v/>
      </c>
      <c r="J153" s="4">
        <f>SUMIFS(df_blueme_sem_parcelamento!E:E,df_blueme_sem_parcelamento!H:H,Conciliacao!A153)*(-1)</f>
        <v/>
      </c>
      <c r="K153" s="4">
        <f>SUMIFS(df_blueme_com_parcelamento!J:J,df_blueme_com_parcelamento!M:M,Conciliacao!A153)*(-1)</f>
        <v/>
      </c>
      <c r="L153" s="4">
        <f>SUMIFS(df_mutuos!N:N,df_mutuos!B:B,Conciliacao!A153)*(-1)</f>
        <v/>
      </c>
      <c r="M153" s="8">
        <f>SUMIFS(df_bloqueios_judiciais!G:G,df_bloqueios_judiciais!D:D,Conciliacao!A153,df_bloqueios_judiciais!G:G,"&lt;0")</f>
        <v/>
      </c>
      <c r="N153" s="10">
        <f>SUMIFS(df_extratos!I:I,df_extratos!F:F,"&gt;="&amp;Conciliacao!BE153,df_extratos!F:F,"&lt;"&amp;Conciliacao!BE153+1,df_extratos!G:G,"DEBITO")
+SUMIFS(df_extratos!I:I,df_extratos!F:F,"&gt;="&amp;Conciliacao!A153, df_extratos!F:F,"&lt;"&amp;Conciliacao!A153+1, df_extratos!G:G,"DEBITO")
+SUMIFS(df_extratos!I:I,df_extratos!F:F,"&gt;="&amp;Conciliacao!BF153,df_extratos!F:F,"&lt;"&amp;Conciliacao!BF153+1,df_extratos!G:G,"DEBITO")
+SUMIFS(df_extratos!I:I,df_extratos!F:F,"&gt;="&amp;Conciliacao!BG153,df_extratos!F:F,"&lt;"&amp;Conciliacao!BG153+1,df_extratos!G:G,"DEBITO")
+SUMIFS(df_extratos!I:I,df_extratos!F:F,"&gt;="&amp;Conciliacao!BH153,df_extratos!F:F,"&lt;"&amp;Conciliacao!BH153+1,df_extratos!G:G,"DEBITO")</f>
        <v/>
      </c>
      <c r="O153" s="11">
        <f>N153-SUM(J153:M153)</f>
        <v/>
      </c>
      <c r="P153" s="25">
        <f>SUMIFS(df_ajustes_conciliaco!D:D,df_ajustes_conciliaco!C:C,Conciliacao!A153)</f>
        <v/>
      </c>
      <c r="Q153" s="22">
        <f>O153+I153-P153</f>
        <v/>
      </c>
      <c r="BE153" s="20" t="n">
        <v>45809.5</v>
      </c>
      <c r="BF153" s="20" t="n">
        <v>45809.125</v>
      </c>
      <c r="BG153" s="20" t="n">
        <v>45809.54166666666</v>
      </c>
      <c r="BH153" s="20" t="n">
        <v>45809.625</v>
      </c>
    </row>
    <row r="154">
      <c r="A154" s="5">
        <f>A153+1</f>
        <v/>
      </c>
      <c r="B154" s="3">
        <f>-SUMIFS(df_extrato_zig!G:G,df_extrato_zig!E:E,Conciliacao!A154,df_extrato_zig!D:D,"Saque")-SUMIFS(df_extrato_zig!G:G,df_extrato_zig!E:E,Conciliacao!A154,df_extrato_zig!D:D,"Antecipação")</f>
        <v/>
      </c>
      <c r="C154" s="3">
        <f>SUMIFS(df_extrato_zig!E:E,df_extrato_zig!L:L,Conciliacao!A154,df_extrato_zig!F:F,"DINHEIRO")</f>
        <v/>
      </c>
      <c r="D154" s="3">
        <f>SUMIFS(view_parc_agrup!H:H,view_parc_agrup!G:G,Conciliacao!A154)</f>
        <v/>
      </c>
      <c r="E154" s="3">
        <f>SUMIFS(df_eventos!F:F,df_eventos!H:H,Conciliacao!A154)</f>
        <v/>
      </c>
      <c r="F154" s="3">
        <f>SUMIFS(df_mutuos!M:M,df_mutuos!B:B,Conciliacao!A154)</f>
        <v/>
      </c>
      <c r="G154" s="6">
        <f>SUMIFS(df_bloqueios_judiciais!G:G,df_bloqueios_judiciais!D:D,Conciliacao!A154,df_bloqueios_judiciais!G:G,"&gt;0")</f>
        <v/>
      </c>
      <c r="H154" s="7">
        <f>SUMIFS(df_extratos!I:I,df_extratos!F:F,"&gt;="&amp;Conciliacao!BE154,df_extratos!F:F,"&lt;"&amp;Conciliacao!BE154+1,df_extratos!G:G,"CREDITO")
+SUMIFS(df_extratos!I:I,df_extratos!F:F,"&gt;="&amp;Conciliacao!A154, df_extratos!F:F,"&lt;"&amp;Conciliacao!A154+1, df_extratos!G:G,"CREDITO")
+SUMIFS(df_extratos!I:I,df_extratos!F:F,"&gt;="&amp;Conciliacao!BF154,df_extratos!F:F,"&lt;"&amp;Conciliacao!BF154+1,df_extratos!G:G,"CREDITO")
+SUMIFS(df_extratos!I:I,df_extratos!F:F,"&gt;="&amp;Conciliacao!BG154,df_extratos!F:F,"&lt;"&amp;Conciliacao!BG154+1,df_extratos!G:G,"CREDITO")
+SUMIFS(df_extratos!I:I,df_extratos!F:F,"&gt;="&amp;Conciliacao!BH154,df_extratos!F:F,"&lt;"&amp;Conciliacao!BH154+1,df_extratos!G:G,"CREDITO")</f>
        <v/>
      </c>
      <c r="I154" s="9">
        <f>H154-SUM(B154:G154)</f>
        <v/>
      </c>
      <c r="J154" s="4">
        <f>SUMIFS(df_blueme_sem_parcelamento!E:E,df_blueme_sem_parcelamento!H:H,Conciliacao!A154)*(-1)</f>
        <v/>
      </c>
      <c r="K154" s="4">
        <f>SUMIFS(df_blueme_com_parcelamento!J:J,df_blueme_com_parcelamento!M:M,Conciliacao!A154)*(-1)</f>
        <v/>
      </c>
      <c r="L154" s="4">
        <f>SUMIFS(df_mutuos!N:N,df_mutuos!B:B,Conciliacao!A154)*(-1)</f>
        <v/>
      </c>
      <c r="M154" s="8">
        <f>SUMIFS(df_bloqueios_judiciais!G:G,df_bloqueios_judiciais!D:D,Conciliacao!A154,df_bloqueios_judiciais!G:G,"&lt;0")</f>
        <v/>
      </c>
      <c r="N154" s="10">
        <f>SUMIFS(df_extratos!I:I,df_extratos!F:F,"&gt;="&amp;Conciliacao!BE154,df_extratos!F:F,"&lt;"&amp;Conciliacao!BE154+1,df_extratos!G:G,"DEBITO")
+SUMIFS(df_extratos!I:I,df_extratos!F:F,"&gt;="&amp;Conciliacao!A154, df_extratos!F:F,"&lt;"&amp;Conciliacao!A154+1, df_extratos!G:G,"DEBITO")
+SUMIFS(df_extratos!I:I,df_extratos!F:F,"&gt;="&amp;Conciliacao!BF154,df_extratos!F:F,"&lt;"&amp;Conciliacao!BF154+1,df_extratos!G:G,"DEBITO")
+SUMIFS(df_extratos!I:I,df_extratos!F:F,"&gt;="&amp;Conciliacao!BG154,df_extratos!F:F,"&lt;"&amp;Conciliacao!BG154+1,df_extratos!G:G,"DEBITO")
+SUMIFS(df_extratos!I:I,df_extratos!F:F,"&gt;="&amp;Conciliacao!BH154,df_extratos!F:F,"&lt;"&amp;Conciliacao!BH154+1,df_extratos!G:G,"DEBITO")</f>
        <v/>
      </c>
      <c r="O154" s="11">
        <f>N154-SUM(J154:M154)</f>
        <v/>
      </c>
      <c r="P154" s="25">
        <f>SUMIFS(df_ajustes_conciliaco!D:D,df_ajustes_conciliaco!C:C,Conciliacao!A154)</f>
        <v/>
      </c>
      <c r="Q154" s="22">
        <f>O154+I154-P154</f>
        <v/>
      </c>
      <c r="BE154" s="20" t="n">
        <v>45810.5</v>
      </c>
      <c r="BF154" s="20" t="n">
        <v>45810.125</v>
      </c>
      <c r="BG154" s="20" t="n">
        <v>45810.54166666666</v>
      </c>
      <c r="BH154" s="20" t="n">
        <v>45810.625</v>
      </c>
    </row>
    <row r="155">
      <c r="A155" s="5">
        <f>A154+1</f>
        <v/>
      </c>
      <c r="B155" s="3">
        <f>-SUMIFS(df_extrato_zig!G:G,df_extrato_zig!E:E,Conciliacao!A155,df_extrato_zig!D:D,"Saque")-SUMIFS(df_extrato_zig!G:G,df_extrato_zig!E:E,Conciliacao!A155,df_extrato_zig!D:D,"Antecipação")</f>
        <v/>
      </c>
      <c r="C155" s="3">
        <f>SUMIFS(df_extrato_zig!E:E,df_extrato_zig!L:L,Conciliacao!A155,df_extrato_zig!F:F,"DINHEIRO")</f>
        <v/>
      </c>
      <c r="D155" s="3">
        <f>SUMIFS(view_parc_agrup!H:H,view_parc_agrup!G:G,Conciliacao!A155)</f>
        <v/>
      </c>
      <c r="E155" s="3">
        <f>SUMIFS(df_eventos!F:F,df_eventos!H:H,Conciliacao!A155)</f>
        <v/>
      </c>
      <c r="F155" s="3">
        <f>SUMIFS(df_mutuos!M:M,df_mutuos!B:B,Conciliacao!A155)</f>
        <v/>
      </c>
      <c r="G155" s="6">
        <f>SUMIFS(df_bloqueios_judiciais!G:G,df_bloqueios_judiciais!D:D,Conciliacao!A155,df_bloqueios_judiciais!G:G,"&gt;0")</f>
        <v/>
      </c>
      <c r="H155" s="7">
        <f>SUMIFS(df_extratos!I:I,df_extratos!F:F,"&gt;="&amp;Conciliacao!BE155,df_extratos!F:F,"&lt;"&amp;Conciliacao!BE155+1,df_extratos!G:G,"CREDITO")
+SUMIFS(df_extratos!I:I,df_extratos!F:F,"&gt;="&amp;Conciliacao!A155, df_extratos!F:F,"&lt;"&amp;Conciliacao!A155+1, df_extratos!G:G,"CREDITO")
+SUMIFS(df_extratos!I:I,df_extratos!F:F,"&gt;="&amp;Conciliacao!BF155,df_extratos!F:F,"&lt;"&amp;Conciliacao!BF155+1,df_extratos!G:G,"CREDITO")
+SUMIFS(df_extratos!I:I,df_extratos!F:F,"&gt;="&amp;Conciliacao!BG155,df_extratos!F:F,"&lt;"&amp;Conciliacao!BG155+1,df_extratos!G:G,"CREDITO")
+SUMIFS(df_extratos!I:I,df_extratos!F:F,"&gt;="&amp;Conciliacao!BH155,df_extratos!F:F,"&lt;"&amp;Conciliacao!BH155+1,df_extratos!G:G,"CREDITO")</f>
        <v/>
      </c>
      <c r="I155" s="9">
        <f>H155-SUM(B155:G155)</f>
        <v/>
      </c>
      <c r="J155" s="4">
        <f>SUMIFS(df_blueme_sem_parcelamento!E:E,df_blueme_sem_parcelamento!H:H,Conciliacao!A155)*(-1)</f>
        <v/>
      </c>
      <c r="K155" s="4">
        <f>SUMIFS(df_blueme_com_parcelamento!J:J,df_blueme_com_parcelamento!M:M,Conciliacao!A155)*(-1)</f>
        <v/>
      </c>
      <c r="L155" s="4">
        <f>SUMIFS(df_mutuos!N:N,df_mutuos!B:B,Conciliacao!A155)*(-1)</f>
        <v/>
      </c>
      <c r="M155" s="8">
        <f>SUMIFS(df_bloqueios_judiciais!G:G,df_bloqueios_judiciais!D:D,Conciliacao!A155,df_bloqueios_judiciais!G:G,"&lt;0")</f>
        <v/>
      </c>
      <c r="N155" s="10">
        <f>SUMIFS(df_extratos!I:I,df_extratos!F:F,"&gt;="&amp;Conciliacao!BE155,df_extratos!F:F,"&lt;"&amp;Conciliacao!BE155+1,df_extratos!G:G,"DEBITO")
+SUMIFS(df_extratos!I:I,df_extratos!F:F,"&gt;="&amp;Conciliacao!A155, df_extratos!F:F,"&lt;"&amp;Conciliacao!A155+1, df_extratos!G:G,"DEBITO")
+SUMIFS(df_extratos!I:I,df_extratos!F:F,"&gt;="&amp;Conciliacao!BF155,df_extratos!F:F,"&lt;"&amp;Conciliacao!BF155+1,df_extratos!G:G,"DEBITO")
+SUMIFS(df_extratos!I:I,df_extratos!F:F,"&gt;="&amp;Conciliacao!BG155,df_extratos!F:F,"&lt;"&amp;Conciliacao!BG155+1,df_extratos!G:G,"DEBITO")
+SUMIFS(df_extratos!I:I,df_extratos!F:F,"&gt;="&amp;Conciliacao!BH155,df_extratos!F:F,"&lt;"&amp;Conciliacao!BH155+1,df_extratos!G:G,"DEBITO")</f>
        <v/>
      </c>
      <c r="O155" s="11">
        <f>N155-SUM(J155:M155)</f>
        <v/>
      </c>
      <c r="P155" s="25">
        <f>SUMIFS(df_ajustes_conciliaco!D:D,df_ajustes_conciliaco!C:C,Conciliacao!A155)</f>
        <v/>
      </c>
      <c r="Q155" s="22">
        <f>O155+I155-P155</f>
        <v/>
      </c>
      <c r="BE155" s="20" t="n">
        <v>45811.5</v>
      </c>
      <c r="BF155" s="20" t="n">
        <v>45811.125</v>
      </c>
      <c r="BG155" s="20" t="n">
        <v>45811.54166666666</v>
      </c>
      <c r="BH155" s="20" t="n">
        <v>45811.625</v>
      </c>
    </row>
    <row r="156">
      <c r="A156" s="5">
        <f>A155+1</f>
        <v/>
      </c>
      <c r="B156" s="3">
        <f>-SUMIFS(df_extrato_zig!G:G,df_extrato_zig!E:E,Conciliacao!A156,df_extrato_zig!D:D,"Saque")-SUMIFS(df_extrato_zig!G:G,df_extrato_zig!E:E,Conciliacao!A156,df_extrato_zig!D:D,"Antecipação")</f>
        <v/>
      </c>
      <c r="C156" s="3">
        <f>SUMIFS(df_extrato_zig!E:E,df_extrato_zig!L:L,Conciliacao!A156,df_extrato_zig!F:F,"DINHEIRO")</f>
        <v/>
      </c>
      <c r="D156" s="3">
        <f>SUMIFS(view_parc_agrup!H:H,view_parc_agrup!G:G,Conciliacao!A156)</f>
        <v/>
      </c>
      <c r="E156" s="3">
        <f>SUMIFS(df_eventos!F:F,df_eventos!H:H,Conciliacao!A156)</f>
        <v/>
      </c>
      <c r="F156" s="3">
        <f>SUMIFS(df_mutuos!M:M,df_mutuos!B:B,Conciliacao!A156)</f>
        <v/>
      </c>
      <c r="G156" s="6">
        <f>SUMIFS(df_bloqueios_judiciais!G:G,df_bloqueios_judiciais!D:D,Conciliacao!A156,df_bloqueios_judiciais!G:G,"&gt;0")</f>
        <v/>
      </c>
      <c r="H156" s="7">
        <f>SUMIFS(df_extratos!I:I,df_extratos!F:F,"&gt;="&amp;Conciliacao!BE156,df_extratos!F:F,"&lt;"&amp;Conciliacao!BE156+1,df_extratos!G:G,"CREDITO")
+SUMIFS(df_extratos!I:I,df_extratos!F:F,"&gt;="&amp;Conciliacao!A156, df_extratos!F:F,"&lt;"&amp;Conciliacao!A156+1, df_extratos!G:G,"CREDITO")
+SUMIFS(df_extratos!I:I,df_extratos!F:F,"&gt;="&amp;Conciliacao!BF156,df_extratos!F:F,"&lt;"&amp;Conciliacao!BF156+1,df_extratos!G:G,"CREDITO")
+SUMIFS(df_extratos!I:I,df_extratos!F:F,"&gt;="&amp;Conciliacao!BG156,df_extratos!F:F,"&lt;"&amp;Conciliacao!BG156+1,df_extratos!G:G,"CREDITO")
+SUMIFS(df_extratos!I:I,df_extratos!F:F,"&gt;="&amp;Conciliacao!BH156,df_extratos!F:F,"&lt;"&amp;Conciliacao!BH156+1,df_extratos!G:G,"CREDITO")</f>
        <v/>
      </c>
      <c r="I156" s="9">
        <f>H156-SUM(B156:G156)</f>
        <v/>
      </c>
      <c r="J156" s="4">
        <f>SUMIFS(df_blueme_sem_parcelamento!E:E,df_blueme_sem_parcelamento!H:H,Conciliacao!A156)*(-1)</f>
        <v/>
      </c>
      <c r="K156" s="4">
        <f>SUMIFS(df_blueme_com_parcelamento!J:J,df_blueme_com_parcelamento!M:M,Conciliacao!A156)*(-1)</f>
        <v/>
      </c>
      <c r="L156" s="4">
        <f>SUMIFS(df_mutuos!N:N,df_mutuos!B:B,Conciliacao!A156)*(-1)</f>
        <v/>
      </c>
      <c r="M156" s="8">
        <f>SUMIFS(df_bloqueios_judiciais!G:G,df_bloqueios_judiciais!D:D,Conciliacao!A156,df_bloqueios_judiciais!G:G,"&lt;0")</f>
        <v/>
      </c>
      <c r="N156" s="10">
        <f>SUMIFS(df_extratos!I:I,df_extratos!F:F,"&gt;="&amp;Conciliacao!BE156,df_extratos!F:F,"&lt;"&amp;Conciliacao!BE156+1,df_extratos!G:G,"DEBITO")
+SUMIFS(df_extratos!I:I,df_extratos!F:F,"&gt;="&amp;Conciliacao!A156, df_extratos!F:F,"&lt;"&amp;Conciliacao!A156+1, df_extratos!G:G,"DEBITO")
+SUMIFS(df_extratos!I:I,df_extratos!F:F,"&gt;="&amp;Conciliacao!BF156,df_extratos!F:F,"&lt;"&amp;Conciliacao!BF156+1,df_extratos!G:G,"DEBITO")
+SUMIFS(df_extratos!I:I,df_extratos!F:F,"&gt;="&amp;Conciliacao!BG156,df_extratos!F:F,"&lt;"&amp;Conciliacao!BG156+1,df_extratos!G:G,"DEBITO")
+SUMIFS(df_extratos!I:I,df_extratos!F:F,"&gt;="&amp;Conciliacao!BH156,df_extratos!F:F,"&lt;"&amp;Conciliacao!BH156+1,df_extratos!G:G,"DEBITO")</f>
        <v/>
      </c>
      <c r="O156" s="11">
        <f>N156-SUM(J156:M156)</f>
        <v/>
      </c>
      <c r="P156" s="25">
        <f>SUMIFS(df_ajustes_conciliaco!D:D,df_ajustes_conciliaco!C:C,Conciliacao!A156)</f>
        <v/>
      </c>
      <c r="Q156" s="22">
        <f>O156+I156-P156</f>
        <v/>
      </c>
      <c r="BE156" s="20" t="n">
        <v>45812.5</v>
      </c>
      <c r="BF156" s="20" t="n">
        <v>45812.125</v>
      </c>
      <c r="BG156" s="20" t="n">
        <v>45812.54166666666</v>
      </c>
      <c r="BH156" s="20" t="n">
        <v>45812.625</v>
      </c>
    </row>
    <row r="157">
      <c r="A157" s="5">
        <f>A156+1</f>
        <v/>
      </c>
      <c r="B157" s="3">
        <f>-SUMIFS(df_extrato_zig!G:G,df_extrato_zig!E:E,Conciliacao!A157,df_extrato_zig!D:D,"Saque")-SUMIFS(df_extrato_zig!G:G,df_extrato_zig!E:E,Conciliacao!A157,df_extrato_zig!D:D,"Antecipação")</f>
        <v/>
      </c>
      <c r="C157" s="3">
        <f>SUMIFS(df_extrato_zig!E:E,df_extrato_zig!L:L,Conciliacao!A157,df_extrato_zig!F:F,"DINHEIRO")</f>
        <v/>
      </c>
      <c r="D157" s="3">
        <f>SUMIFS(view_parc_agrup!H:H,view_parc_agrup!G:G,Conciliacao!A157)</f>
        <v/>
      </c>
      <c r="E157" s="3">
        <f>SUMIFS(df_eventos!F:F,df_eventos!H:H,Conciliacao!A157)</f>
        <v/>
      </c>
      <c r="F157" s="3">
        <f>SUMIFS(df_mutuos!M:M,df_mutuos!B:B,Conciliacao!A157)</f>
        <v/>
      </c>
      <c r="G157" s="6">
        <f>SUMIFS(df_bloqueios_judiciais!G:G,df_bloqueios_judiciais!D:D,Conciliacao!A157,df_bloqueios_judiciais!G:G,"&gt;0")</f>
        <v/>
      </c>
      <c r="H157" s="7">
        <f>SUMIFS(df_extratos!I:I,df_extratos!F:F,"&gt;="&amp;Conciliacao!BE157,df_extratos!F:F,"&lt;"&amp;Conciliacao!BE157+1,df_extratos!G:G,"CREDITO")
+SUMIFS(df_extratos!I:I,df_extratos!F:F,"&gt;="&amp;Conciliacao!A157, df_extratos!F:F,"&lt;"&amp;Conciliacao!A157+1, df_extratos!G:G,"CREDITO")
+SUMIFS(df_extratos!I:I,df_extratos!F:F,"&gt;="&amp;Conciliacao!BF157,df_extratos!F:F,"&lt;"&amp;Conciliacao!BF157+1,df_extratos!G:G,"CREDITO")
+SUMIFS(df_extratos!I:I,df_extratos!F:F,"&gt;="&amp;Conciliacao!BG157,df_extratos!F:F,"&lt;"&amp;Conciliacao!BG157+1,df_extratos!G:G,"CREDITO")
+SUMIFS(df_extratos!I:I,df_extratos!F:F,"&gt;="&amp;Conciliacao!BH157,df_extratos!F:F,"&lt;"&amp;Conciliacao!BH157+1,df_extratos!G:G,"CREDITO")</f>
        <v/>
      </c>
      <c r="I157" s="9">
        <f>H157-SUM(B157:G157)</f>
        <v/>
      </c>
      <c r="J157" s="4">
        <f>SUMIFS(df_blueme_sem_parcelamento!E:E,df_blueme_sem_parcelamento!H:H,Conciliacao!A157)*(-1)</f>
        <v/>
      </c>
      <c r="K157" s="4">
        <f>SUMIFS(df_blueme_com_parcelamento!J:J,df_blueme_com_parcelamento!M:M,Conciliacao!A157)*(-1)</f>
        <v/>
      </c>
      <c r="L157" s="4">
        <f>SUMIFS(df_mutuos!N:N,df_mutuos!B:B,Conciliacao!A157)*(-1)</f>
        <v/>
      </c>
      <c r="M157" s="8">
        <f>SUMIFS(df_bloqueios_judiciais!G:G,df_bloqueios_judiciais!D:D,Conciliacao!A157,df_bloqueios_judiciais!G:G,"&lt;0")</f>
        <v/>
      </c>
      <c r="N157" s="10">
        <f>SUMIFS(df_extratos!I:I,df_extratos!F:F,"&gt;="&amp;Conciliacao!BE157,df_extratos!F:F,"&lt;"&amp;Conciliacao!BE157+1,df_extratos!G:G,"DEBITO")
+SUMIFS(df_extratos!I:I,df_extratos!F:F,"&gt;="&amp;Conciliacao!A157, df_extratos!F:F,"&lt;"&amp;Conciliacao!A157+1, df_extratos!G:G,"DEBITO")
+SUMIFS(df_extratos!I:I,df_extratos!F:F,"&gt;="&amp;Conciliacao!BF157,df_extratos!F:F,"&lt;"&amp;Conciliacao!BF157+1,df_extratos!G:G,"DEBITO")
+SUMIFS(df_extratos!I:I,df_extratos!F:F,"&gt;="&amp;Conciliacao!BG157,df_extratos!F:F,"&lt;"&amp;Conciliacao!BG157+1,df_extratos!G:G,"DEBITO")
+SUMIFS(df_extratos!I:I,df_extratos!F:F,"&gt;="&amp;Conciliacao!BH157,df_extratos!F:F,"&lt;"&amp;Conciliacao!BH157+1,df_extratos!G:G,"DEBITO")</f>
        <v/>
      </c>
      <c r="O157" s="11">
        <f>N157-SUM(J157:M157)</f>
        <v/>
      </c>
      <c r="P157" s="25">
        <f>SUMIFS(df_ajustes_conciliaco!D:D,df_ajustes_conciliaco!C:C,Conciliacao!A157)</f>
        <v/>
      </c>
      <c r="Q157" s="22">
        <f>O157+I157-P157</f>
        <v/>
      </c>
      <c r="BE157" s="20" t="n">
        <v>45813.5</v>
      </c>
      <c r="BF157" s="20" t="n">
        <v>45813.125</v>
      </c>
      <c r="BG157" s="20" t="n">
        <v>45813.54166666666</v>
      </c>
      <c r="BH157" s="20" t="n">
        <v>45813.625</v>
      </c>
    </row>
    <row r="158">
      <c r="A158" s="5">
        <f>A157+1</f>
        <v/>
      </c>
      <c r="B158" s="3">
        <f>-SUMIFS(df_extrato_zig!G:G,df_extrato_zig!E:E,Conciliacao!A158,df_extrato_zig!D:D,"Saque")-SUMIFS(df_extrato_zig!G:G,df_extrato_zig!E:E,Conciliacao!A158,df_extrato_zig!D:D,"Antecipação")</f>
        <v/>
      </c>
      <c r="C158" s="3">
        <f>SUMIFS(df_extrato_zig!E:E,df_extrato_zig!L:L,Conciliacao!A158,df_extrato_zig!F:F,"DINHEIRO")</f>
        <v/>
      </c>
      <c r="D158" s="3">
        <f>SUMIFS(view_parc_agrup!H:H,view_parc_agrup!G:G,Conciliacao!A158)</f>
        <v/>
      </c>
      <c r="E158" s="3">
        <f>SUMIFS(df_eventos!F:F,df_eventos!H:H,Conciliacao!A158)</f>
        <v/>
      </c>
      <c r="F158" s="3">
        <f>SUMIFS(df_mutuos!M:M,df_mutuos!B:B,Conciliacao!A158)</f>
        <v/>
      </c>
      <c r="G158" s="6">
        <f>SUMIFS(df_bloqueios_judiciais!G:G,df_bloqueios_judiciais!D:D,Conciliacao!A158,df_bloqueios_judiciais!G:G,"&gt;0")</f>
        <v/>
      </c>
      <c r="H158" s="7">
        <f>SUMIFS(df_extratos!I:I,df_extratos!F:F,"&gt;="&amp;Conciliacao!BE158,df_extratos!F:F,"&lt;"&amp;Conciliacao!BE158+1,df_extratos!G:G,"CREDITO")
+SUMIFS(df_extratos!I:I,df_extratos!F:F,"&gt;="&amp;Conciliacao!A158, df_extratos!F:F,"&lt;"&amp;Conciliacao!A158+1, df_extratos!G:G,"CREDITO")
+SUMIFS(df_extratos!I:I,df_extratos!F:F,"&gt;="&amp;Conciliacao!BF158,df_extratos!F:F,"&lt;"&amp;Conciliacao!BF158+1,df_extratos!G:G,"CREDITO")
+SUMIFS(df_extratos!I:I,df_extratos!F:F,"&gt;="&amp;Conciliacao!BG158,df_extratos!F:F,"&lt;"&amp;Conciliacao!BG158+1,df_extratos!G:G,"CREDITO")
+SUMIFS(df_extratos!I:I,df_extratos!F:F,"&gt;="&amp;Conciliacao!BH158,df_extratos!F:F,"&lt;"&amp;Conciliacao!BH158+1,df_extratos!G:G,"CREDITO")</f>
        <v/>
      </c>
      <c r="I158" s="9">
        <f>H158-SUM(B158:G158)</f>
        <v/>
      </c>
      <c r="J158" s="4">
        <f>SUMIFS(df_blueme_sem_parcelamento!E:E,df_blueme_sem_parcelamento!H:H,Conciliacao!A158)*(-1)</f>
        <v/>
      </c>
      <c r="K158" s="4">
        <f>SUMIFS(df_blueme_com_parcelamento!J:J,df_blueme_com_parcelamento!M:M,Conciliacao!A158)*(-1)</f>
        <v/>
      </c>
      <c r="L158" s="4">
        <f>SUMIFS(df_mutuos!N:N,df_mutuos!B:B,Conciliacao!A158)*(-1)</f>
        <v/>
      </c>
      <c r="M158" s="8">
        <f>SUMIFS(df_bloqueios_judiciais!G:G,df_bloqueios_judiciais!D:D,Conciliacao!A158,df_bloqueios_judiciais!G:G,"&lt;0")</f>
        <v/>
      </c>
      <c r="N158" s="10">
        <f>SUMIFS(df_extratos!I:I,df_extratos!F:F,"&gt;="&amp;Conciliacao!BE158,df_extratos!F:F,"&lt;"&amp;Conciliacao!BE158+1,df_extratos!G:G,"DEBITO")
+SUMIFS(df_extratos!I:I,df_extratos!F:F,"&gt;="&amp;Conciliacao!A158, df_extratos!F:F,"&lt;"&amp;Conciliacao!A158+1, df_extratos!G:G,"DEBITO")
+SUMIFS(df_extratos!I:I,df_extratos!F:F,"&gt;="&amp;Conciliacao!BF158,df_extratos!F:F,"&lt;"&amp;Conciliacao!BF158+1,df_extratos!G:G,"DEBITO")
+SUMIFS(df_extratos!I:I,df_extratos!F:F,"&gt;="&amp;Conciliacao!BG158,df_extratos!F:F,"&lt;"&amp;Conciliacao!BG158+1,df_extratos!G:G,"DEBITO")
+SUMIFS(df_extratos!I:I,df_extratos!F:F,"&gt;="&amp;Conciliacao!BH158,df_extratos!F:F,"&lt;"&amp;Conciliacao!BH158+1,df_extratos!G:G,"DEBITO")</f>
        <v/>
      </c>
      <c r="O158" s="11">
        <f>N158-SUM(J158:M158)</f>
        <v/>
      </c>
      <c r="P158" s="25">
        <f>SUMIFS(df_ajustes_conciliaco!D:D,df_ajustes_conciliaco!C:C,Conciliacao!A158)</f>
        <v/>
      </c>
      <c r="Q158" s="22">
        <f>O158+I158-P158</f>
        <v/>
      </c>
      <c r="BE158" s="20" t="n">
        <v>45814.5</v>
      </c>
      <c r="BF158" s="20" t="n">
        <v>45814.125</v>
      </c>
      <c r="BG158" s="20" t="n">
        <v>45814.54166666666</v>
      </c>
      <c r="BH158" s="20" t="n">
        <v>45814.625</v>
      </c>
    </row>
    <row r="159">
      <c r="A159" s="5">
        <f>A158+1</f>
        <v/>
      </c>
      <c r="B159" s="3">
        <f>-SUMIFS(df_extrato_zig!G:G,df_extrato_zig!E:E,Conciliacao!A159,df_extrato_zig!D:D,"Saque")-SUMIFS(df_extrato_zig!G:G,df_extrato_zig!E:E,Conciliacao!A159,df_extrato_zig!D:D,"Antecipação")</f>
        <v/>
      </c>
      <c r="C159" s="3">
        <f>SUMIFS(df_extrato_zig!E:E,df_extrato_zig!L:L,Conciliacao!A159,df_extrato_zig!F:F,"DINHEIRO")</f>
        <v/>
      </c>
      <c r="D159" s="3">
        <f>SUMIFS(view_parc_agrup!H:H,view_parc_agrup!G:G,Conciliacao!A159)</f>
        <v/>
      </c>
      <c r="E159" s="3">
        <f>SUMIFS(df_eventos!F:F,df_eventos!H:H,Conciliacao!A159)</f>
        <v/>
      </c>
      <c r="F159" s="3">
        <f>SUMIFS(df_mutuos!M:M,df_mutuos!B:B,Conciliacao!A159)</f>
        <v/>
      </c>
      <c r="G159" s="6">
        <f>SUMIFS(df_bloqueios_judiciais!G:G,df_bloqueios_judiciais!D:D,Conciliacao!A159,df_bloqueios_judiciais!G:G,"&gt;0")</f>
        <v/>
      </c>
      <c r="H159" s="7">
        <f>SUMIFS(df_extratos!I:I,df_extratos!F:F,"&gt;="&amp;Conciliacao!BE159,df_extratos!F:F,"&lt;"&amp;Conciliacao!BE159+1,df_extratos!G:G,"CREDITO")
+SUMIFS(df_extratos!I:I,df_extratos!F:F,"&gt;="&amp;Conciliacao!A159, df_extratos!F:F,"&lt;"&amp;Conciliacao!A159+1, df_extratos!G:G,"CREDITO")
+SUMIFS(df_extratos!I:I,df_extratos!F:F,"&gt;="&amp;Conciliacao!BF159,df_extratos!F:F,"&lt;"&amp;Conciliacao!BF159+1,df_extratos!G:G,"CREDITO")
+SUMIFS(df_extratos!I:I,df_extratos!F:F,"&gt;="&amp;Conciliacao!BG159,df_extratos!F:F,"&lt;"&amp;Conciliacao!BG159+1,df_extratos!G:G,"CREDITO")
+SUMIFS(df_extratos!I:I,df_extratos!F:F,"&gt;="&amp;Conciliacao!BH159,df_extratos!F:F,"&lt;"&amp;Conciliacao!BH159+1,df_extratos!G:G,"CREDITO")</f>
        <v/>
      </c>
      <c r="I159" s="9">
        <f>H159-SUM(B159:G159)</f>
        <v/>
      </c>
      <c r="J159" s="4">
        <f>SUMIFS(df_blueme_sem_parcelamento!E:E,df_blueme_sem_parcelamento!H:H,Conciliacao!A159)*(-1)</f>
        <v/>
      </c>
      <c r="K159" s="4">
        <f>SUMIFS(df_blueme_com_parcelamento!J:J,df_blueme_com_parcelamento!M:M,Conciliacao!A159)*(-1)</f>
        <v/>
      </c>
      <c r="L159" s="4">
        <f>SUMIFS(df_mutuos!N:N,df_mutuos!B:B,Conciliacao!A159)*(-1)</f>
        <v/>
      </c>
      <c r="M159" s="8">
        <f>SUMIFS(df_bloqueios_judiciais!G:G,df_bloqueios_judiciais!D:D,Conciliacao!A159,df_bloqueios_judiciais!G:G,"&lt;0")</f>
        <v/>
      </c>
      <c r="N159" s="10">
        <f>SUMIFS(df_extratos!I:I,df_extratos!F:F,"&gt;="&amp;Conciliacao!BE159,df_extratos!F:F,"&lt;"&amp;Conciliacao!BE159+1,df_extratos!G:G,"DEBITO")
+SUMIFS(df_extratos!I:I,df_extratos!F:F,"&gt;="&amp;Conciliacao!A159, df_extratos!F:F,"&lt;"&amp;Conciliacao!A159+1, df_extratos!G:G,"DEBITO")
+SUMIFS(df_extratos!I:I,df_extratos!F:F,"&gt;="&amp;Conciliacao!BF159,df_extratos!F:F,"&lt;"&amp;Conciliacao!BF159+1,df_extratos!G:G,"DEBITO")
+SUMIFS(df_extratos!I:I,df_extratos!F:F,"&gt;="&amp;Conciliacao!BG159,df_extratos!F:F,"&lt;"&amp;Conciliacao!BG159+1,df_extratos!G:G,"DEBITO")
+SUMIFS(df_extratos!I:I,df_extratos!F:F,"&gt;="&amp;Conciliacao!BH159,df_extratos!F:F,"&lt;"&amp;Conciliacao!BH159+1,df_extratos!G:G,"DEBITO")</f>
        <v/>
      </c>
      <c r="O159" s="11">
        <f>N159-SUM(J159:M159)</f>
        <v/>
      </c>
      <c r="P159" s="25">
        <f>SUMIFS(df_ajustes_conciliaco!D:D,df_ajustes_conciliaco!C:C,Conciliacao!A159)</f>
        <v/>
      </c>
      <c r="Q159" s="22">
        <f>O159+I159-P159</f>
        <v/>
      </c>
      <c r="BE159" s="20" t="n">
        <v>45815.5</v>
      </c>
      <c r="BF159" s="20" t="n">
        <v>45815.125</v>
      </c>
      <c r="BG159" s="20" t="n">
        <v>45815.54166666666</v>
      </c>
      <c r="BH159" s="20" t="n">
        <v>45815.625</v>
      </c>
    </row>
    <row r="160">
      <c r="A160" s="5">
        <f>A159+1</f>
        <v/>
      </c>
      <c r="B160" s="3">
        <f>-SUMIFS(df_extrato_zig!G:G,df_extrato_zig!E:E,Conciliacao!A160,df_extrato_zig!D:D,"Saque")-SUMIFS(df_extrato_zig!G:G,df_extrato_zig!E:E,Conciliacao!A160,df_extrato_zig!D:D,"Antecipação")</f>
        <v/>
      </c>
      <c r="C160" s="3">
        <f>SUMIFS(df_extrato_zig!E:E,df_extrato_zig!L:L,Conciliacao!A160,df_extrato_zig!F:F,"DINHEIRO")</f>
        <v/>
      </c>
      <c r="D160" s="3">
        <f>SUMIFS(view_parc_agrup!H:H,view_parc_agrup!G:G,Conciliacao!A160)</f>
        <v/>
      </c>
      <c r="E160" s="3">
        <f>SUMIFS(df_eventos!F:F,df_eventos!H:H,Conciliacao!A160)</f>
        <v/>
      </c>
      <c r="F160" s="3">
        <f>SUMIFS(df_mutuos!M:M,df_mutuos!B:B,Conciliacao!A160)</f>
        <v/>
      </c>
      <c r="G160" s="6">
        <f>SUMIFS(df_bloqueios_judiciais!G:G,df_bloqueios_judiciais!D:D,Conciliacao!A160,df_bloqueios_judiciais!G:G,"&gt;0")</f>
        <v/>
      </c>
      <c r="H160" s="7">
        <f>SUMIFS(df_extratos!I:I,df_extratos!F:F,"&gt;="&amp;Conciliacao!BE160,df_extratos!F:F,"&lt;"&amp;Conciliacao!BE160+1,df_extratos!G:G,"CREDITO")
+SUMIFS(df_extratos!I:I,df_extratos!F:F,"&gt;="&amp;Conciliacao!A160, df_extratos!F:F,"&lt;"&amp;Conciliacao!A160+1, df_extratos!G:G,"CREDITO")
+SUMIFS(df_extratos!I:I,df_extratos!F:F,"&gt;="&amp;Conciliacao!BF160,df_extratos!F:F,"&lt;"&amp;Conciliacao!BF160+1,df_extratos!G:G,"CREDITO")
+SUMIFS(df_extratos!I:I,df_extratos!F:F,"&gt;="&amp;Conciliacao!BG160,df_extratos!F:F,"&lt;"&amp;Conciliacao!BG160+1,df_extratos!G:G,"CREDITO")
+SUMIFS(df_extratos!I:I,df_extratos!F:F,"&gt;="&amp;Conciliacao!BH160,df_extratos!F:F,"&lt;"&amp;Conciliacao!BH160+1,df_extratos!G:G,"CREDITO")</f>
        <v/>
      </c>
      <c r="I160" s="9">
        <f>H160-SUM(B160:G160)</f>
        <v/>
      </c>
      <c r="J160" s="4">
        <f>SUMIFS(df_blueme_sem_parcelamento!E:E,df_blueme_sem_parcelamento!H:H,Conciliacao!A160)*(-1)</f>
        <v/>
      </c>
      <c r="K160" s="4">
        <f>SUMIFS(df_blueme_com_parcelamento!J:J,df_blueme_com_parcelamento!M:M,Conciliacao!A160)*(-1)</f>
        <v/>
      </c>
      <c r="L160" s="4">
        <f>SUMIFS(df_mutuos!N:N,df_mutuos!B:B,Conciliacao!A160)*(-1)</f>
        <v/>
      </c>
      <c r="M160" s="8">
        <f>SUMIFS(df_bloqueios_judiciais!G:G,df_bloqueios_judiciais!D:D,Conciliacao!A160,df_bloqueios_judiciais!G:G,"&lt;0")</f>
        <v/>
      </c>
      <c r="N160" s="10">
        <f>SUMIFS(df_extratos!I:I,df_extratos!F:F,"&gt;="&amp;Conciliacao!BE160,df_extratos!F:F,"&lt;"&amp;Conciliacao!BE160+1,df_extratos!G:G,"DEBITO")
+SUMIFS(df_extratos!I:I,df_extratos!F:F,"&gt;="&amp;Conciliacao!A160, df_extratos!F:F,"&lt;"&amp;Conciliacao!A160+1, df_extratos!G:G,"DEBITO")
+SUMIFS(df_extratos!I:I,df_extratos!F:F,"&gt;="&amp;Conciliacao!BF160,df_extratos!F:F,"&lt;"&amp;Conciliacao!BF160+1,df_extratos!G:G,"DEBITO")
+SUMIFS(df_extratos!I:I,df_extratos!F:F,"&gt;="&amp;Conciliacao!BG160,df_extratos!F:F,"&lt;"&amp;Conciliacao!BG160+1,df_extratos!G:G,"DEBITO")
+SUMIFS(df_extratos!I:I,df_extratos!F:F,"&gt;="&amp;Conciliacao!BH160,df_extratos!F:F,"&lt;"&amp;Conciliacao!BH160+1,df_extratos!G:G,"DEBITO")</f>
        <v/>
      </c>
      <c r="O160" s="11">
        <f>N160-SUM(J160:M160)</f>
        <v/>
      </c>
      <c r="P160" s="25">
        <f>SUMIFS(df_ajustes_conciliaco!D:D,df_ajustes_conciliaco!C:C,Conciliacao!A160)</f>
        <v/>
      </c>
      <c r="Q160" s="22">
        <f>O160+I160-P160</f>
        <v/>
      </c>
      <c r="BE160" s="20" t="n">
        <v>45816.5</v>
      </c>
      <c r="BF160" s="20" t="n">
        <v>45816.125</v>
      </c>
      <c r="BG160" s="20" t="n">
        <v>45816.54166666666</v>
      </c>
      <c r="BH160" s="20" t="n">
        <v>45816.625</v>
      </c>
    </row>
    <row r="161">
      <c r="A161" s="5">
        <f>A160+1</f>
        <v/>
      </c>
      <c r="B161" s="3">
        <f>-SUMIFS(df_extrato_zig!G:G,df_extrato_zig!E:E,Conciliacao!A161,df_extrato_zig!D:D,"Saque")-SUMIFS(df_extrato_zig!G:G,df_extrato_zig!E:E,Conciliacao!A161,df_extrato_zig!D:D,"Antecipação")</f>
        <v/>
      </c>
      <c r="C161" s="3">
        <f>SUMIFS(df_extrato_zig!E:E,df_extrato_zig!L:L,Conciliacao!A161,df_extrato_zig!F:F,"DINHEIRO")</f>
        <v/>
      </c>
      <c r="D161" s="3">
        <f>SUMIFS(view_parc_agrup!H:H,view_parc_agrup!G:G,Conciliacao!A161)</f>
        <v/>
      </c>
      <c r="E161" s="3">
        <f>SUMIFS(df_eventos!F:F,df_eventos!H:H,Conciliacao!A161)</f>
        <v/>
      </c>
      <c r="F161" s="3">
        <f>SUMIFS(df_mutuos!M:M,df_mutuos!B:B,Conciliacao!A161)</f>
        <v/>
      </c>
      <c r="G161" s="6">
        <f>SUMIFS(df_bloqueios_judiciais!G:G,df_bloqueios_judiciais!D:D,Conciliacao!A161,df_bloqueios_judiciais!G:G,"&gt;0")</f>
        <v/>
      </c>
      <c r="H161" s="7">
        <f>SUMIFS(df_extratos!I:I,df_extratos!F:F,"&gt;="&amp;Conciliacao!BE161,df_extratos!F:F,"&lt;"&amp;Conciliacao!BE161+1,df_extratos!G:G,"CREDITO")
+SUMIFS(df_extratos!I:I,df_extratos!F:F,"&gt;="&amp;Conciliacao!A161, df_extratos!F:F,"&lt;"&amp;Conciliacao!A161+1, df_extratos!G:G,"CREDITO")
+SUMIFS(df_extratos!I:I,df_extratos!F:F,"&gt;="&amp;Conciliacao!BF161,df_extratos!F:F,"&lt;"&amp;Conciliacao!BF161+1,df_extratos!G:G,"CREDITO")
+SUMIFS(df_extratos!I:I,df_extratos!F:F,"&gt;="&amp;Conciliacao!BG161,df_extratos!F:F,"&lt;"&amp;Conciliacao!BG161+1,df_extratos!G:G,"CREDITO")
+SUMIFS(df_extratos!I:I,df_extratos!F:F,"&gt;="&amp;Conciliacao!BH161,df_extratos!F:F,"&lt;"&amp;Conciliacao!BH161+1,df_extratos!G:G,"CREDITO")</f>
        <v/>
      </c>
      <c r="I161" s="9">
        <f>H161-SUM(B161:G161)</f>
        <v/>
      </c>
      <c r="J161" s="4">
        <f>SUMIFS(df_blueme_sem_parcelamento!E:E,df_blueme_sem_parcelamento!H:H,Conciliacao!A161)*(-1)</f>
        <v/>
      </c>
      <c r="K161" s="4">
        <f>SUMIFS(df_blueme_com_parcelamento!J:J,df_blueme_com_parcelamento!M:M,Conciliacao!A161)*(-1)</f>
        <v/>
      </c>
      <c r="L161" s="4">
        <f>SUMIFS(df_mutuos!N:N,df_mutuos!B:B,Conciliacao!A161)*(-1)</f>
        <v/>
      </c>
      <c r="M161" s="8">
        <f>SUMIFS(df_bloqueios_judiciais!G:G,df_bloqueios_judiciais!D:D,Conciliacao!A161,df_bloqueios_judiciais!G:G,"&lt;0")</f>
        <v/>
      </c>
      <c r="N161" s="10">
        <f>SUMIFS(df_extratos!I:I,df_extratos!F:F,"&gt;="&amp;Conciliacao!BE161,df_extratos!F:F,"&lt;"&amp;Conciliacao!BE161+1,df_extratos!G:G,"DEBITO")
+SUMIFS(df_extratos!I:I,df_extratos!F:F,"&gt;="&amp;Conciliacao!A161, df_extratos!F:F,"&lt;"&amp;Conciliacao!A161+1, df_extratos!G:G,"DEBITO")
+SUMIFS(df_extratos!I:I,df_extratos!F:F,"&gt;="&amp;Conciliacao!BF161,df_extratos!F:F,"&lt;"&amp;Conciliacao!BF161+1,df_extratos!G:G,"DEBITO")
+SUMIFS(df_extratos!I:I,df_extratos!F:F,"&gt;="&amp;Conciliacao!BG161,df_extratos!F:F,"&lt;"&amp;Conciliacao!BG161+1,df_extratos!G:G,"DEBITO")
+SUMIFS(df_extratos!I:I,df_extratos!F:F,"&gt;="&amp;Conciliacao!BH161,df_extratos!F:F,"&lt;"&amp;Conciliacao!BH161+1,df_extratos!G:G,"DEBITO")</f>
        <v/>
      </c>
      <c r="O161" s="11">
        <f>N161-SUM(J161:M161)</f>
        <v/>
      </c>
      <c r="P161" s="25">
        <f>SUMIFS(df_ajustes_conciliaco!D:D,df_ajustes_conciliaco!C:C,Conciliacao!A161)</f>
        <v/>
      </c>
      <c r="Q161" s="22">
        <f>O161+I161-P161</f>
        <v/>
      </c>
      <c r="BE161" s="20" t="n">
        <v>45817.5</v>
      </c>
      <c r="BF161" s="20" t="n">
        <v>45817.125</v>
      </c>
      <c r="BG161" s="20" t="n">
        <v>45817.54166666666</v>
      </c>
      <c r="BH161" s="20" t="n">
        <v>45817.625</v>
      </c>
    </row>
    <row r="162">
      <c r="A162" s="5">
        <f>A161+1</f>
        <v/>
      </c>
      <c r="B162" s="3">
        <f>-SUMIFS(df_extrato_zig!G:G,df_extrato_zig!E:E,Conciliacao!A162,df_extrato_zig!D:D,"Saque")-SUMIFS(df_extrato_zig!G:G,df_extrato_zig!E:E,Conciliacao!A162,df_extrato_zig!D:D,"Antecipação")</f>
        <v/>
      </c>
      <c r="C162" s="3">
        <f>SUMIFS(df_extrato_zig!E:E,df_extrato_zig!L:L,Conciliacao!A162,df_extrato_zig!F:F,"DINHEIRO")</f>
        <v/>
      </c>
      <c r="D162" s="3">
        <f>SUMIFS(view_parc_agrup!H:H,view_parc_agrup!G:G,Conciliacao!A162)</f>
        <v/>
      </c>
      <c r="E162" s="3">
        <f>SUMIFS(df_eventos!F:F,df_eventos!H:H,Conciliacao!A162)</f>
        <v/>
      </c>
      <c r="F162" s="3">
        <f>SUMIFS(df_mutuos!M:M,df_mutuos!B:B,Conciliacao!A162)</f>
        <v/>
      </c>
      <c r="G162" s="6">
        <f>SUMIFS(df_bloqueios_judiciais!G:G,df_bloqueios_judiciais!D:D,Conciliacao!A162,df_bloqueios_judiciais!G:G,"&gt;0")</f>
        <v/>
      </c>
      <c r="H162" s="7">
        <f>SUMIFS(df_extratos!I:I,df_extratos!F:F,"&gt;="&amp;Conciliacao!BE162,df_extratos!F:F,"&lt;"&amp;Conciliacao!BE162+1,df_extratos!G:G,"CREDITO")
+SUMIFS(df_extratos!I:I,df_extratos!F:F,"&gt;="&amp;Conciliacao!A162, df_extratos!F:F,"&lt;"&amp;Conciliacao!A162+1, df_extratos!G:G,"CREDITO")
+SUMIFS(df_extratos!I:I,df_extratos!F:F,"&gt;="&amp;Conciliacao!BF162,df_extratos!F:F,"&lt;"&amp;Conciliacao!BF162+1,df_extratos!G:G,"CREDITO")
+SUMIFS(df_extratos!I:I,df_extratos!F:F,"&gt;="&amp;Conciliacao!BG162,df_extratos!F:F,"&lt;"&amp;Conciliacao!BG162+1,df_extratos!G:G,"CREDITO")
+SUMIFS(df_extratos!I:I,df_extratos!F:F,"&gt;="&amp;Conciliacao!BH162,df_extratos!F:F,"&lt;"&amp;Conciliacao!BH162+1,df_extratos!G:G,"CREDITO")</f>
        <v/>
      </c>
      <c r="I162" s="9">
        <f>H162-SUM(B162:G162)</f>
        <v/>
      </c>
      <c r="J162" s="4">
        <f>SUMIFS(df_blueme_sem_parcelamento!E:E,df_blueme_sem_parcelamento!H:H,Conciliacao!A162)*(-1)</f>
        <v/>
      </c>
      <c r="K162" s="4">
        <f>SUMIFS(df_blueme_com_parcelamento!J:J,df_blueme_com_parcelamento!M:M,Conciliacao!A162)*(-1)</f>
        <v/>
      </c>
      <c r="L162" s="4">
        <f>SUMIFS(df_mutuos!N:N,df_mutuos!B:B,Conciliacao!A162)*(-1)</f>
        <v/>
      </c>
      <c r="M162" s="8">
        <f>SUMIFS(df_bloqueios_judiciais!G:G,df_bloqueios_judiciais!D:D,Conciliacao!A162,df_bloqueios_judiciais!G:G,"&lt;0")</f>
        <v/>
      </c>
      <c r="N162" s="10">
        <f>SUMIFS(df_extratos!I:I,df_extratos!F:F,"&gt;="&amp;Conciliacao!BE162,df_extratos!F:F,"&lt;"&amp;Conciliacao!BE162+1,df_extratos!G:G,"DEBITO")
+SUMIFS(df_extratos!I:I,df_extratos!F:F,"&gt;="&amp;Conciliacao!A162, df_extratos!F:F,"&lt;"&amp;Conciliacao!A162+1, df_extratos!G:G,"DEBITO")
+SUMIFS(df_extratos!I:I,df_extratos!F:F,"&gt;="&amp;Conciliacao!BF162,df_extratos!F:F,"&lt;"&amp;Conciliacao!BF162+1,df_extratos!G:G,"DEBITO")
+SUMIFS(df_extratos!I:I,df_extratos!F:F,"&gt;="&amp;Conciliacao!BG162,df_extratos!F:F,"&lt;"&amp;Conciliacao!BG162+1,df_extratos!G:G,"DEBITO")
+SUMIFS(df_extratos!I:I,df_extratos!F:F,"&gt;="&amp;Conciliacao!BH162,df_extratos!F:F,"&lt;"&amp;Conciliacao!BH162+1,df_extratos!G:G,"DEBITO")</f>
        <v/>
      </c>
      <c r="O162" s="11">
        <f>N162-SUM(J162:M162)</f>
        <v/>
      </c>
      <c r="P162" s="25">
        <f>SUMIFS(df_ajustes_conciliaco!D:D,df_ajustes_conciliaco!C:C,Conciliacao!A162)</f>
        <v/>
      </c>
      <c r="Q162" s="22">
        <f>O162+I162-P162</f>
        <v/>
      </c>
      <c r="BE162" s="20" t="n">
        <v>45818.5</v>
      </c>
      <c r="BF162" s="20" t="n">
        <v>45818.125</v>
      </c>
      <c r="BG162" s="20" t="n">
        <v>45818.54166666666</v>
      </c>
      <c r="BH162" s="20" t="n">
        <v>45818.625</v>
      </c>
    </row>
    <row r="163">
      <c r="A163" s="5">
        <f>A162+1</f>
        <v/>
      </c>
      <c r="B163" s="3">
        <f>-SUMIFS(df_extrato_zig!G:G,df_extrato_zig!E:E,Conciliacao!A163,df_extrato_zig!D:D,"Saque")-SUMIFS(df_extrato_zig!G:G,df_extrato_zig!E:E,Conciliacao!A163,df_extrato_zig!D:D,"Antecipação")</f>
        <v/>
      </c>
      <c r="C163" s="3">
        <f>SUMIFS(df_extrato_zig!E:E,df_extrato_zig!L:L,Conciliacao!A163,df_extrato_zig!F:F,"DINHEIRO")</f>
        <v/>
      </c>
      <c r="D163" s="3">
        <f>SUMIFS(view_parc_agrup!H:H,view_parc_agrup!G:G,Conciliacao!A163)</f>
        <v/>
      </c>
      <c r="E163" s="3">
        <f>SUMIFS(df_eventos!F:F,df_eventos!H:H,Conciliacao!A163)</f>
        <v/>
      </c>
      <c r="F163" s="3">
        <f>SUMIFS(df_mutuos!M:M,df_mutuos!B:B,Conciliacao!A163)</f>
        <v/>
      </c>
      <c r="G163" s="6">
        <f>SUMIFS(df_bloqueios_judiciais!G:G,df_bloqueios_judiciais!D:D,Conciliacao!A163,df_bloqueios_judiciais!G:G,"&gt;0")</f>
        <v/>
      </c>
      <c r="H163" s="7">
        <f>SUMIFS(df_extratos!I:I,df_extratos!F:F,"&gt;="&amp;Conciliacao!BE163,df_extratos!F:F,"&lt;"&amp;Conciliacao!BE163+1,df_extratos!G:G,"CREDITO")
+SUMIFS(df_extratos!I:I,df_extratos!F:F,"&gt;="&amp;Conciliacao!A163, df_extratos!F:F,"&lt;"&amp;Conciliacao!A163+1, df_extratos!G:G,"CREDITO")
+SUMIFS(df_extratos!I:I,df_extratos!F:F,"&gt;="&amp;Conciliacao!BF163,df_extratos!F:F,"&lt;"&amp;Conciliacao!BF163+1,df_extratos!G:G,"CREDITO")
+SUMIFS(df_extratos!I:I,df_extratos!F:F,"&gt;="&amp;Conciliacao!BG163,df_extratos!F:F,"&lt;"&amp;Conciliacao!BG163+1,df_extratos!G:G,"CREDITO")
+SUMIFS(df_extratos!I:I,df_extratos!F:F,"&gt;="&amp;Conciliacao!BH163,df_extratos!F:F,"&lt;"&amp;Conciliacao!BH163+1,df_extratos!G:G,"CREDITO")</f>
        <v/>
      </c>
      <c r="I163" s="9">
        <f>H163-SUM(B163:G163)</f>
        <v/>
      </c>
      <c r="J163" s="4">
        <f>SUMIFS(df_blueme_sem_parcelamento!E:E,df_blueme_sem_parcelamento!H:H,Conciliacao!A163)*(-1)</f>
        <v/>
      </c>
      <c r="K163" s="4">
        <f>SUMIFS(df_blueme_com_parcelamento!J:J,df_blueme_com_parcelamento!M:M,Conciliacao!A163)*(-1)</f>
        <v/>
      </c>
      <c r="L163" s="4">
        <f>SUMIFS(df_mutuos!N:N,df_mutuos!B:B,Conciliacao!A163)*(-1)</f>
        <v/>
      </c>
      <c r="M163" s="8">
        <f>SUMIFS(df_bloqueios_judiciais!G:G,df_bloqueios_judiciais!D:D,Conciliacao!A163,df_bloqueios_judiciais!G:G,"&lt;0")</f>
        <v/>
      </c>
      <c r="N163" s="10">
        <f>SUMIFS(df_extratos!I:I,df_extratos!F:F,"&gt;="&amp;Conciliacao!BE163,df_extratos!F:F,"&lt;"&amp;Conciliacao!BE163+1,df_extratos!G:G,"DEBITO")
+SUMIFS(df_extratos!I:I,df_extratos!F:F,"&gt;="&amp;Conciliacao!A163, df_extratos!F:F,"&lt;"&amp;Conciliacao!A163+1, df_extratos!G:G,"DEBITO")
+SUMIFS(df_extratos!I:I,df_extratos!F:F,"&gt;="&amp;Conciliacao!BF163,df_extratos!F:F,"&lt;"&amp;Conciliacao!BF163+1,df_extratos!G:G,"DEBITO")
+SUMIFS(df_extratos!I:I,df_extratos!F:F,"&gt;="&amp;Conciliacao!BG163,df_extratos!F:F,"&lt;"&amp;Conciliacao!BG163+1,df_extratos!G:G,"DEBITO")
+SUMIFS(df_extratos!I:I,df_extratos!F:F,"&gt;="&amp;Conciliacao!BH163,df_extratos!F:F,"&lt;"&amp;Conciliacao!BH163+1,df_extratos!G:G,"DEBITO")</f>
        <v/>
      </c>
      <c r="O163" s="11">
        <f>N163-SUM(J163:M163)</f>
        <v/>
      </c>
      <c r="P163" s="25">
        <f>SUMIFS(df_ajustes_conciliaco!D:D,df_ajustes_conciliaco!C:C,Conciliacao!A163)</f>
        <v/>
      </c>
      <c r="Q163" s="22">
        <f>O163+I163-P163</f>
        <v/>
      </c>
      <c r="BE163" s="20" t="n">
        <v>45819.5</v>
      </c>
      <c r="BF163" s="20" t="n">
        <v>45819.125</v>
      </c>
      <c r="BG163" s="20" t="n">
        <v>45819.54166666666</v>
      </c>
      <c r="BH163" s="20" t="n">
        <v>45819.625</v>
      </c>
    </row>
    <row r="164">
      <c r="A164" s="5">
        <f>A163+1</f>
        <v/>
      </c>
      <c r="B164" s="3">
        <f>-SUMIFS(df_extrato_zig!G:G,df_extrato_zig!E:E,Conciliacao!A164,df_extrato_zig!D:D,"Saque")-SUMIFS(df_extrato_zig!G:G,df_extrato_zig!E:E,Conciliacao!A164,df_extrato_zig!D:D,"Antecipação")</f>
        <v/>
      </c>
      <c r="C164" s="3">
        <f>SUMIFS(df_extrato_zig!E:E,df_extrato_zig!L:L,Conciliacao!A164,df_extrato_zig!F:F,"DINHEIRO")</f>
        <v/>
      </c>
      <c r="D164" s="3">
        <f>SUMIFS(view_parc_agrup!H:H,view_parc_agrup!G:G,Conciliacao!A164)</f>
        <v/>
      </c>
      <c r="E164" s="3">
        <f>SUMIFS(df_eventos!F:F,df_eventos!H:H,Conciliacao!A164)</f>
        <v/>
      </c>
      <c r="F164" s="3">
        <f>SUMIFS(df_mutuos!M:M,df_mutuos!B:B,Conciliacao!A164)</f>
        <v/>
      </c>
      <c r="G164" s="6">
        <f>SUMIFS(df_bloqueios_judiciais!G:G,df_bloqueios_judiciais!D:D,Conciliacao!A164,df_bloqueios_judiciais!G:G,"&gt;0")</f>
        <v/>
      </c>
      <c r="H164" s="7">
        <f>SUMIFS(df_extratos!I:I,df_extratos!F:F,"&gt;="&amp;Conciliacao!BE164,df_extratos!F:F,"&lt;"&amp;Conciliacao!BE164+1,df_extratos!G:G,"CREDITO")
+SUMIFS(df_extratos!I:I,df_extratos!F:F,"&gt;="&amp;Conciliacao!A164, df_extratos!F:F,"&lt;"&amp;Conciliacao!A164+1, df_extratos!G:G,"CREDITO")
+SUMIFS(df_extratos!I:I,df_extratos!F:F,"&gt;="&amp;Conciliacao!BF164,df_extratos!F:F,"&lt;"&amp;Conciliacao!BF164+1,df_extratos!G:G,"CREDITO")
+SUMIFS(df_extratos!I:I,df_extratos!F:F,"&gt;="&amp;Conciliacao!BG164,df_extratos!F:F,"&lt;"&amp;Conciliacao!BG164+1,df_extratos!G:G,"CREDITO")
+SUMIFS(df_extratos!I:I,df_extratos!F:F,"&gt;="&amp;Conciliacao!BH164,df_extratos!F:F,"&lt;"&amp;Conciliacao!BH164+1,df_extratos!G:G,"CREDITO")</f>
        <v/>
      </c>
      <c r="I164" s="9">
        <f>H164-SUM(B164:G164)</f>
        <v/>
      </c>
      <c r="J164" s="4">
        <f>SUMIFS(df_blueme_sem_parcelamento!E:E,df_blueme_sem_parcelamento!H:H,Conciliacao!A164)*(-1)</f>
        <v/>
      </c>
      <c r="K164" s="4">
        <f>SUMIFS(df_blueme_com_parcelamento!J:J,df_blueme_com_parcelamento!M:M,Conciliacao!A164)*(-1)</f>
        <v/>
      </c>
      <c r="L164" s="4">
        <f>SUMIFS(df_mutuos!N:N,df_mutuos!B:B,Conciliacao!A164)*(-1)</f>
        <v/>
      </c>
      <c r="M164" s="8">
        <f>SUMIFS(df_bloqueios_judiciais!G:G,df_bloqueios_judiciais!D:D,Conciliacao!A164,df_bloqueios_judiciais!G:G,"&lt;0")</f>
        <v/>
      </c>
      <c r="N164" s="10">
        <f>SUMIFS(df_extratos!I:I,df_extratos!F:F,"&gt;="&amp;Conciliacao!BE164,df_extratos!F:F,"&lt;"&amp;Conciliacao!BE164+1,df_extratos!G:G,"DEBITO")
+SUMIFS(df_extratos!I:I,df_extratos!F:F,"&gt;="&amp;Conciliacao!A164, df_extratos!F:F,"&lt;"&amp;Conciliacao!A164+1, df_extratos!G:G,"DEBITO")
+SUMIFS(df_extratos!I:I,df_extratos!F:F,"&gt;="&amp;Conciliacao!BF164,df_extratos!F:F,"&lt;"&amp;Conciliacao!BF164+1,df_extratos!G:G,"DEBITO")
+SUMIFS(df_extratos!I:I,df_extratos!F:F,"&gt;="&amp;Conciliacao!BG164,df_extratos!F:F,"&lt;"&amp;Conciliacao!BG164+1,df_extratos!G:G,"DEBITO")
+SUMIFS(df_extratos!I:I,df_extratos!F:F,"&gt;="&amp;Conciliacao!BH164,df_extratos!F:F,"&lt;"&amp;Conciliacao!BH164+1,df_extratos!G:G,"DEBITO")</f>
        <v/>
      </c>
      <c r="O164" s="11">
        <f>N164-SUM(J164:M164)</f>
        <v/>
      </c>
      <c r="P164" s="25">
        <f>SUMIFS(df_ajustes_conciliaco!D:D,df_ajustes_conciliaco!C:C,Conciliacao!A164)</f>
        <v/>
      </c>
      <c r="Q164" s="22">
        <f>O164+I164-P164</f>
        <v/>
      </c>
      <c r="BE164" s="20" t="n">
        <v>45820.5</v>
      </c>
      <c r="BF164" s="20" t="n">
        <v>45820.125</v>
      </c>
      <c r="BG164" s="20" t="n">
        <v>45820.54166666666</v>
      </c>
      <c r="BH164" s="20" t="n">
        <v>45820.625</v>
      </c>
    </row>
    <row r="165">
      <c r="A165" s="5">
        <f>A164+1</f>
        <v/>
      </c>
      <c r="B165" s="3">
        <f>-SUMIFS(df_extrato_zig!G:G,df_extrato_zig!E:E,Conciliacao!A165,df_extrato_zig!D:D,"Saque")-SUMIFS(df_extrato_zig!G:G,df_extrato_zig!E:E,Conciliacao!A165,df_extrato_zig!D:D,"Antecipação")</f>
        <v/>
      </c>
      <c r="C165" s="3">
        <f>SUMIFS(df_extrato_zig!E:E,df_extrato_zig!L:L,Conciliacao!A165,df_extrato_zig!F:F,"DINHEIRO")</f>
        <v/>
      </c>
      <c r="D165" s="3">
        <f>SUMIFS(view_parc_agrup!H:H,view_parc_agrup!G:G,Conciliacao!A165)</f>
        <v/>
      </c>
      <c r="E165" s="3">
        <f>SUMIFS(df_eventos!F:F,df_eventos!H:H,Conciliacao!A165)</f>
        <v/>
      </c>
      <c r="F165" s="3">
        <f>SUMIFS(df_mutuos!M:M,df_mutuos!B:B,Conciliacao!A165)</f>
        <v/>
      </c>
      <c r="G165" s="6">
        <f>SUMIFS(df_bloqueios_judiciais!G:G,df_bloqueios_judiciais!D:D,Conciliacao!A165,df_bloqueios_judiciais!G:G,"&gt;0")</f>
        <v/>
      </c>
      <c r="H165" s="7">
        <f>SUMIFS(df_extratos!I:I,df_extratos!F:F,"&gt;="&amp;Conciliacao!BE165,df_extratos!F:F,"&lt;"&amp;Conciliacao!BE165+1,df_extratos!G:G,"CREDITO")
+SUMIFS(df_extratos!I:I,df_extratos!F:F,"&gt;="&amp;Conciliacao!A165, df_extratos!F:F,"&lt;"&amp;Conciliacao!A165+1, df_extratos!G:G,"CREDITO")
+SUMIFS(df_extratos!I:I,df_extratos!F:F,"&gt;="&amp;Conciliacao!BF165,df_extratos!F:F,"&lt;"&amp;Conciliacao!BF165+1,df_extratos!G:G,"CREDITO")
+SUMIFS(df_extratos!I:I,df_extratos!F:F,"&gt;="&amp;Conciliacao!BG165,df_extratos!F:F,"&lt;"&amp;Conciliacao!BG165+1,df_extratos!G:G,"CREDITO")
+SUMIFS(df_extratos!I:I,df_extratos!F:F,"&gt;="&amp;Conciliacao!BH165,df_extratos!F:F,"&lt;"&amp;Conciliacao!BH165+1,df_extratos!G:G,"CREDITO")</f>
        <v/>
      </c>
      <c r="I165" s="9">
        <f>H165-SUM(B165:G165)</f>
        <v/>
      </c>
      <c r="J165" s="4">
        <f>SUMIFS(df_blueme_sem_parcelamento!E:E,df_blueme_sem_parcelamento!H:H,Conciliacao!A165)*(-1)</f>
        <v/>
      </c>
      <c r="K165" s="4">
        <f>SUMIFS(df_blueme_com_parcelamento!J:J,df_blueme_com_parcelamento!M:M,Conciliacao!A165)*(-1)</f>
        <v/>
      </c>
      <c r="L165" s="4">
        <f>SUMIFS(df_mutuos!N:N,df_mutuos!B:B,Conciliacao!A165)*(-1)</f>
        <v/>
      </c>
      <c r="M165" s="8">
        <f>SUMIFS(df_bloqueios_judiciais!G:G,df_bloqueios_judiciais!D:D,Conciliacao!A165,df_bloqueios_judiciais!G:G,"&lt;0")</f>
        <v/>
      </c>
      <c r="N165" s="10">
        <f>SUMIFS(df_extratos!I:I,df_extratos!F:F,"&gt;="&amp;Conciliacao!BE165,df_extratos!F:F,"&lt;"&amp;Conciliacao!BE165+1,df_extratos!G:G,"DEBITO")
+SUMIFS(df_extratos!I:I,df_extratos!F:F,"&gt;="&amp;Conciliacao!A165, df_extratos!F:F,"&lt;"&amp;Conciliacao!A165+1, df_extratos!G:G,"DEBITO")
+SUMIFS(df_extratos!I:I,df_extratos!F:F,"&gt;="&amp;Conciliacao!BF165,df_extratos!F:F,"&lt;"&amp;Conciliacao!BF165+1,df_extratos!G:G,"DEBITO")
+SUMIFS(df_extratos!I:I,df_extratos!F:F,"&gt;="&amp;Conciliacao!BG165,df_extratos!F:F,"&lt;"&amp;Conciliacao!BG165+1,df_extratos!G:G,"DEBITO")
+SUMIFS(df_extratos!I:I,df_extratos!F:F,"&gt;="&amp;Conciliacao!BH165,df_extratos!F:F,"&lt;"&amp;Conciliacao!BH165+1,df_extratos!G:G,"DEBITO")</f>
        <v/>
      </c>
      <c r="O165" s="11">
        <f>N165-SUM(J165:M165)</f>
        <v/>
      </c>
      <c r="P165" s="25">
        <f>SUMIFS(df_ajustes_conciliaco!D:D,df_ajustes_conciliaco!C:C,Conciliacao!A165)</f>
        <v/>
      </c>
      <c r="Q165" s="22">
        <f>O165+I165-P165</f>
        <v/>
      </c>
      <c r="BE165" s="20" t="n">
        <v>45821.5</v>
      </c>
      <c r="BF165" s="20" t="n">
        <v>45821.125</v>
      </c>
      <c r="BG165" s="20" t="n">
        <v>45821.54166666666</v>
      </c>
      <c r="BH165" s="20" t="n">
        <v>45821.625</v>
      </c>
    </row>
    <row r="166">
      <c r="A166" s="5">
        <f>A165+1</f>
        <v/>
      </c>
      <c r="B166" s="3">
        <f>-SUMIFS(df_extrato_zig!G:G,df_extrato_zig!E:E,Conciliacao!A166,df_extrato_zig!D:D,"Saque")-SUMIFS(df_extrato_zig!G:G,df_extrato_zig!E:E,Conciliacao!A166,df_extrato_zig!D:D,"Antecipação")</f>
        <v/>
      </c>
      <c r="C166" s="3">
        <f>SUMIFS(df_extrato_zig!E:E,df_extrato_zig!L:L,Conciliacao!A166,df_extrato_zig!F:F,"DINHEIRO")</f>
        <v/>
      </c>
      <c r="D166" s="3">
        <f>SUMIFS(view_parc_agrup!H:H,view_parc_agrup!G:G,Conciliacao!A166)</f>
        <v/>
      </c>
      <c r="E166" s="3">
        <f>SUMIFS(df_eventos!F:F,df_eventos!H:H,Conciliacao!A166)</f>
        <v/>
      </c>
      <c r="F166" s="3">
        <f>SUMIFS(df_mutuos!M:M,df_mutuos!B:B,Conciliacao!A166)</f>
        <v/>
      </c>
      <c r="G166" s="6">
        <f>SUMIFS(df_bloqueios_judiciais!G:G,df_bloqueios_judiciais!D:D,Conciliacao!A166,df_bloqueios_judiciais!G:G,"&gt;0")</f>
        <v/>
      </c>
      <c r="H166" s="7">
        <f>SUMIFS(df_extratos!I:I,df_extratos!F:F,"&gt;="&amp;Conciliacao!BE166,df_extratos!F:F,"&lt;"&amp;Conciliacao!BE166+1,df_extratos!G:G,"CREDITO")
+SUMIFS(df_extratos!I:I,df_extratos!F:F,"&gt;="&amp;Conciliacao!A166, df_extratos!F:F,"&lt;"&amp;Conciliacao!A166+1, df_extratos!G:G,"CREDITO")
+SUMIFS(df_extratos!I:I,df_extratos!F:F,"&gt;="&amp;Conciliacao!BF166,df_extratos!F:F,"&lt;"&amp;Conciliacao!BF166+1,df_extratos!G:G,"CREDITO")
+SUMIFS(df_extratos!I:I,df_extratos!F:F,"&gt;="&amp;Conciliacao!BG166,df_extratos!F:F,"&lt;"&amp;Conciliacao!BG166+1,df_extratos!G:G,"CREDITO")
+SUMIFS(df_extratos!I:I,df_extratos!F:F,"&gt;="&amp;Conciliacao!BH166,df_extratos!F:F,"&lt;"&amp;Conciliacao!BH166+1,df_extratos!G:G,"CREDITO")</f>
        <v/>
      </c>
      <c r="I166" s="9">
        <f>H166-SUM(B166:G166)</f>
        <v/>
      </c>
      <c r="J166" s="4">
        <f>SUMIFS(df_blueme_sem_parcelamento!E:E,df_blueme_sem_parcelamento!H:H,Conciliacao!A166)*(-1)</f>
        <v/>
      </c>
      <c r="K166" s="4">
        <f>SUMIFS(df_blueme_com_parcelamento!J:J,df_blueme_com_parcelamento!M:M,Conciliacao!A166)*(-1)</f>
        <v/>
      </c>
      <c r="L166" s="4">
        <f>SUMIFS(df_mutuos!N:N,df_mutuos!B:B,Conciliacao!A166)*(-1)</f>
        <v/>
      </c>
      <c r="M166" s="8">
        <f>SUMIFS(df_bloqueios_judiciais!G:G,df_bloqueios_judiciais!D:D,Conciliacao!A166,df_bloqueios_judiciais!G:G,"&lt;0")</f>
        <v/>
      </c>
      <c r="N166" s="10">
        <f>SUMIFS(df_extratos!I:I,df_extratos!F:F,"&gt;="&amp;Conciliacao!BE166,df_extratos!F:F,"&lt;"&amp;Conciliacao!BE166+1,df_extratos!G:G,"DEBITO")
+SUMIFS(df_extratos!I:I,df_extratos!F:F,"&gt;="&amp;Conciliacao!A166, df_extratos!F:F,"&lt;"&amp;Conciliacao!A166+1, df_extratos!G:G,"DEBITO")
+SUMIFS(df_extratos!I:I,df_extratos!F:F,"&gt;="&amp;Conciliacao!BF166,df_extratos!F:F,"&lt;"&amp;Conciliacao!BF166+1,df_extratos!G:G,"DEBITO")
+SUMIFS(df_extratos!I:I,df_extratos!F:F,"&gt;="&amp;Conciliacao!BG166,df_extratos!F:F,"&lt;"&amp;Conciliacao!BG166+1,df_extratos!G:G,"DEBITO")
+SUMIFS(df_extratos!I:I,df_extratos!F:F,"&gt;="&amp;Conciliacao!BH166,df_extratos!F:F,"&lt;"&amp;Conciliacao!BH166+1,df_extratos!G:G,"DEBITO")</f>
        <v/>
      </c>
      <c r="O166" s="11">
        <f>N166-SUM(J166:M166)</f>
        <v/>
      </c>
      <c r="P166" s="25">
        <f>SUMIFS(df_ajustes_conciliaco!D:D,df_ajustes_conciliaco!C:C,Conciliacao!A166)</f>
        <v/>
      </c>
      <c r="Q166" s="22">
        <f>O166+I166-P166</f>
        <v/>
      </c>
      <c r="BE166" s="20" t="n">
        <v>45822.5</v>
      </c>
      <c r="BF166" s="20" t="n">
        <v>45822.125</v>
      </c>
      <c r="BG166" s="20" t="n">
        <v>45822.54166666666</v>
      </c>
      <c r="BH166" s="20" t="n">
        <v>45822.625</v>
      </c>
    </row>
    <row r="167">
      <c r="A167" s="5">
        <f>A166+1</f>
        <v/>
      </c>
      <c r="B167" s="3">
        <f>-SUMIFS(df_extrato_zig!G:G,df_extrato_zig!E:E,Conciliacao!A167,df_extrato_zig!D:D,"Saque")-SUMIFS(df_extrato_zig!G:G,df_extrato_zig!E:E,Conciliacao!A167,df_extrato_zig!D:D,"Antecipação")</f>
        <v/>
      </c>
      <c r="C167" s="3">
        <f>SUMIFS(df_extrato_zig!E:E,df_extrato_zig!L:L,Conciliacao!A167,df_extrato_zig!F:F,"DINHEIRO")</f>
        <v/>
      </c>
      <c r="D167" s="3">
        <f>SUMIFS(view_parc_agrup!H:H,view_parc_agrup!G:G,Conciliacao!A167)</f>
        <v/>
      </c>
      <c r="E167" s="3">
        <f>SUMIFS(df_eventos!F:F,df_eventos!H:H,Conciliacao!A167)</f>
        <v/>
      </c>
      <c r="F167" s="3">
        <f>SUMIFS(df_mutuos!M:M,df_mutuos!B:B,Conciliacao!A167)</f>
        <v/>
      </c>
      <c r="G167" s="6">
        <f>SUMIFS(df_bloqueios_judiciais!G:G,df_bloqueios_judiciais!D:D,Conciliacao!A167,df_bloqueios_judiciais!G:G,"&gt;0")</f>
        <v/>
      </c>
      <c r="H167" s="7">
        <f>SUMIFS(df_extratos!I:I,df_extratos!F:F,"&gt;="&amp;Conciliacao!BE167,df_extratos!F:F,"&lt;"&amp;Conciliacao!BE167+1,df_extratos!G:G,"CREDITO")
+SUMIFS(df_extratos!I:I,df_extratos!F:F,"&gt;="&amp;Conciliacao!A167, df_extratos!F:F,"&lt;"&amp;Conciliacao!A167+1, df_extratos!G:G,"CREDITO")
+SUMIFS(df_extratos!I:I,df_extratos!F:F,"&gt;="&amp;Conciliacao!BF167,df_extratos!F:F,"&lt;"&amp;Conciliacao!BF167+1,df_extratos!G:G,"CREDITO")
+SUMIFS(df_extratos!I:I,df_extratos!F:F,"&gt;="&amp;Conciliacao!BG167,df_extratos!F:F,"&lt;"&amp;Conciliacao!BG167+1,df_extratos!G:G,"CREDITO")
+SUMIFS(df_extratos!I:I,df_extratos!F:F,"&gt;="&amp;Conciliacao!BH167,df_extratos!F:F,"&lt;"&amp;Conciliacao!BH167+1,df_extratos!G:G,"CREDITO")</f>
        <v/>
      </c>
      <c r="I167" s="9">
        <f>H167-SUM(B167:G167)</f>
        <v/>
      </c>
      <c r="J167" s="4">
        <f>SUMIFS(df_blueme_sem_parcelamento!E:E,df_blueme_sem_parcelamento!H:H,Conciliacao!A167)*(-1)</f>
        <v/>
      </c>
      <c r="K167" s="4">
        <f>SUMIFS(df_blueme_com_parcelamento!J:J,df_blueme_com_parcelamento!M:M,Conciliacao!A167)*(-1)</f>
        <v/>
      </c>
      <c r="L167" s="4">
        <f>SUMIFS(df_mutuos!N:N,df_mutuos!B:B,Conciliacao!A167)*(-1)</f>
        <v/>
      </c>
      <c r="M167" s="8">
        <f>SUMIFS(df_bloqueios_judiciais!G:G,df_bloqueios_judiciais!D:D,Conciliacao!A167,df_bloqueios_judiciais!G:G,"&lt;0")</f>
        <v/>
      </c>
      <c r="N167" s="10">
        <f>SUMIFS(df_extratos!I:I,df_extratos!F:F,"&gt;="&amp;Conciliacao!BE167,df_extratos!F:F,"&lt;"&amp;Conciliacao!BE167+1,df_extratos!G:G,"DEBITO")
+SUMIFS(df_extratos!I:I,df_extratos!F:F,"&gt;="&amp;Conciliacao!A167, df_extratos!F:F,"&lt;"&amp;Conciliacao!A167+1, df_extratos!G:G,"DEBITO")
+SUMIFS(df_extratos!I:I,df_extratos!F:F,"&gt;="&amp;Conciliacao!BF167,df_extratos!F:F,"&lt;"&amp;Conciliacao!BF167+1,df_extratos!G:G,"DEBITO")
+SUMIFS(df_extratos!I:I,df_extratos!F:F,"&gt;="&amp;Conciliacao!BG167,df_extratos!F:F,"&lt;"&amp;Conciliacao!BG167+1,df_extratos!G:G,"DEBITO")
+SUMIFS(df_extratos!I:I,df_extratos!F:F,"&gt;="&amp;Conciliacao!BH167,df_extratos!F:F,"&lt;"&amp;Conciliacao!BH167+1,df_extratos!G:G,"DEBITO")</f>
        <v/>
      </c>
      <c r="O167" s="11">
        <f>N167-SUM(J167:M167)</f>
        <v/>
      </c>
      <c r="P167" s="25">
        <f>SUMIFS(df_ajustes_conciliaco!D:D,df_ajustes_conciliaco!C:C,Conciliacao!A167)</f>
        <v/>
      </c>
      <c r="Q167" s="22">
        <f>O167+I167-P167</f>
        <v/>
      </c>
      <c r="BE167" s="20" t="n">
        <v>45823.5</v>
      </c>
      <c r="BF167" s="20" t="n">
        <v>45823.125</v>
      </c>
      <c r="BG167" s="20" t="n">
        <v>45823.54166666666</v>
      </c>
      <c r="BH167" s="20" t="n">
        <v>45823.625</v>
      </c>
    </row>
    <row r="168">
      <c r="A168" s="5">
        <f>A167+1</f>
        <v/>
      </c>
      <c r="B168" s="3">
        <f>-SUMIFS(df_extrato_zig!G:G,df_extrato_zig!E:E,Conciliacao!A168,df_extrato_zig!D:D,"Saque")-SUMIFS(df_extrato_zig!G:G,df_extrato_zig!E:E,Conciliacao!A168,df_extrato_zig!D:D,"Antecipação")</f>
        <v/>
      </c>
      <c r="C168" s="3">
        <f>SUMIFS(df_extrato_zig!E:E,df_extrato_zig!L:L,Conciliacao!A168,df_extrato_zig!F:F,"DINHEIRO")</f>
        <v/>
      </c>
      <c r="D168" s="3">
        <f>SUMIFS(view_parc_agrup!H:H,view_parc_agrup!G:G,Conciliacao!A168)</f>
        <v/>
      </c>
      <c r="E168" s="3">
        <f>SUMIFS(df_eventos!F:F,df_eventos!H:H,Conciliacao!A168)</f>
        <v/>
      </c>
      <c r="F168" s="3">
        <f>SUMIFS(df_mutuos!M:M,df_mutuos!B:B,Conciliacao!A168)</f>
        <v/>
      </c>
      <c r="G168" s="6">
        <f>SUMIFS(df_bloqueios_judiciais!G:G,df_bloqueios_judiciais!D:D,Conciliacao!A168,df_bloqueios_judiciais!G:G,"&gt;0")</f>
        <v/>
      </c>
      <c r="H168" s="7">
        <f>SUMIFS(df_extratos!I:I,df_extratos!F:F,"&gt;="&amp;Conciliacao!BE168,df_extratos!F:F,"&lt;"&amp;Conciliacao!BE168+1,df_extratos!G:G,"CREDITO")
+SUMIFS(df_extratos!I:I,df_extratos!F:F,"&gt;="&amp;Conciliacao!A168, df_extratos!F:F,"&lt;"&amp;Conciliacao!A168+1, df_extratos!G:G,"CREDITO")
+SUMIFS(df_extratos!I:I,df_extratos!F:F,"&gt;="&amp;Conciliacao!BF168,df_extratos!F:F,"&lt;"&amp;Conciliacao!BF168+1,df_extratos!G:G,"CREDITO")
+SUMIFS(df_extratos!I:I,df_extratos!F:F,"&gt;="&amp;Conciliacao!BG168,df_extratos!F:F,"&lt;"&amp;Conciliacao!BG168+1,df_extratos!G:G,"CREDITO")
+SUMIFS(df_extratos!I:I,df_extratos!F:F,"&gt;="&amp;Conciliacao!BH168,df_extratos!F:F,"&lt;"&amp;Conciliacao!BH168+1,df_extratos!G:G,"CREDITO")</f>
        <v/>
      </c>
      <c r="I168" s="9">
        <f>H168-SUM(B168:G168)</f>
        <v/>
      </c>
      <c r="J168" s="4">
        <f>SUMIFS(df_blueme_sem_parcelamento!E:E,df_blueme_sem_parcelamento!H:H,Conciliacao!A168)*(-1)</f>
        <v/>
      </c>
      <c r="K168" s="4">
        <f>SUMIFS(df_blueme_com_parcelamento!J:J,df_blueme_com_parcelamento!M:M,Conciliacao!A168)*(-1)</f>
        <v/>
      </c>
      <c r="L168" s="4">
        <f>SUMIFS(df_mutuos!N:N,df_mutuos!B:B,Conciliacao!A168)*(-1)</f>
        <v/>
      </c>
      <c r="M168" s="8">
        <f>SUMIFS(df_bloqueios_judiciais!G:G,df_bloqueios_judiciais!D:D,Conciliacao!A168,df_bloqueios_judiciais!G:G,"&lt;0")</f>
        <v/>
      </c>
      <c r="N168" s="10">
        <f>SUMIFS(df_extratos!I:I,df_extratos!F:F,"&gt;="&amp;Conciliacao!BE168,df_extratos!F:F,"&lt;"&amp;Conciliacao!BE168+1,df_extratos!G:G,"DEBITO")
+SUMIFS(df_extratos!I:I,df_extratos!F:F,"&gt;="&amp;Conciliacao!A168, df_extratos!F:F,"&lt;"&amp;Conciliacao!A168+1, df_extratos!G:G,"DEBITO")
+SUMIFS(df_extratos!I:I,df_extratos!F:F,"&gt;="&amp;Conciliacao!BF168,df_extratos!F:F,"&lt;"&amp;Conciliacao!BF168+1,df_extratos!G:G,"DEBITO")
+SUMIFS(df_extratos!I:I,df_extratos!F:F,"&gt;="&amp;Conciliacao!BG168,df_extratos!F:F,"&lt;"&amp;Conciliacao!BG168+1,df_extratos!G:G,"DEBITO")
+SUMIFS(df_extratos!I:I,df_extratos!F:F,"&gt;="&amp;Conciliacao!BH168,df_extratos!F:F,"&lt;"&amp;Conciliacao!BH168+1,df_extratos!G:G,"DEBITO")</f>
        <v/>
      </c>
      <c r="O168" s="11">
        <f>N168-SUM(J168:M168)</f>
        <v/>
      </c>
      <c r="P168" s="25">
        <f>SUMIFS(df_ajustes_conciliaco!D:D,df_ajustes_conciliaco!C:C,Conciliacao!A168)</f>
        <v/>
      </c>
      <c r="Q168" s="22">
        <f>O168+I168-P168</f>
        <v/>
      </c>
      <c r="BE168" s="20" t="n">
        <v>45824.5</v>
      </c>
      <c r="BF168" s="20" t="n">
        <v>45824.125</v>
      </c>
      <c r="BG168" s="20" t="n">
        <v>45824.54166666666</v>
      </c>
      <c r="BH168" s="20" t="n">
        <v>45824.625</v>
      </c>
    </row>
    <row r="169">
      <c r="A169" s="5">
        <f>A168+1</f>
        <v/>
      </c>
      <c r="B169" s="3">
        <f>-SUMIFS(df_extrato_zig!G:G,df_extrato_zig!E:E,Conciliacao!A169,df_extrato_zig!D:D,"Saque")-SUMIFS(df_extrato_zig!G:G,df_extrato_zig!E:E,Conciliacao!A169,df_extrato_zig!D:D,"Antecipação")</f>
        <v/>
      </c>
      <c r="C169" s="3">
        <f>SUMIFS(df_extrato_zig!E:E,df_extrato_zig!L:L,Conciliacao!A169,df_extrato_zig!F:F,"DINHEIRO")</f>
        <v/>
      </c>
      <c r="D169" s="3">
        <f>SUMIFS(view_parc_agrup!H:H,view_parc_agrup!G:G,Conciliacao!A169)</f>
        <v/>
      </c>
      <c r="E169" s="3">
        <f>SUMIFS(df_eventos!F:F,df_eventos!H:H,Conciliacao!A169)</f>
        <v/>
      </c>
      <c r="F169" s="3">
        <f>SUMIFS(df_mutuos!M:M,df_mutuos!B:B,Conciliacao!A169)</f>
        <v/>
      </c>
      <c r="G169" s="6">
        <f>SUMIFS(df_bloqueios_judiciais!G:G,df_bloqueios_judiciais!D:D,Conciliacao!A169,df_bloqueios_judiciais!G:G,"&gt;0")</f>
        <v/>
      </c>
      <c r="H169" s="7">
        <f>SUMIFS(df_extratos!I:I,df_extratos!F:F,"&gt;="&amp;Conciliacao!BE169,df_extratos!F:F,"&lt;"&amp;Conciliacao!BE169+1,df_extratos!G:G,"CREDITO")
+SUMIFS(df_extratos!I:I,df_extratos!F:F,"&gt;="&amp;Conciliacao!A169, df_extratos!F:F,"&lt;"&amp;Conciliacao!A169+1, df_extratos!G:G,"CREDITO")
+SUMIFS(df_extratos!I:I,df_extratos!F:F,"&gt;="&amp;Conciliacao!BF169,df_extratos!F:F,"&lt;"&amp;Conciliacao!BF169+1,df_extratos!G:G,"CREDITO")
+SUMIFS(df_extratos!I:I,df_extratos!F:F,"&gt;="&amp;Conciliacao!BG169,df_extratos!F:F,"&lt;"&amp;Conciliacao!BG169+1,df_extratos!G:G,"CREDITO")
+SUMIFS(df_extratos!I:I,df_extratos!F:F,"&gt;="&amp;Conciliacao!BH169,df_extratos!F:F,"&lt;"&amp;Conciliacao!BH169+1,df_extratos!G:G,"CREDITO")</f>
        <v/>
      </c>
      <c r="I169" s="9">
        <f>H169-SUM(B169:G169)</f>
        <v/>
      </c>
      <c r="J169" s="4">
        <f>SUMIFS(df_blueme_sem_parcelamento!E:E,df_blueme_sem_parcelamento!H:H,Conciliacao!A169)*(-1)</f>
        <v/>
      </c>
      <c r="K169" s="4">
        <f>SUMIFS(df_blueme_com_parcelamento!J:J,df_blueme_com_parcelamento!M:M,Conciliacao!A169)*(-1)</f>
        <v/>
      </c>
      <c r="L169" s="4">
        <f>SUMIFS(df_mutuos!N:N,df_mutuos!B:B,Conciliacao!A169)*(-1)</f>
        <v/>
      </c>
      <c r="M169" s="8">
        <f>SUMIFS(df_bloqueios_judiciais!G:G,df_bloqueios_judiciais!D:D,Conciliacao!A169,df_bloqueios_judiciais!G:G,"&lt;0")</f>
        <v/>
      </c>
      <c r="N169" s="10">
        <f>SUMIFS(df_extratos!I:I,df_extratos!F:F,"&gt;="&amp;Conciliacao!BE169,df_extratos!F:F,"&lt;"&amp;Conciliacao!BE169+1,df_extratos!G:G,"DEBITO")
+SUMIFS(df_extratos!I:I,df_extratos!F:F,"&gt;="&amp;Conciliacao!A169, df_extratos!F:F,"&lt;"&amp;Conciliacao!A169+1, df_extratos!G:G,"DEBITO")
+SUMIFS(df_extratos!I:I,df_extratos!F:F,"&gt;="&amp;Conciliacao!BF169,df_extratos!F:F,"&lt;"&amp;Conciliacao!BF169+1,df_extratos!G:G,"DEBITO")
+SUMIFS(df_extratos!I:I,df_extratos!F:F,"&gt;="&amp;Conciliacao!BG169,df_extratos!F:F,"&lt;"&amp;Conciliacao!BG169+1,df_extratos!G:G,"DEBITO")
+SUMIFS(df_extratos!I:I,df_extratos!F:F,"&gt;="&amp;Conciliacao!BH169,df_extratos!F:F,"&lt;"&amp;Conciliacao!BH169+1,df_extratos!G:G,"DEBITO")</f>
        <v/>
      </c>
      <c r="O169" s="11">
        <f>N169-SUM(J169:M169)</f>
        <v/>
      </c>
      <c r="P169" s="25">
        <f>SUMIFS(df_ajustes_conciliaco!D:D,df_ajustes_conciliaco!C:C,Conciliacao!A169)</f>
        <v/>
      </c>
      <c r="Q169" s="22">
        <f>O169+I169-P169</f>
        <v/>
      </c>
      <c r="BE169" s="20" t="n">
        <v>45825.5</v>
      </c>
      <c r="BF169" s="20" t="n">
        <v>45825.125</v>
      </c>
      <c r="BG169" s="20" t="n">
        <v>45825.54166666666</v>
      </c>
      <c r="BH169" s="20" t="n">
        <v>45825.625</v>
      </c>
    </row>
    <row r="170">
      <c r="A170" s="5">
        <f>A169+1</f>
        <v/>
      </c>
      <c r="B170" s="3">
        <f>-SUMIFS(df_extrato_zig!G:G,df_extrato_zig!E:E,Conciliacao!A170,df_extrato_zig!D:D,"Saque")-SUMIFS(df_extrato_zig!G:G,df_extrato_zig!E:E,Conciliacao!A170,df_extrato_zig!D:D,"Antecipação")</f>
        <v/>
      </c>
      <c r="C170" s="3">
        <f>SUMIFS(df_extrato_zig!E:E,df_extrato_zig!L:L,Conciliacao!A170,df_extrato_zig!F:F,"DINHEIRO")</f>
        <v/>
      </c>
      <c r="D170" s="3">
        <f>SUMIFS(view_parc_agrup!H:H,view_parc_agrup!G:G,Conciliacao!A170)</f>
        <v/>
      </c>
      <c r="E170" s="3">
        <f>SUMIFS(df_eventos!F:F,df_eventos!H:H,Conciliacao!A170)</f>
        <v/>
      </c>
      <c r="F170" s="3">
        <f>SUMIFS(df_mutuos!M:M,df_mutuos!B:B,Conciliacao!A170)</f>
        <v/>
      </c>
      <c r="G170" s="6">
        <f>SUMIFS(df_bloqueios_judiciais!G:G,df_bloqueios_judiciais!D:D,Conciliacao!A170,df_bloqueios_judiciais!G:G,"&gt;0")</f>
        <v/>
      </c>
      <c r="H170" s="7">
        <f>SUMIFS(df_extratos!I:I,df_extratos!F:F,"&gt;="&amp;Conciliacao!BE170,df_extratos!F:F,"&lt;"&amp;Conciliacao!BE170+1,df_extratos!G:G,"CREDITO")
+SUMIFS(df_extratos!I:I,df_extratos!F:F,"&gt;="&amp;Conciliacao!A170, df_extratos!F:F,"&lt;"&amp;Conciliacao!A170+1, df_extratos!G:G,"CREDITO")
+SUMIFS(df_extratos!I:I,df_extratos!F:F,"&gt;="&amp;Conciliacao!BF170,df_extratos!F:F,"&lt;"&amp;Conciliacao!BF170+1,df_extratos!G:G,"CREDITO")
+SUMIFS(df_extratos!I:I,df_extratos!F:F,"&gt;="&amp;Conciliacao!BG170,df_extratos!F:F,"&lt;"&amp;Conciliacao!BG170+1,df_extratos!G:G,"CREDITO")
+SUMIFS(df_extratos!I:I,df_extratos!F:F,"&gt;="&amp;Conciliacao!BH170,df_extratos!F:F,"&lt;"&amp;Conciliacao!BH170+1,df_extratos!G:G,"CREDITO")</f>
        <v/>
      </c>
      <c r="I170" s="9">
        <f>H170-SUM(B170:G170)</f>
        <v/>
      </c>
      <c r="J170" s="4">
        <f>SUMIFS(df_blueme_sem_parcelamento!E:E,df_blueme_sem_parcelamento!H:H,Conciliacao!A170)*(-1)</f>
        <v/>
      </c>
      <c r="K170" s="4">
        <f>SUMIFS(df_blueme_com_parcelamento!J:J,df_blueme_com_parcelamento!M:M,Conciliacao!A170)*(-1)</f>
        <v/>
      </c>
      <c r="L170" s="4">
        <f>SUMIFS(df_mutuos!N:N,df_mutuos!B:B,Conciliacao!A170)*(-1)</f>
        <v/>
      </c>
      <c r="M170" s="8">
        <f>SUMIFS(df_bloqueios_judiciais!G:G,df_bloqueios_judiciais!D:D,Conciliacao!A170,df_bloqueios_judiciais!G:G,"&lt;0")</f>
        <v/>
      </c>
      <c r="N170" s="10">
        <f>SUMIFS(df_extratos!I:I,df_extratos!F:F,"&gt;="&amp;Conciliacao!BE170,df_extratos!F:F,"&lt;"&amp;Conciliacao!BE170+1,df_extratos!G:G,"DEBITO")
+SUMIFS(df_extratos!I:I,df_extratos!F:F,"&gt;="&amp;Conciliacao!A170, df_extratos!F:F,"&lt;"&amp;Conciliacao!A170+1, df_extratos!G:G,"DEBITO")
+SUMIFS(df_extratos!I:I,df_extratos!F:F,"&gt;="&amp;Conciliacao!BF170,df_extratos!F:F,"&lt;"&amp;Conciliacao!BF170+1,df_extratos!G:G,"DEBITO")
+SUMIFS(df_extratos!I:I,df_extratos!F:F,"&gt;="&amp;Conciliacao!BG170,df_extratos!F:F,"&lt;"&amp;Conciliacao!BG170+1,df_extratos!G:G,"DEBITO")
+SUMIFS(df_extratos!I:I,df_extratos!F:F,"&gt;="&amp;Conciliacao!BH170,df_extratos!F:F,"&lt;"&amp;Conciliacao!BH170+1,df_extratos!G:G,"DEBITO")</f>
        <v/>
      </c>
      <c r="O170" s="11">
        <f>N170-SUM(J170:M170)</f>
        <v/>
      </c>
      <c r="P170" s="25">
        <f>SUMIFS(df_ajustes_conciliaco!D:D,df_ajustes_conciliaco!C:C,Conciliacao!A170)</f>
        <v/>
      </c>
      <c r="Q170" s="22">
        <f>O170+I170-P170</f>
        <v/>
      </c>
      <c r="BE170" s="20" t="n">
        <v>45826.5</v>
      </c>
      <c r="BF170" s="20" t="n">
        <v>45826.125</v>
      </c>
      <c r="BG170" s="20" t="n">
        <v>45826.54166666666</v>
      </c>
      <c r="BH170" s="20" t="n">
        <v>45826.625</v>
      </c>
    </row>
    <row r="171">
      <c r="A171" s="5">
        <f>A170+1</f>
        <v/>
      </c>
      <c r="B171" s="3">
        <f>-SUMIFS(df_extrato_zig!G:G,df_extrato_zig!E:E,Conciliacao!A171,df_extrato_zig!D:D,"Saque")-SUMIFS(df_extrato_zig!G:G,df_extrato_zig!E:E,Conciliacao!A171,df_extrato_zig!D:D,"Antecipação")</f>
        <v/>
      </c>
      <c r="C171" s="3">
        <f>SUMIFS(df_extrato_zig!E:E,df_extrato_zig!L:L,Conciliacao!A171,df_extrato_zig!F:F,"DINHEIRO")</f>
        <v/>
      </c>
      <c r="D171" s="3">
        <f>SUMIFS(view_parc_agrup!H:H,view_parc_agrup!G:G,Conciliacao!A171)</f>
        <v/>
      </c>
      <c r="E171" s="3">
        <f>SUMIFS(df_eventos!F:F,df_eventos!H:H,Conciliacao!A171)</f>
        <v/>
      </c>
      <c r="F171" s="3">
        <f>SUMIFS(df_mutuos!M:M,df_mutuos!B:B,Conciliacao!A171)</f>
        <v/>
      </c>
      <c r="G171" s="6">
        <f>SUMIFS(df_bloqueios_judiciais!G:G,df_bloqueios_judiciais!D:D,Conciliacao!A171,df_bloqueios_judiciais!G:G,"&gt;0")</f>
        <v/>
      </c>
      <c r="H171" s="7">
        <f>SUMIFS(df_extratos!I:I,df_extratos!F:F,"&gt;="&amp;Conciliacao!BE171,df_extratos!F:F,"&lt;"&amp;Conciliacao!BE171+1,df_extratos!G:G,"CREDITO")
+SUMIFS(df_extratos!I:I,df_extratos!F:F,"&gt;="&amp;Conciliacao!A171, df_extratos!F:F,"&lt;"&amp;Conciliacao!A171+1, df_extratos!G:G,"CREDITO")
+SUMIFS(df_extratos!I:I,df_extratos!F:F,"&gt;="&amp;Conciliacao!BF171,df_extratos!F:F,"&lt;"&amp;Conciliacao!BF171+1,df_extratos!G:G,"CREDITO")
+SUMIFS(df_extratos!I:I,df_extratos!F:F,"&gt;="&amp;Conciliacao!BG171,df_extratos!F:F,"&lt;"&amp;Conciliacao!BG171+1,df_extratos!G:G,"CREDITO")
+SUMIFS(df_extratos!I:I,df_extratos!F:F,"&gt;="&amp;Conciliacao!BH171,df_extratos!F:F,"&lt;"&amp;Conciliacao!BH171+1,df_extratos!G:G,"CREDITO")</f>
        <v/>
      </c>
      <c r="I171" s="9">
        <f>H171-SUM(B171:G171)</f>
        <v/>
      </c>
      <c r="J171" s="4">
        <f>SUMIFS(df_blueme_sem_parcelamento!E:E,df_blueme_sem_parcelamento!H:H,Conciliacao!A171)*(-1)</f>
        <v/>
      </c>
      <c r="K171" s="4">
        <f>SUMIFS(df_blueme_com_parcelamento!J:J,df_blueme_com_parcelamento!M:M,Conciliacao!A171)*(-1)</f>
        <v/>
      </c>
      <c r="L171" s="4">
        <f>SUMIFS(df_mutuos!N:N,df_mutuos!B:B,Conciliacao!A171)*(-1)</f>
        <v/>
      </c>
      <c r="M171" s="8">
        <f>SUMIFS(df_bloqueios_judiciais!G:G,df_bloqueios_judiciais!D:D,Conciliacao!A171,df_bloqueios_judiciais!G:G,"&lt;0")</f>
        <v/>
      </c>
      <c r="N171" s="10">
        <f>SUMIFS(df_extratos!I:I,df_extratos!F:F,"&gt;="&amp;Conciliacao!BE171,df_extratos!F:F,"&lt;"&amp;Conciliacao!BE171+1,df_extratos!G:G,"DEBITO")
+SUMIFS(df_extratos!I:I,df_extratos!F:F,"&gt;="&amp;Conciliacao!A171, df_extratos!F:F,"&lt;"&amp;Conciliacao!A171+1, df_extratos!G:G,"DEBITO")
+SUMIFS(df_extratos!I:I,df_extratos!F:F,"&gt;="&amp;Conciliacao!BF171,df_extratos!F:F,"&lt;"&amp;Conciliacao!BF171+1,df_extratos!G:G,"DEBITO")
+SUMIFS(df_extratos!I:I,df_extratos!F:F,"&gt;="&amp;Conciliacao!BG171,df_extratos!F:F,"&lt;"&amp;Conciliacao!BG171+1,df_extratos!G:G,"DEBITO")
+SUMIFS(df_extratos!I:I,df_extratos!F:F,"&gt;="&amp;Conciliacao!BH171,df_extratos!F:F,"&lt;"&amp;Conciliacao!BH171+1,df_extratos!G:G,"DEBITO")</f>
        <v/>
      </c>
      <c r="O171" s="11">
        <f>N171-SUM(J171:M171)</f>
        <v/>
      </c>
      <c r="P171" s="25">
        <f>SUMIFS(df_ajustes_conciliaco!D:D,df_ajustes_conciliaco!C:C,Conciliacao!A171)</f>
        <v/>
      </c>
      <c r="Q171" s="22">
        <f>O171+I171-P171</f>
        <v/>
      </c>
      <c r="BE171" s="20" t="n">
        <v>45827.5</v>
      </c>
      <c r="BF171" s="20" t="n">
        <v>45827.125</v>
      </c>
      <c r="BG171" s="20" t="n">
        <v>45827.54166666666</v>
      </c>
      <c r="BH171" s="20" t="n">
        <v>45827.625</v>
      </c>
    </row>
    <row r="172">
      <c r="A172" s="5">
        <f>A171+1</f>
        <v/>
      </c>
      <c r="B172" s="3">
        <f>-SUMIFS(df_extrato_zig!G:G,df_extrato_zig!E:E,Conciliacao!A172,df_extrato_zig!D:D,"Saque")-SUMIFS(df_extrato_zig!G:G,df_extrato_zig!E:E,Conciliacao!A172,df_extrato_zig!D:D,"Antecipação")</f>
        <v/>
      </c>
      <c r="C172" s="3">
        <f>SUMIFS(df_extrato_zig!E:E,df_extrato_zig!L:L,Conciliacao!A172,df_extrato_zig!F:F,"DINHEIRO")</f>
        <v/>
      </c>
      <c r="D172" s="3">
        <f>SUMIFS(view_parc_agrup!H:H,view_parc_agrup!G:G,Conciliacao!A172)</f>
        <v/>
      </c>
      <c r="E172" s="3">
        <f>SUMIFS(df_eventos!F:F,df_eventos!H:H,Conciliacao!A172)</f>
        <v/>
      </c>
      <c r="F172" s="3">
        <f>SUMIFS(df_mutuos!M:M,df_mutuos!B:B,Conciliacao!A172)</f>
        <v/>
      </c>
      <c r="G172" s="6">
        <f>SUMIFS(df_bloqueios_judiciais!G:G,df_bloqueios_judiciais!D:D,Conciliacao!A172,df_bloqueios_judiciais!G:G,"&gt;0")</f>
        <v/>
      </c>
      <c r="H172" s="7">
        <f>SUMIFS(df_extratos!I:I,df_extratos!F:F,"&gt;="&amp;Conciliacao!BE172,df_extratos!F:F,"&lt;"&amp;Conciliacao!BE172+1,df_extratos!G:G,"CREDITO")
+SUMIFS(df_extratos!I:I,df_extratos!F:F,"&gt;="&amp;Conciliacao!A172, df_extratos!F:F,"&lt;"&amp;Conciliacao!A172+1, df_extratos!G:G,"CREDITO")
+SUMIFS(df_extratos!I:I,df_extratos!F:F,"&gt;="&amp;Conciliacao!BF172,df_extratos!F:F,"&lt;"&amp;Conciliacao!BF172+1,df_extratos!G:G,"CREDITO")
+SUMIFS(df_extratos!I:I,df_extratos!F:F,"&gt;="&amp;Conciliacao!BG172,df_extratos!F:F,"&lt;"&amp;Conciliacao!BG172+1,df_extratos!G:G,"CREDITO")
+SUMIFS(df_extratos!I:I,df_extratos!F:F,"&gt;="&amp;Conciliacao!BH172,df_extratos!F:F,"&lt;"&amp;Conciliacao!BH172+1,df_extratos!G:G,"CREDITO")</f>
        <v/>
      </c>
      <c r="I172" s="9">
        <f>H172-SUM(B172:G172)</f>
        <v/>
      </c>
      <c r="J172" s="4">
        <f>SUMIFS(df_blueme_sem_parcelamento!E:E,df_blueme_sem_parcelamento!H:H,Conciliacao!A172)*(-1)</f>
        <v/>
      </c>
      <c r="K172" s="4">
        <f>SUMIFS(df_blueme_com_parcelamento!J:J,df_blueme_com_parcelamento!M:M,Conciliacao!A172)*(-1)</f>
        <v/>
      </c>
      <c r="L172" s="4">
        <f>SUMIFS(df_mutuos!N:N,df_mutuos!B:B,Conciliacao!A172)*(-1)</f>
        <v/>
      </c>
      <c r="M172" s="8">
        <f>SUMIFS(df_bloqueios_judiciais!G:G,df_bloqueios_judiciais!D:D,Conciliacao!A172,df_bloqueios_judiciais!G:G,"&lt;0")</f>
        <v/>
      </c>
      <c r="N172" s="10">
        <f>SUMIFS(df_extratos!I:I,df_extratos!F:F,"&gt;="&amp;Conciliacao!BE172,df_extratos!F:F,"&lt;"&amp;Conciliacao!BE172+1,df_extratos!G:G,"DEBITO")
+SUMIFS(df_extratos!I:I,df_extratos!F:F,"&gt;="&amp;Conciliacao!A172, df_extratos!F:F,"&lt;"&amp;Conciliacao!A172+1, df_extratos!G:G,"DEBITO")
+SUMIFS(df_extratos!I:I,df_extratos!F:F,"&gt;="&amp;Conciliacao!BF172,df_extratos!F:F,"&lt;"&amp;Conciliacao!BF172+1,df_extratos!G:G,"DEBITO")
+SUMIFS(df_extratos!I:I,df_extratos!F:F,"&gt;="&amp;Conciliacao!BG172,df_extratos!F:F,"&lt;"&amp;Conciliacao!BG172+1,df_extratos!G:G,"DEBITO")
+SUMIFS(df_extratos!I:I,df_extratos!F:F,"&gt;="&amp;Conciliacao!BH172,df_extratos!F:F,"&lt;"&amp;Conciliacao!BH172+1,df_extratos!G:G,"DEBITO")</f>
        <v/>
      </c>
      <c r="O172" s="11">
        <f>N172-SUM(J172:M172)</f>
        <v/>
      </c>
      <c r="P172" s="25">
        <f>SUMIFS(df_ajustes_conciliaco!D:D,df_ajustes_conciliaco!C:C,Conciliacao!A172)</f>
        <v/>
      </c>
      <c r="Q172" s="22">
        <f>O172+I172-P172</f>
        <v/>
      </c>
      <c r="BE172" s="20" t="n">
        <v>45828.5</v>
      </c>
      <c r="BF172" s="20" t="n">
        <v>45828.125</v>
      </c>
      <c r="BG172" s="20" t="n">
        <v>45828.54166666666</v>
      </c>
      <c r="BH172" s="20" t="n">
        <v>45828.625</v>
      </c>
    </row>
    <row r="173">
      <c r="A173" s="5">
        <f>A172+1</f>
        <v/>
      </c>
      <c r="B173" s="3">
        <f>-SUMIFS(df_extrato_zig!G:G,df_extrato_zig!E:E,Conciliacao!A173,df_extrato_zig!D:D,"Saque")-SUMIFS(df_extrato_zig!G:G,df_extrato_zig!E:E,Conciliacao!A173,df_extrato_zig!D:D,"Antecipação")</f>
        <v/>
      </c>
      <c r="C173" s="3">
        <f>SUMIFS(df_extrato_zig!E:E,df_extrato_zig!L:L,Conciliacao!A173,df_extrato_zig!F:F,"DINHEIRO")</f>
        <v/>
      </c>
      <c r="D173" s="3">
        <f>SUMIFS(view_parc_agrup!H:H,view_parc_agrup!G:G,Conciliacao!A173)</f>
        <v/>
      </c>
      <c r="E173" s="3">
        <f>SUMIFS(df_eventos!F:F,df_eventos!H:H,Conciliacao!A173)</f>
        <v/>
      </c>
      <c r="F173" s="3">
        <f>SUMIFS(df_mutuos!M:M,df_mutuos!B:B,Conciliacao!A173)</f>
        <v/>
      </c>
      <c r="G173" s="6">
        <f>SUMIFS(df_bloqueios_judiciais!G:G,df_bloqueios_judiciais!D:D,Conciliacao!A173,df_bloqueios_judiciais!G:G,"&gt;0")</f>
        <v/>
      </c>
      <c r="H173" s="7">
        <f>SUMIFS(df_extratos!I:I,df_extratos!F:F,"&gt;="&amp;Conciliacao!BE173,df_extratos!F:F,"&lt;"&amp;Conciliacao!BE173+1,df_extratos!G:G,"CREDITO")
+SUMIFS(df_extratos!I:I,df_extratos!F:F,"&gt;="&amp;Conciliacao!A173, df_extratos!F:F,"&lt;"&amp;Conciliacao!A173+1, df_extratos!G:G,"CREDITO")
+SUMIFS(df_extratos!I:I,df_extratos!F:F,"&gt;="&amp;Conciliacao!BF173,df_extratos!F:F,"&lt;"&amp;Conciliacao!BF173+1,df_extratos!G:G,"CREDITO")
+SUMIFS(df_extratos!I:I,df_extratos!F:F,"&gt;="&amp;Conciliacao!BG173,df_extratos!F:F,"&lt;"&amp;Conciliacao!BG173+1,df_extratos!G:G,"CREDITO")
+SUMIFS(df_extratos!I:I,df_extratos!F:F,"&gt;="&amp;Conciliacao!BH173,df_extratos!F:F,"&lt;"&amp;Conciliacao!BH173+1,df_extratos!G:G,"CREDITO")</f>
        <v/>
      </c>
      <c r="I173" s="9">
        <f>H173-SUM(B173:G173)</f>
        <v/>
      </c>
      <c r="J173" s="4">
        <f>SUMIFS(df_blueme_sem_parcelamento!E:E,df_blueme_sem_parcelamento!H:H,Conciliacao!A173)*(-1)</f>
        <v/>
      </c>
      <c r="K173" s="4">
        <f>SUMIFS(df_blueme_com_parcelamento!J:J,df_blueme_com_parcelamento!M:M,Conciliacao!A173)*(-1)</f>
        <v/>
      </c>
      <c r="L173" s="4">
        <f>SUMIFS(df_mutuos!N:N,df_mutuos!B:B,Conciliacao!A173)*(-1)</f>
        <v/>
      </c>
      <c r="M173" s="8">
        <f>SUMIFS(df_bloqueios_judiciais!G:G,df_bloqueios_judiciais!D:D,Conciliacao!A173,df_bloqueios_judiciais!G:G,"&lt;0")</f>
        <v/>
      </c>
      <c r="N173" s="10">
        <f>SUMIFS(df_extratos!I:I,df_extratos!F:F,"&gt;="&amp;Conciliacao!BE173,df_extratos!F:F,"&lt;"&amp;Conciliacao!BE173+1,df_extratos!G:G,"DEBITO")
+SUMIFS(df_extratos!I:I,df_extratos!F:F,"&gt;="&amp;Conciliacao!A173, df_extratos!F:F,"&lt;"&amp;Conciliacao!A173+1, df_extratos!G:G,"DEBITO")
+SUMIFS(df_extratos!I:I,df_extratos!F:F,"&gt;="&amp;Conciliacao!BF173,df_extratos!F:F,"&lt;"&amp;Conciliacao!BF173+1,df_extratos!G:G,"DEBITO")
+SUMIFS(df_extratos!I:I,df_extratos!F:F,"&gt;="&amp;Conciliacao!BG173,df_extratos!F:F,"&lt;"&amp;Conciliacao!BG173+1,df_extratos!G:G,"DEBITO")
+SUMIFS(df_extratos!I:I,df_extratos!F:F,"&gt;="&amp;Conciliacao!BH173,df_extratos!F:F,"&lt;"&amp;Conciliacao!BH173+1,df_extratos!G:G,"DEBITO")</f>
        <v/>
      </c>
      <c r="O173" s="11">
        <f>N173-SUM(J173:M173)</f>
        <v/>
      </c>
      <c r="P173" s="25">
        <f>SUMIFS(df_ajustes_conciliaco!D:D,df_ajustes_conciliaco!C:C,Conciliacao!A173)</f>
        <v/>
      </c>
      <c r="Q173" s="22">
        <f>O173+I173-P173</f>
        <v/>
      </c>
      <c r="BE173" s="20" t="n">
        <v>45829.5</v>
      </c>
      <c r="BF173" s="20" t="n">
        <v>45829.125</v>
      </c>
      <c r="BG173" s="20" t="n">
        <v>45829.54166666666</v>
      </c>
      <c r="BH173" s="20" t="n">
        <v>45829.625</v>
      </c>
    </row>
    <row r="174">
      <c r="A174" s="5">
        <f>A173+1</f>
        <v/>
      </c>
      <c r="B174" s="3">
        <f>-SUMIFS(df_extrato_zig!G:G,df_extrato_zig!E:E,Conciliacao!A174,df_extrato_zig!D:D,"Saque")-SUMIFS(df_extrato_zig!G:G,df_extrato_zig!E:E,Conciliacao!A174,df_extrato_zig!D:D,"Antecipação")</f>
        <v/>
      </c>
      <c r="C174" s="3">
        <f>SUMIFS(df_extrato_zig!E:E,df_extrato_zig!L:L,Conciliacao!A174,df_extrato_zig!F:F,"DINHEIRO")</f>
        <v/>
      </c>
      <c r="D174" s="3">
        <f>SUMIFS(view_parc_agrup!H:H,view_parc_agrup!G:G,Conciliacao!A174)</f>
        <v/>
      </c>
      <c r="E174" s="3">
        <f>SUMIFS(df_eventos!F:F,df_eventos!H:H,Conciliacao!A174)</f>
        <v/>
      </c>
      <c r="F174" s="3">
        <f>SUMIFS(df_mutuos!M:M,df_mutuos!B:B,Conciliacao!A174)</f>
        <v/>
      </c>
      <c r="G174" s="6">
        <f>SUMIFS(df_bloqueios_judiciais!G:G,df_bloqueios_judiciais!D:D,Conciliacao!A174,df_bloqueios_judiciais!G:G,"&gt;0")</f>
        <v/>
      </c>
      <c r="H174" s="7">
        <f>SUMIFS(df_extratos!I:I,df_extratos!F:F,"&gt;="&amp;Conciliacao!BE174,df_extratos!F:F,"&lt;"&amp;Conciliacao!BE174+1,df_extratos!G:G,"CREDITO")
+SUMIFS(df_extratos!I:I,df_extratos!F:F,"&gt;="&amp;Conciliacao!A174, df_extratos!F:F,"&lt;"&amp;Conciliacao!A174+1, df_extratos!G:G,"CREDITO")
+SUMIFS(df_extratos!I:I,df_extratos!F:F,"&gt;="&amp;Conciliacao!BF174,df_extratos!F:F,"&lt;"&amp;Conciliacao!BF174+1,df_extratos!G:G,"CREDITO")
+SUMIFS(df_extratos!I:I,df_extratos!F:F,"&gt;="&amp;Conciliacao!BG174,df_extratos!F:F,"&lt;"&amp;Conciliacao!BG174+1,df_extratos!G:G,"CREDITO")
+SUMIFS(df_extratos!I:I,df_extratos!F:F,"&gt;="&amp;Conciliacao!BH174,df_extratos!F:F,"&lt;"&amp;Conciliacao!BH174+1,df_extratos!G:G,"CREDITO")</f>
        <v/>
      </c>
      <c r="I174" s="9">
        <f>H174-SUM(B174:G174)</f>
        <v/>
      </c>
      <c r="J174" s="4">
        <f>SUMIFS(df_blueme_sem_parcelamento!E:E,df_blueme_sem_parcelamento!H:H,Conciliacao!A174)*(-1)</f>
        <v/>
      </c>
      <c r="K174" s="4">
        <f>SUMIFS(df_blueme_com_parcelamento!J:J,df_blueme_com_parcelamento!M:M,Conciliacao!A174)*(-1)</f>
        <v/>
      </c>
      <c r="L174" s="4">
        <f>SUMIFS(df_mutuos!N:N,df_mutuos!B:B,Conciliacao!A174)*(-1)</f>
        <v/>
      </c>
      <c r="M174" s="8">
        <f>SUMIFS(df_bloqueios_judiciais!G:G,df_bloqueios_judiciais!D:D,Conciliacao!A174,df_bloqueios_judiciais!G:G,"&lt;0")</f>
        <v/>
      </c>
      <c r="N174" s="10">
        <f>SUMIFS(df_extratos!I:I,df_extratos!F:F,"&gt;="&amp;Conciliacao!BE174,df_extratos!F:F,"&lt;"&amp;Conciliacao!BE174+1,df_extratos!G:G,"DEBITO")
+SUMIFS(df_extratos!I:I,df_extratos!F:F,"&gt;="&amp;Conciliacao!A174, df_extratos!F:F,"&lt;"&amp;Conciliacao!A174+1, df_extratos!G:G,"DEBITO")
+SUMIFS(df_extratos!I:I,df_extratos!F:F,"&gt;="&amp;Conciliacao!BF174,df_extratos!F:F,"&lt;"&amp;Conciliacao!BF174+1,df_extratos!G:G,"DEBITO")
+SUMIFS(df_extratos!I:I,df_extratos!F:F,"&gt;="&amp;Conciliacao!BG174,df_extratos!F:F,"&lt;"&amp;Conciliacao!BG174+1,df_extratos!G:G,"DEBITO")
+SUMIFS(df_extratos!I:I,df_extratos!F:F,"&gt;="&amp;Conciliacao!BH174,df_extratos!F:F,"&lt;"&amp;Conciliacao!BH174+1,df_extratos!G:G,"DEBITO")</f>
        <v/>
      </c>
      <c r="O174" s="11">
        <f>N174-SUM(J174:M174)</f>
        <v/>
      </c>
      <c r="P174" s="25">
        <f>SUMIFS(df_ajustes_conciliaco!D:D,df_ajustes_conciliaco!C:C,Conciliacao!A174)</f>
        <v/>
      </c>
      <c r="Q174" s="22">
        <f>O174+I174-P174</f>
        <v/>
      </c>
      <c r="BE174" s="20" t="n">
        <v>45830.5</v>
      </c>
      <c r="BF174" s="20" t="n">
        <v>45830.125</v>
      </c>
      <c r="BG174" s="20" t="n">
        <v>45830.54166666666</v>
      </c>
      <c r="BH174" s="20" t="n">
        <v>45830.625</v>
      </c>
    </row>
    <row r="175">
      <c r="A175" s="5">
        <f>A174+1</f>
        <v/>
      </c>
      <c r="B175" s="3">
        <f>-SUMIFS(df_extrato_zig!G:G,df_extrato_zig!E:E,Conciliacao!A175,df_extrato_zig!D:D,"Saque")-SUMIFS(df_extrato_zig!G:G,df_extrato_zig!E:E,Conciliacao!A175,df_extrato_zig!D:D,"Antecipação")</f>
        <v/>
      </c>
      <c r="C175" s="3">
        <f>SUMIFS(df_extrato_zig!E:E,df_extrato_zig!L:L,Conciliacao!A175,df_extrato_zig!F:F,"DINHEIRO")</f>
        <v/>
      </c>
      <c r="D175" s="3">
        <f>SUMIFS(view_parc_agrup!H:H,view_parc_agrup!G:G,Conciliacao!A175)</f>
        <v/>
      </c>
      <c r="E175" s="3">
        <f>SUMIFS(df_eventos!F:F,df_eventos!H:H,Conciliacao!A175)</f>
        <v/>
      </c>
      <c r="F175" s="3">
        <f>SUMIFS(df_mutuos!M:M,df_mutuos!B:B,Conciliacao!A175)</f>
        <v/>
      </c>
      <c r="G175" s="6">
        <f>SUMIFS(df_bloqueios_judiciais!G:G,df_bloqueios_judiciais!D:D,Conciliacao!A175,df_bloqueios_judiciais!G:G,"&gt;0")</f>
        <v/>
      </c>
      <c r="H175" s="7">
        <f>SUMIFS(df_extratos!I:I,df_extratos!F:F,"&gt;="&amp;Conciliacao!BE175,df_extratos!F:F,"&lt;"&amp;Conciliacao!BE175+1,df_extratos!G:G,"CREDITO")
+SUMIFS(df_extratos!I:I,df_extratos!F:F,"&gt;="&amp;Conciliacao!A175, df_extratos!F:F,"&lt;"&amp;Conciliacao!A175+1, df_extratos!G:G,"CREDITO")
+SUMIFS(df_extratos!I:I,df_extratos!F:F,"&gt;="&amp;Conciliacao!BF175,df_extratos!F:F,"&lt;"&amp;Conciliacao!BF175+1,df_extratos!G:G,"CREDITO")
+SUMIFS(df_extratos!I:I,df_extratos!F:F,"&gt;="&amp;Conciliacao!BG175,df_extratos!F:F,"&lt;"&amp;Conciliacao!BG175+1,df_extratos!G:G,"CREDITO")
+SUMIFS(df_extratos!I:I,df_extratos!F:F,"&gt;="&amp;Conciliacao!BH175,df_extratos!F:F,"&lt;"&amp;Conciliacao!BH175+1,df_extratos!G:G,"CREDITO")</f>
        <v/>
      </c>
      <c r="I175" s="9">
        <f>H175-SUM(B175:G175)</f>
        <v/>
      </c>
      <c r="J175" s="4">
        <f>SUMIFS(df_blueme_sem_parcelamento!E:E,df_blueme_sem_parcelamento!H:H,Conciliacao!A175)*(-1)</f>
        <v/>
      </c>
      <c r="K175" s="4">
        <f>SUMIFS(df_blueme_com_parcelamento!J:J,df_blueme_com_parcelamento!M:M,Conciliacao!A175)*(-1)</f>
        <v/>
      </c>
      <c r="L175" s="4">
        <f>SUMIFS(df_mutuos!N:N,df_mutuos!B:B,Conciliacao!A175)*(-1)</f>
        <v/>
      </c>
      <c r="M175" s="8">
        <f>SUMIFS(df_bloqueios_judiciais!G:G,df_bloqueios_judiciais!D:D,Conciliacao!A175,df_bloqueios_judiciais!G:G,"&lt;0")</f>
        <v/>
      </c>
      <c r="N175" s="10">
        <f>SUMIFS(df_extratos!I:I,df_extratos!F:F,"&gt;="&amp;Conciliacao!BE175,df_extratos!F:F,"&lt;"&amp;Conciliacao!BE175+1,df_extratos!G:G,"DEBITO")
+SUMIFS(df_extratos!I:I,df_extratos!F:F,"&gt;="&amp;Conciliacao!A175, df_extratos!F:F,"&lt;"&amp;Conciliacao!A175+1, df_extratos!G:G,"DEBITO")
+SUMIFS(df_extratos!I:I,df_extratos!F:F,"&gt;="&amp;Conciliacao!BF175,df_extratos!F:F,"&lt;"&amp;Conciliacao!BF175+1,df_extratos!G:G,"DEBITO")
+SUMIFS(df_extratos!I:I,df_extratos!F:F,"&gt;="&amp;Conciliacao!BG175,df_extratos!F:F,"&lt;"&amp;Conciliacao!BG175+1,df_extratos!G:G,"DEBITO")
+SUMIFS(df_extratos!I:I,df_extratos!F:F,"&gt;="&amp;Conciliacao!BH175,df_extratos!F:F,"&lt;"&amp;Conciliacao!BH175+1,df_extratos!G:G,"DEBITO")</f>
        <v/>
      </c>
      <c r="O175" s="11">
        <f>N175-SUM(J175:M175)</f>
        <v/>
      </c>
      <c r="P175" s="25">
        <f>SUMIFS(df_ajustes_conciliaco!D:D,df_ajustes_conciliaco!C:C,Conciliacao!A175)</f>
        <v/>
      </c>
      <c r="Q175" s="22">
        <f>O175+I175-P175</f>
        <v/>
      </c>
      <c r="BE175" s="20" t="n">
        <v>45831.5</v>
      </c>
      <c r="BF175" s="20" t="n">
        <v>45831.125</v>
      </c>
      <c r="BG175" s="20" t="n">
        <v>45831.54166666666</v>
      </c>
      <c r="BH175" s="20" t="n">
        <v>45831.625</v>
      </c>
    </row>
    <row r="176">
      <c r="A176" s="5">
        <f>A175+1</f>
        <v/>
      </c>
      <c r="B176" s="3">
        <f>-SUMIFS(df_extrato_zig!G:G,df_extrato_zig!E:E,Conciliacao!A176,df_extrato_zig!D:D,"Saque")-SUMIFS(df_extrato_zig!G:G,df_extrato_zig!E:E,Conciliacao!A176,df_extrato_zig!D:D,"Antecipação")</f>
        <v/>
      </c>
      <c r="C176" s="3">
        <f>SUMIFS(df_extrato_zig!E:E,df_extrato_zig!L:L,Conciliacao!A176,df_extrato_zig!F:F,"DINHEIRO")</f>
        <v/>
      </c>
      <c r="D176" s="3">
        <f>SUMIFS(view_parc_agrup!H:H,view_parc_agrup!G:G,Conciliacao!A176)</f>
        <v/>
      </c>
      <c r="E176" s="3">
        <f>SUMIFS(df_eventos!F:F,df_eventos!H:H,Conciliacao!A176)</f>
        <v/>
      </c>
      <c r="F176" s="3">
        <f>SUMIFS(df_mutuos!M:M,df_mutuos!B:B,Conciliacao!A176)</f>
        <v/>
      </c>
      <c r="G176" s="6">
        <f>SUMIFS(df_bloqueios_judiciais!G:G,df_bloqueios_judiciais!D:D,Conciliacao!A176,df_bloqueios_judiciais!G:G,"&gt;0")</f>
        <v/>
      </c>
      <c r="H176" s="7">
        <f>SUMIFS(df_extratos!I:I,df_extratos!F:F,"&gt;="&amp;Conciliacao!BE176,df_extratos!F:F,"&lt;"&amp;Conciliacao!BE176+1,df_extratos!G:G,"CREDITO")
+SUMIFS(df_extratos!I:I,df_extratos!F:F,"&gt;="&amp;Conciliacao!A176, df_extratos!F:F,"&lt;"&amp;Conciliacao!A176+1, df_extratos!G:G,"CREDITO")
+SUMIFS(df_extratos!I:I,df_extratos!F:F,"&gt;="&amp;Conciliacao!BF176,df_extratos!F:F,"&lt;"&amp;Conciliacao!BF176+1,df_extratos!G:G,"CREDITO")
+SUMIFS(df_extratos!I:I,df_extratos!F:F,"&gt;="&amp;Conciliacao!BG176,df_extratos!F:F,"&lt;"&amp;Conciliacao!BG176+1,df_extratos!G:G,"CREDITO")
+SUMIFS(df_extratos!I:I,df_extratos!F:F,"&gt;="&amp;Conciliacao!BH176,df_extratos!F:F,"&lt;"&amp;Conciliacao!BH176+1,df_extratos!G:G,"CREDITO")</f>
        <v/>
      </c>
      <c r="I176" s="9">
        <f>H176-SUM(B176:G176)</f>
        <v/>
      </c>
      <c r="J176" s="4">
        <f>SUMIFS(df_blueme_sem_parcelamento!E:E,df_blueme_sem_parcelamento!H:H,Conciliacao!A176)*(-1)</f>
        <v/>
      </c>
      <c r="K176" s="4">
        <f>SUMIFS(df_blueme_com_parcelamento!J:J,df_blueme_com_parcelamento!M:M,Conciliacao!A176)*(-1)</f>
        <v/>
      </c>
      <c r="L176" s="4">
        <f>SUMIFS(df_mutuos!N:N,df_mutuos!B:B,Conciliacao!A176)*(-1)</f>
        <v/>
      </c>
      <c r="M176" s="8">
        <f>SUMIFS(df_bloqueios_judiciais!G:G,df_bloqueios_judiciais!D:D,Conciliacao!A176,df_bloqueios_judiciais!G:G,"&lt;0")</f>
        <v/>
      </c>
      <c r="N176" s="10">
        <f>SUMIFS(df_extratos!I:I,df_extratos!F:F,"&gt;="&amp;Conciliacao!BE176,df_extratos!F:F,"&lt;"&amp;Conciliacao!BE176+1,df_extratos!G:G,"DEBITO")
+SUMIFS(df_extratos!I:I,df_extratos!F:F,"&gt;="&amp;Conciliacao!A176, df_extratos!F:F,"&lt;"&amp;Conciliacao!A176+1, df_extratos!G:G,"DEBITO")
+SUMIFS(df_extratos!I:I,df_extratos!F:F,"&gt;="&amp;Conciliacao!BF176,df_extratos!F:F,"&lt;"&amp;Conciliacao!BF176+1,df_extratos!G:G,"DEBITO")
+SUMIFS(df_extratos!I:I,df_extratos!F:F,"&gt;="&amp;Conciliacao!BG176,df_extratos!F:F,"&lt;"&amp;Conciliacao!BG176+1,df_extratos!G:G,"DEBITO")
+SUMIFS(df_extratos!I:I,df_extratos!F:F,"&gt;="&amp;Conciliacao!BH176,df_extratos!F:F,"&lt;"&amp;Conciliacao!BH176+1,df_extratos!G:G,"DEBITO")</f>
        <v/>
      </c>
      <c r="O176" s="11">
        <f>N176-SUM(J176:M176)</f>
        <v/>
      </c>
      <c r="P176" s="25">
        <f>SUMIFS(df_ajustes_conciliaco!D:D,df_ajustes_conciliaco!C:C,Conciliacao!A176)</f>
        <v/>
      </c>
      <c r="Q176" s="22">
        <f>O176+I176-P176</f>
        <v/>
      </c>
      <c r="BE176" s="20" t="n">
        <v>45832.5</v>
      </c>
      <c r="BF176" s="20" t="n">
        <v>45832.125</v>
      </c>
      <c r="BG176" s="20" t="n">
        <v>45832.54166666666</v>
      </c>
      <c r="BH176" s="20" t="n">
        <v>45832.625</v>
      </c>
    </row>
    <row r="177">
      <c r="A177" s="5">
        <f>A176+1</f>
        <v/>
      </c>
      <c r="B177" s="3">
        <f>-SUMIFS(df_extrato_zig!G:G,df_extrato_zig!E:E,Conciliacao!A177,df_extrato_zig!D:D,"Saque")-SUMIFS(df_extrato_zig!G:G,df_extrato_zig!E:E,Conciliacao!A177,df_extrato_zig!D:D,"Antecipação")</f>
        <v/>
      </c>
      <c r="C177" s="3">
        <f>SUMIFS(df_extrato_zig!E:E,df_extrato_zig!L:L,Conciliacao!A177,df_extrato_zig!F:F,"DINHEIRO")</f>
        <v/>
      </c>
      <c r="D177" s="3">
        <f>SUMIFS(view_parc_agrup!H:H,view_parc_agrup!G:G,Conciliacao!A177)</f>
        <v/>
      </c>
      <c r="E177" s="3">
        <f>SUMIFS(df_eventos!F:F,df_eventos!H:H,Conciliacao!A177)</f>
        <v/>
      </c>
      <c r="F177" s="3">
        <f>SUMIFS(df_mutuos!M:M,df_mutuos!B:B,Conciliacao!A177)</f>
        <v/>
      </c>
      <c r="G177" s="6">
        <f>SUMIFS(df_bloqueios_judiciais!G:G,df_bloqueios_judiciais!D:D,Conciliacao!A177,df_bloqueios_judiciais!G:G,"&gt;0")</f>
        <v/>
      </c>
      <c r="H177" s="7">
        <f>SUMIFS(df_extratos!I:I,df_extratos!F:F,"&gt;="&amp;Conciliacao!BE177,df_extratos!F:F,"&lt;"&amp;Conciliacao!BE177+1,df_extratos!G:G,"CREDITO")
+SUMIFS(df_extratos!I:I,df_extratos!F:F,"&gt;="&amp;Conciliacao!A177, df_extratos!F:F,"&lt;"&amp;Conciliacao!A177+1, df_extratos!G:G,"CREDITO")
+SUMIFS(df_extratos!I:I,df_extratos!F:F,"&gt;="&amp;Conciliacao!BF177,df_extratos!F:F,"&lt;"&amp;Conciliacao!BF177+1,df_extratos!G:G,"CREDITO")
+SUMIFS(df_extratos!I:I,df_extratos!F:F,"&gt;="&amp;Conciliacao!BG177,df_extratos!F:F,"&lt;"&amp;Conciliacao!BG177+1,df_extratos!G:G,"CREDITO")
+SUMIFS(df_extratos!I:I,df_extratos!F:F,"&gt;="&amp;Conciliacao!BH177,df_extratos!F:F,"&lt;"&amp;Conciliacao!BH177+1,df_extratos!G:G,"CREDITO")</f>
        <v/>
      </c>
      <c r="I177" s="9">
        <f>H177-SUM(B177:G177)</f>
        <v/>
      </c>
      <c r="J177" s="4">
        <f>SUMIFS(df_blueme_sem_parcelamento!E:E,df_blueme_sem_parcelamento!H:H,Conciliacao!A177)*(-1)</f>
        <v/>
      </c>
      <c r="K177" s="4">
        <f>SUMIFS(df_blueme_com_parcelamento!J:J,df_blueme_com_parcelamento!M:M,Conciliacao!A177)*(-1)</f>
        <v/>
      </c>
      <c r="L177" s="4">
        <f>SUMIFS(df_mutuos!N:N,df_mutuos!B:B,Conciliacao!A177)*(-1)</f>
        <v/>
      </c>
      <c r="M177" s="8">
        <f>SUMIFS(df_bloqueios_judiciais!G:G,df_bloqueios_judiciais!D:D,Conciliacao!A177,df_bloqueios_judiciais!G:G,"&lt;0")</f>
        <v/>
      </c>
      <c r="N177" s="10">
        <f>SUMIFS(df_extratos!I:I,df_extratos!F:F,"&gt;="&amp;Conciliacao!BE177,df_extratos!F:F,"&lt;"&amp;Conciliacao!BE177+1,df_extratos!G:G,"DEBITO")
+SUMIFS(df_extratos!I:I,df_extratos!F:F,"&gt;="&amp;Conciliacao!A177, df_extratos!F:F,"&lt;"&amp;Conciliacao!A177+1, df_extratos!G:G,"DEBITO")
+SUMIFS(df_extratos!I:I,df_extratos!F:F,"&gt;="&amp;Conciliacao!BF177,df_extratos!F:F,"&lt;"&amp;Conciliacao!BF177+1,df_extratos!G:G,"DEBITO")
+SUMIFS(df_extratos!I:I,df_extratos!F:F,"&gt;="&amp;Conciliacao!BG177,df_extratos!F:F,"&lt;"&amp;Conciliacao!BG177+1,df_extratos!G:G,"DEBITO")
+SUMIFS(df_extratos!I:I,df_extratos!F:F,"&gt;="&amp;Conciliacao!BH177,df_extratos!F:F,"&lt;"&amp;Conciliacao!BH177+1,df_extratos!G:G,"DEBITO")</f>
        <v/>
      </c>
      <c r="O177" s="11">
        <f>N177-SUM(J177:M177)</f>
        <v/>
      </c>
      <c r="P177" s="25">
        <f>SUMIFS(df_ajustes_conciliaco!D:D,df_ajustes_conciliaco!C:C,Conciliacao!A177)</f>
        <v/>
      </c>
      <c r="Q177" s="22">
        <f>O177+I177-P177</f>
        <v/>
      </c>
      <c r="BE177" s="20" t="n">
        <v>45833.5</v>
      </c>
      <c r="BF177" s="20" t="n">
        <v>45833.125</v>
      </c>
      <c r="BG177" s="20" t="n">
        <v>45833.54166666666</v>
      </c>
      <c r="BH177" s="20" t="n">
        <v>45833.625</v>
      </c>
    </row>
    <row r="178">
      <c r="A178" s="5">
        <f>A177+1</f>
        <v/>
      </c>
      <c r="B178" s="3">
        <f>-SUMIFS(df_extrato_zig!G:G,df_extrato_zig!E:E,Conciliacao!A178,df_extrato_zig!D:D,"Saque")-SUMIFS(df_extrato_zig!G:G,df_extrato_zig!E:E,Conciliacao!A178,df_extrato_zig!D:D,"Antecipação")</f>
        <v/>
      </c>
      <c r="C178" s="3">
        <f>SUMIFS(df_extrato_zig!E:E,df_extrato_zig!L:L,Conciliacao!A178,df_extrato_zig!F:F,"DINHEIRO")</f>
        <v/>
      </c>
      <c r="D178" s="3">
        <f>SUMIFS(view_parc_agrup!H:H,view_parc_agrup!G:G,Conciliacao!A178)</f>
        <v/>
      </c>
      <c r="E178" s="3">
        <f>SUMIFS(df_eventos!F:F,df_eventos!H:H,Conciliacao!A178)</f>
        <v/>
      </c>
      <c r="F178" s="3">
        <f>SUMIFS(df_mutuos!M:M,df_mutuos!B:B,Conciliacao!A178)</f>
        <v/>
      </c>
      <c r="G178" s="6">
        <f>SUMIFS(df_bloqueios_judiciais!G:G,df_bloqueios_judiciais!D:D,Conciliacao!A178,df_bloqueios_judiciais!G:G,"&gt;0")</f>
        <v/>
      </c>
      <c r="H178" s="7">
        <f>SUMIFS(df_extratos!I:I,df_extratos!F:F,"&gt;="&amp;Conciliacao!BE178,df_extratos!F:F,"&lt;"&amp;Conciliacao!BE178+1,df_extratos!G:G,"CREDITO")
+SUMIFS(df_extratos!I:I,df_extratos!F:F,"&gt;="&amp;Conciliacao!A178, df_extratos!F:F,"&lt;"&amp;Conciliacao!A178+1, df_extratos!G:G,"CREDITO")
+SUMIFS(df_extratos!I:I,df_extratos!F:F,"&gt;="&amp;Conciliacao!BF178,df_extratos!F:F,"&lt;"&amp;Conciliacao!BF178+1,df_extratos!G:G,"CREDITO")
+SUMIFS(df_extratos!I:I,df_extratos!F:F,"&gt;="&amp;Conciliacao!BG178,df_extratos!F:F,"&lt;"&amp;Conciliacao!BG178+1,df_extratos!G:G,"CREDITO")
+SUMIFS(df_extratos!I:I,df_extratos!F:F,"&gt;="&amp;Conciliacao!BH178,df_extratos!F:F,"&lt;"&amp;Conciliacao!BH178+1,df_extratos!G:G,"CREDITO")</f>
        <v/>
      </c>
      <c r="I178" s="9">
        <f>H178-SUM(B178:G178)</f>
        <v/>
      </c>
      <c r="J178" s="4">
        <f>SUMIFS(df_blueme_sem_parcelamento!E:E,df_blueme_sem_parcelamento!H:H,Conciliacao!A178)*(-1)</f>
        <v/>
      </c>
      <c r="K178" s="4">
        <f>SUMIFS(df_blueme_com_parcelamento!J:J,df_blueme_com_parcelamento!M:M,Conciliacao!A178)*(-1)</f>
        <v/>
      </c>
      <c r="L178" s="4">
        <f>SUMIFS(df_mutuos!N:N,df_mutuos!B:B,Conciliacao!A178)*(-1)</f>
        <v/>
      </c>
      <c r="M178" s="8">
        <f>SUMIFS(df_bloqueios_judiciais!G:G,df_bloqueios_judiciais!D:D,Conciliacao!A178,df_bloqueios_judiciais!G:G,"&lt;0")</f>
        <v/>
      </c>
      <c r="N178" s="10">
        <f>SUMIFS(df_extratos!I:I,df_extratos!F:F,"&gt;="&amp;Conciliacao!BE178,df_extratos!F:F,"&lt;"&amp;Conciliacao!BE178+1,df_extratos!G:G,"DEBITO")
+SUMIFS(df_extratos!I:I,df_extratos!F:F,"&gt;="&amp;Conciliacao!A178, df_extratos!F:F,"&lt;"&amp;Conciliacao!A178+1, df_extratos!G:G,"DEBITO")
+SUMIFS(df_extratos!I:I,df_extratos!F:F,"&gt;="&amp;Conciliacao!BF178,df_extratos!F:F,"&lt;"&amp;Conciliacao!BF178+1,df_extratos!G:G,"DEBITO")
+SUMIFS(df_extratos!I:I,df_extratos!F:F,"&gt;="&amp;Conciliacao!BG178,df_extratos!F:F,"&lt;"&amp;Conciliacao!BG178+1,df_extratos!G:G,"DEBITO")
+SUMIFS(df_extratos!I:I,df_extratos!F:F,"&gt;="&amp;Conciliacao!BH178,df_extratos!F:F,"&lt;"&amp;Conciliacao!BH178+1,df_extratos!G:G,"DEBITO")</f>
        <v/>
      </c>
      <c r="O178" s="11">
        <f>N178-SUM(J178:M178)</f>
        <v/>
      </c>
      <c r="P178" s="25">
        <f>SUMIFS(df_ajustes_conciliaco!D:D,df_ajustes_conciliaco!C:C,Conciliacao!A178)</f>
        <v/>
      </c>
      <c r="Q178" s="22">
        <f>O178+I178-P178</f>
        <v/>
      </c>
      <c r="BE178" s="20" t="n">
        <v>45834.5</v>
      </c>
      <c r="BF178" s="20" t="n">
        <v>45834.125</v>
      </c>
      <c r="BG178" s="20" t="n">
        <v>45834.54166666666</v>
      </c>
      <c r="BH178" s="20" t="n">
        <v>45834.625</v>
      </c>
    </row>
    <row r="179">
      <c r="A179" s="5">
        <f>A178+1</f>
        <v/>
      </c>
      <c r="B179" s="3">
        <f>-SUMIFS(df_extrato_zig!G:G,df_extrato_zig!E:E,Conciliacao!A179,df_extrato_zig!D:D,"Saque")-SUMIFS(df_extrato_zig!G:G,df_extrato_zig!E:E,Conciliacao!A179,df_extrato_zig!D:D,"Antecipação")</f>
        <v/>
      </c>
      <c r="C179" s="3">
        <f>SUMIFS(df_extrato_zig!E:E,df_extrato_zig!L:L,Conciliacao!A179,df_extrato_zig!F:F,"DINHEIRO")</f>
        <v/>
      </c>
      <c r="D179" s="3">
        <f>SUMIFS(view_parc_agrup!H:H,view_parc_agrup!G:G,Conciliacao!A179)</f>
        <v/>
      </c>
      <c r="E179" s="3">
        <f>SUMIFS(df_eventos!F:F,df_eventos!H:H,Conciliacao!A179)</f>
        <v/>
      </c>
      <c r="F179" s="3">
        <f>SUMIFS(df_mutuos!M:M,df_mutuos!B:B,Conciliacao!A179)</f>
        <v/>
      </c>
      <c r="G179" s="6">
        <f>SUMIFS(df_bloqueios_judiciais!G:G,df_bloqueios_judiciais!D:D,Conciliacao!A179,df_bloqueios_judiciais!G:G,"&gt;0")</f>
        <v/>
      </c>
      <c r="H179" s="7">
        <f>SUMIFS(df_extratos!I:I,df_extratos!F:F,"&gt;="&amp;Conciliacao!BE179,df_extratos!F:F,"&lt;"&amp;Conciliacao!BE179+1,df_extratos!G:G,"CREDITO")
+SUMIFS(df_extratos!I:I,df_extratos!F:F,"&gt;="&amp;Conciliacao!A179, df_extratos!F:F,"&lt;"&amp;Conciliacao!A179+1, df_extratos!G:G,"CREDITO")
+SUMIFS(df_extratos!I:I,df_extratos!F:F,"&gt;="&amp;Conciliacao!BF179,df_extratos!F:F,"&lt;"&amp;Conciliacao!BF179+1,df_extratos!G:G,"CREDITO")
+SUMIFS(df_extratos!I:I,df_extratos!F:F,"&gt;="&amp;Conciliacao!BG179,df_extratos!F:F,"&lt;"&amp;Conciliacao!BG179+1,df_extratos!G:G,"CREDITO")
+SUMIFS(df_extratos!I:I,df_extratos!F:F,"&gt;="&amp;Conciliacao!BH179,df_extratos!F:F,"&lt;"&amp;Conciliacao!BH179+1,df_extratos!G:G,"CREDITO")</f>
        <v/>
      </c>
      <c r="I179" s="9">
        <f>H179-SUM(B179:G179)</f>
        <v/>
      </c>
      <c r="J179" s="4">
        <f>SUMIFS(df_blueme_sem_parcelamento!E:E,df_blueme_sem_parcelamento!H:H,Conciliacao!A179)*(-1)</f>
        <v/>
      </c>
      <c r="K179" s="4">
        <f>SUMIFS(df_blueme_com_parcelamento!J:J,df_blueme_com_parcelamento!M:M,Conciliacao!A179)*(-1)</f>
        <v/>
      </c>
      <c r="L179" s="4">
        <f>SUMIFS(df_mutuos!N:N,df_mutuos!B:B,Conciliacao!A179)*(-1)</f>
        <v/>
      </c>
      <c r="M179" s="8">
        <f>SUMIFS(df_bloqueios_judiciais!G:G,df_bloqueios_judiciais!D:D,Conciliacao!A179,df_bloqueios_judiciais!G:G,"&lt;0")</f>
        <v/>
      </c>
      <c r="N179" s="10">
        <f>SUMIFS(df_extratos!I:I,df_extratos!F:F,"&gt;="&amp;Conciliacao!BE179,df_extratos!F:F,"&lt;"&amp;Conciliacao!BE179+1,df_extratos!G:G,"DEBITO")
+SUMIFS(df_extratos!I:I,df_extratos!F:F,"&gt;="&amp;Conciliacao!A179, df_extratos!F:F,"&lt;"&amp;Conciliacao!A179+1, df_extratos!G:G,"DEBITO")
+SUMIFS(df_extratos!I:I,df_extratos!F:F,"&gt;="&amp;Conciliacao!BF179,df_extratos!F:F,"&lt;"&amp;Conciliacao!BF179+1,df_extratos!G:G,"DEBITO")
+SUMIFS(df_extratos!I:I,df_extratos!F:F,"&gt;="&amp;Conciliacao!BG179,df_extratos!F:F,"&lt;"&amp;Conciliacao!BG179+1,df_extratos!G:G,"DEBITO")
+SUMIFS(df_extratos!I:I,df_extratos!F:F,"&gt;="&amp;Conciliacao!BH179,df_extratos!F:F,"&lt;"&amp;Conciliacao!BH179+1,df_extratos!G:G,"DEBITO")</f>
        <v/>
      </c>
      <c r="O179" s="11">
        <f>N179-SUM(J179:M179)</f>
        <v/>
      </c>
      <c r="P179" s="25">
        <f>SUMIFS(df_ajustes_conciliaco!D:D,df_ajustes_conciliaco!C:C,Conciliacao!A179)</f>
        <v/>
      </c>
      <c r="Q179" s="22">
        <f>O179+I179-P179</f>
        <v/>
      </c>
      <c r="BE179" s="20" t="n">
        <v>45835.5</v>
      </c>
      <c r="BF179" s="20" t="n">
        <v>45835.125</v>
      </c>
      <c r="BG179" s="20" t="n">
        <v>45835.54166666666</v>
      </c>
      <c r="BH179" s="20" t="n">
        <v>45835.625</v>
      </c>
    </row>
    <row r="180">
      <c r="A180" s="5">
        <f>A179+1</f>
        <v/>
      </c>
      <c r="B180" s="3">
        <f>-SUMIFS(df_extrato_zig!G:G,df_extrato_zig!E:E,Conciliacao!A180,df_extrato_zig!D:D,"Saque")-SUMIFS(df_extrato_zig!G:G,df_extrato_zig!E:E,Conciliacao!A180,df_extrato_zig!D:D,"Antecipação")</f>
        <v/>
      </c>
      <c r="C180" s="3">
        <f>SUMIFS(df_extrato_zig!E:E,df_extrato_zig!L:L,Conciliacao!A180,df_extrato_zig!F:F,"DINHEIRO")</f>
        <v/>
      </c>
      <c r="D180" s="3">
        <f>SUMIFS(view_parc_agrup!H:H,view_parc_agrup!G:G,Conciliacao!A180)</f>
        <v/>
      </c>
      <c r="E180" s="3">
        <f>SUMIFS(df_eventos!F:F,df_eventos!H:H,Conciliacao!A180)</f>
        <v/>
      </c>
      <c r="F180" s="3">
        <f>SUMIFS(df_mutuos!M:M,df_mutuos!B:B,Conciliacao!A180)</f>
        <v/>
      </c>
      <c r="G180" s="6">
        <f>SUMIFS(df_bloqueios_judiciais!G:G,df_bloqueios_judiciais!D:D,Conciliacao!A180,df_bloqueios_judiciais!G:G,"&gt;0")</f>
        <v/>
      </c>
      <c r="H180" s="7">
        <f>SUMIFS(df_extratos!I:I,df_extratos!F:F,"&gt;="&amp;Conciliacao!BE180,df_extratos!F:F,"&lt;"&amp;Conciliacao!BE180+1,df_extratos!G:G,"CREDITO")
+SUMIFS(df_extratos!I:I,df_extratos!F:F,"&gt;="&amp;Conciliacao!A180, df_extratos!F:F,"&lt;"&amp;Conciliacao!A180+1, df_extratos!G:G,"CREDITO")
+SUMIFS(df_extratos!I:I,df_extratos!F:F,"&gt;="&amp;Conciliacao!BF180,df_extratos!F:F,"&lt;"&amp;Conciliacao!BF180+1,df_extratos!G:G,"CREDITO")
+SUMIFS(df_extratos!I:I,df_extratos!F:F,"&gt;="&amp;Conciliacao!BG180,df_extratos!F:F,"&lt;"&amp;Conciliacao!BG180+1,df_extratos!G:G,"CREDITO")
+SUMIFS(df_extratos!I:I,df_extratos!F:F,"&gt;="&amp;Conciliacao!BH180,df_extratos!F:F,"&lt;"&amp;Conciliacao!BH180+1,df_extratos!G:G,"CREDITO")</f>
        <v/>
      </c>
      <c r="I180" s="9">
        <f>H180-SUM(B180:G180)</f>
        <v/>
      </c>
      <c r="J180" s="4">
        <f>SUMIFS(df_blueme_sem_parcelamento!E:E,df_blueme_sem_parcelamento!H:H,Conciliacao!A180)*(-1)</f>
        <v/>
      </c>
      <c r="K180" s="4">
        <f>SUMIFS(df_blueme_com_parcelamento!J:J,df_blueme_com_parcelamento!M:M,Conciliacao!A180)*(-1)</f>
        <v/>
      </c>
      <c r="L180" s="4">
        <f>SUMIFS(df_mutuos!N:N,df_mutuos!B:B,Conciliacao!A180)*(-1)</f>
        <v/>
      </c>
      <c r="M180" s="8">
        <f>SUMIFS(df_bloqueios_judiciais!G:G,df_bloqueios_judiciais!D:D,Conciliacao!A180,df_bloqueios_judiciais!G:G,"&lt;0")</f>
        <v/>
      </c>
      <c r="N180" s="10">
        <f>SUMIFS(df_extratos!I:I,df_extratos!F:F,"&gt;="&amp;Conciliacao!BE180,df_extratos!F:F,"&lt;"&amp;Conciliacao!BE180+1,df_extratos!G:G,"DEBITO")
+SUMIFS(df_extratos!I:I,df_extratos!F:F,"&gt;="&amp;Conciliacao!A180, df_extratos!F:F,"&lt;"&amp;Conciliacao!A180+1, df_extratos!G:G,"DEBITO")
+SUMIFS(df_extratos!I:I,df_extratos!F:F,"&gt;="&amp;Conciliacao!BF180,df_extratos!F:F,"&lt;"&amp;Conciliacao!BF180+1,df_extratos!G:G,"DEBITO")
+SUMIFS(df_extratos!I:I,df_extratos!F:F,"&gt;="&amp;Conciliacao!BG180,df_extratos!F:F,"&lt;"&amp;Conciliacao!BG180+1,df_extratos!G:G,"DEBITO")
+SUMIFS(df_extratos!I:I,df_extratos!F:F,"&gt;="&amp;Conciliacao!BH180,df_extratos!F:F,"&lt;"&amp;Conciliacao!BH180+1,df_extratos!G:G,"DEBITO")</f>
        <v/>
      </c>
      <c r="O180" s="11">
        <f>N180-SUM(J180:M180)</f>
        <v/>
      </c>
      <c r="P180" s="25">
        <f>SUMIFS(df_ajustes_conciliaco!D:D,df_ajustes_conciliaco!C:C,Conciliacao!A180)</f>
        <v/>
      </c>
      <c r="Q180" s="22">
        <f>O180+I180-P180</f>
        <v/>
      </c>
      <c r="BE180" s="20" t="n">
        <v>45836.5</v>
      </c>
      <c r="BF180" s="20" t="n">
        <v>45836.125</v>
      </c>
      <c r="BG180" s="20" t="n">
        <v>45836.54166666666</v>
      </c>
      <c r="BH180" s="20" t="n">
        <v>45836.625</v>
      </c>
    </row>
    <row r="181">
      <c r="A181" s="5">
        <f>A180+1</f>
        <v/>
      </c>
      <c r="B181" s="3">
        <f>-SUMIFS(df_extrato_zig!G:G,df_extrato_zig!E:E,Conciliacao!A181,df_extrato_zig!D:D,"Saque")-SUMIFS(df_extrato_zig!G:G,df_extrato_zig!E:E,Conciliacao!A181,df_extrato_zig!D:D,"Antecipação")</f>
        <v/>
      </c>
      <c r="C181" s="3">
        <f>SUMIFS(df_extrato_zig!E:E,df_extrato_zig!L:L,Conciliacao!A181,df_extrato_zig!F:F,"DINHEIRO")</f>
        <v/>
      </c>
      <c r="D181" s="3">
        <f>SUMIFS(view_parc_agrup!H:H,view_parc_agrup!G:G,Conciliacao!A181)</f>
        <v/>
      </c>
      <c r="E181" s="3">
        <f>SUMIFS(df_eventos!F:F,df_eventos!H:H,Conciliacao!A181)</f>
        <v/>
      </c>
      <c r="F181" s="3">
        <f>SUMIFS(df_mutuos!M:M,df_mutuos!B:B,Conciliacao!A181)</f>
        <v/>
      </c>
      <c r="G181" s="6">
        <f>SUMIFS(df_bloqueios_judiciais!G:G,df_bloqueios_judiciais!D:D,Conciliacao!A181,df_bloqueios_judiciais!G:G,"&gt;0")</f>
        <v/>
      </c>
      <c r="H181" s="7">
        <f>SUMIFS(df_extratos!I:I,df_extratos!F:F,"&gt;="&amp;Conciliacao!BE181,df_extratos!F:F,"&lt;"&amp;Conciliacao!BE181+1,df_extratos!G:G,"CREDITO")
+SUMIFS(df_extratos!I:I,df_extratos!F:F,"&gt;="&amp;Conciliacao!A181, df_extratos!F:F,"&lt;"&amp;Conciliacao!A181+1, df_extratos!G:G,"CREDITO")
+SUMIFS(df_extratos!I:I,df_extratos!F:F,"&gt;="&amp;Conciliacao!BF181,df_extratos!F:F,"&lt;"&amp;Conciliacao!BF181+1,df_extratos!G:G,"CREDITO")
+SUMIFS(df_extratos!I:I,df_extratos!F:F,"&gt;="&amp;Conciliacao!BG181,df_extratos!F:F,"&lt;"&amp;Conciliacao!BG181+1,df_extratos!G:G,"CREDITO")
+SUMIFS(df_extratos!I:I,df_extratos!F:F,"&gt;="&amp;Conciliacao!BH181,df_extratos!F:F,"&lt;"&amp;Conciliacao!BH181+1,df_extratos!G:G,"CREDITO")</f>
        <v/>
      </c>
      <c r="I181" s="9">
        <f>H181-SUM(B181:G181)</f>
        <v/>
      </c>
      <c r="J181" s="4">
        <f>SUMIFS(df_blueme_sem_parcelamento!E:E,df_blueme_sem_parcelamento!H:H,Conciliacao!A181)*(-1)</f>
        <v/>
      </c>
      <c r="K181" s="4">
        <f>SUMIFS(df_blueme_com_parcelamento!J:J,df_blueme_com_parcelamento!M:M,Conciliacao!A181)*(-1)</f>
        <v/>
      </c>
      <c r="L181" s="4">
        <f>SUMIFS(df_mutuos!N:N,df_mutuos!B:B,Conciliacao!A181)*(-1)</f>
        <v/>
      </c>
      <c r="M181" s="8">
        <f>SUMIFS(df_bloqueios_judiciais!G:G,df_bloqueios_judiciais!D:D,Conciliacao!A181,df_bloqueios_judiciais!G:G,"&lt;0")</f>
        <v/>
      </c>
      <c r="N181" s="10">
        <f>SUMIFS(df_extratos!I:I,df_extratos!F:F,"&gt;="&amp;Conciliacao!BE181,df_extratos!F:F,"&lt;"&amp;Conciliacao!BE181+1,df_extratos!G:G,"DEBITO")
+SUMIFS(df_extratos!I:I,df_extratos!F:F,"&gt;="&amp;Conciliacao!A181, df_extratos!F:F,"&lt;"&amp;Conciliacao!A181+1, df_extratos!G:G,"DEBITO")
+SUMIFS(df_extratos!I:I,df_extratos!F:F,"&gt;="&amp;Conciliacao!BF181,df_extratos!F:F,"&lt;"&amp;Conciliacao!BF181+1,df_extratos!G:G,"DEBITO")
+SUMIFS(df_extratos!I:I,df_extratos!F:F,"&gt;="&amp;Conciliacao!BG181,df_extratos!F:F,"&lt;"&amp;Conciliacao!BG181+1,df_extratos!G:G,"DEBITO")
+SUMIFS(df_extratos!I:I,df_extratos!F:F,"&gt;="&amp;Conciliacao!BH181,df_extratos!F:F,"&lt;"&amp;Conciliacao!BH181+1,df_extratos!G:G,"DEBITO")</f>
        <v/>
      </c>
      <c r="O181" s="11">
        <f>N181-SUM(J181:M181)</f>
        <v/>
      </c>
      <c r="P181" s="25">
        <f>SUMIFS(df_ajustes_conciliaco!D:D,df_ajustes_conciliaco!C:C,Conciliacao!A181)</f>
        <v/>
      </c>
      <c r="Q181" s="22">
        <f>O181+I181-P181</f>
        <v/>
      </c>
      <c r="BE181" s="20" t="n">
        <v>45837.5</v>
      </c>
      <c r="BF181" s="20" t="n">
        <v>45837.125</v>
      </c>
      <c r="BG181" s="20" t="n">
        <v>45837.54166666666</v>
      </c>
      <c r="BH181" s="20" t="n">
        <v>45837.625</v>
      </c>
    </row>
    <row r="182">
      <c r="A182" s="5">
        <f>A181+1</f>
        <v/>
      </c>
      <c r="B182" s="3">
        <f>-SUMIFS(df_extrato_zig!G:G,df_extrato_zig!E:E,Conciliacao!A182,df_extrato_zig!D:D,"Saque")-SUMIFS(df_extrato_zig!G:G,df_extrato_zig!E:E,Conciliacao!A182,df_extrato_zig!D:D,"Antecipação")</f>
        <v/>
      </c>
      <c r="C182" s="3">
        <f>SUMIFS(df_extrato_zig!E:E,df_extrato_zig!L:L,Conciliacao!A182,df_extrato_zig!F:F,"DINHEIRO")</f>
        <v/>
      </c>
      <c r="D182" s="3">
        <f>SUMIFS(view_parc_agrup!H:H,view_parc_agrup!G:G,Conciliacao!A182)</f>
        <v/>
      </c>
      <c r="E182" s="3">
        <f>SUMIFS(df_eventos!F:F,df_eventos!H:H,Conciliacao!A182)</f>
        <v/>
      </c>
      <c r="F182" s="3">
        <f>SUMIFS(df_mutuos!M:M,df_mutuos!B:B,Conciliacao!A182)</f>
        <v/>
      </c>
      <c r="G182" s="6">
        <f>SUMIFS(df_bloqueios_judiciais!G:G,df_bloqueios_judiciais!D:D,Conciliacao!A182,df_bloqueios_judiciais!G:G,"&gt;0")</f>
        <v/>
      </c>
      <c r="H182" s="7">
        <f>SUMIFS(df_extratos!I:I,df_extratos!F:F,"&gt;="&amp;Conciliacao!BE182,df_extratos!F:F,"&lt;"&amp;Conciliacao!BE182+1,df_extratos!G:G,"CREDITO")
+SUMIFS(df_extratos!I:I,df_extratos!F:F,"&gt;="&amp;Conciliacao!A182, df_extratos!F:F,"&lt;"&amp;Conciliacao!A182+1, df_extratos!G:G,"CREDITO")
+SUMIFS(df_extratos!I:I,df_extratos!F:F,"&gt;="&amp;Conciliacao!BF182,df_extratos!F:F,"&lt;"&amp;Conciliacao!BF182+1,df_extratos!G:G,"CREDITO")
+SUMIFS(df_extratos!I:I,df_extratos!F:F,"&gt;="&amp;Conciliacao!BG182,df_extratos!F:F,"&lt;"&amp;Conciliacao!BG182+1,df_extratos!G:G,"CREDITO")
+SUMIFS(df_extratos!I:I,df_extratos!F:F,"&gt;="&amp;Conciliacao!BH182,df_extratos!F:F,"&lt;"&amp;Conciliacao!BH182+1,df_extratos!G:G,"CREDITO")</f>
        <v/>
      </c>
      <c r="I182" s="9">
        <f>H182-SUM(B182:G182)</f>
        <v/>
      </c>
      <c r="J182" s="4">
        <f>SUMIFS(df_blueme_sem_parcelamento!E:E,df_blueme_sem_parcelamento!H:H,Conciliacao!A182)*(-1)</f>
        <v/>
      </c>
      <c r="K182" s="4">
        <f>SUMIFS(df_blueme_com_parcelamento!J:J,df_blueme_com_parcelamento!M:M,Conciliacao!A182)*(-1)</f>
        <v/>
      </c>
      <c r="L182" s="4">
        <f>SUMIFS(df_mutuos!N:N,df_mutuos!B:B,Conciliacao!A182)*(-1)</f>
        <v/>
      </c>
      <c r="M182" s="8">
        <f>SUMIFS(df_bloqueios_judiciais!G:G,df_bloqueios_judiciais!D:D,Conciliacao!A182,df_bloqueios_judiciais!G:G,"&lt;0")</f>
        <v/>
      </c>
      <c r="N182" s="10">
        <f>SUMIFS(df_extratos!I:I,df_extratos!F:F,"&gt;="&amp;Conciliacao!BE182,df_extratos!F:F,"&lt;"&amp;Conciliacao!BE182+1,df_extratos!G:G,"DEBITO")
+SUMIFS(df_extratos!I:I,df_extratos!F:F,"&gt;="&amp;Conciliacao!A182, df_extratos!F:F,"&lt;"&amp;Conciliacao!A182+1, df_extratos!G:G,"DEBITO")
+SUMIFS(df_extratos!I:I,df_extratos!F:F,"&gt;="&amp;Conciliacao!BF182,df_extratos!F:F,"&lt;"&amp;Conciliacao!BF182+1,df_extratos!G:G,"DEBITO")
+SUMIFS(df_extratos!I:I,df_extratos!F:F,"&gt;="&amp;Conciliacao!BG182,df_extratos!F:F,"&lt;"&amp;Conciliacao!BG182+1,df_extratos!G:G,"DEBITO")
+SUMIFS(df_extratos!I:I,df_extratos!F:F,"&gt;="&amp;Conciliacao!BH182,df_extratos!F:F,"&lt;"&amp;Conciliacao!BH182+1,df_extratos!G:G,"DEBITO")</f>
        <v/>
      </c>
      <c r="O182" s="11">
        <f>N182-SUM(J182:M182)</f>
        <v/>
      </c>
      <c r="P182" s="25">
        <f>SUMIFS(df_ajustes_conciliaco!D:D,df_ajustes_conciliaco!C:C,Conciliacao!A182)</f>
        <v/>
      </c>
      <c r="Q182" s="22">
        <f>O182+I182-P182</f>
        <v/>
      </c>
      <c r="BE182" s="20" t="n">
        <v>45838.5</v>
      </c>
      <c r="BF182" s="20" t="n">
        <v>45838.125</v>
      </c>
      <c r="BG182" s="20" t="n">
        <v>45838.54166666666</v>
      </c>
      <c r="BH182" s="20" t="n">
        <v>45838.625</v>
      </c>
    </row>
    <row r="183">
      <c r="A183" s="5">
        <f>A182+1</f>
        <v/>
      </c>
      <c r="B183" s="3">
        <f>-SUMIFS(df_extrato_zig!G:G,df_extrato_zig!E:E,Conciliacao!A183,df_extrato_zig!D:D,"Saque")-SUMIFS(df_extrato_zig!G:G,df_extrato_zig!E:E,Conciliacao!A183,df_extrato_zig!D:D,"Antecipação")</f>
        <v/>
      </c>
      <c r="C183" s="3">
        <f>SUMIFS(df_extrato_zig!E:E,df_extrato_zig!L:L,Conciliacao!A183,df_extrato_zig!F:F,"DINHEIRO")</f>
        <v/>
      </c>
      <c r="D183" s="3">
        <f>SUMIFS(view_parc_agrup!H:H,view_parc_agrup!G:G,Conciliacao!A183)</f>
        <v/>
      </c>
      <c r="E183" s="3">
        <f>SUMIFS(df_eventos!F:F,df_eventos!H:H,Conciliacao!A183)</f>
        <v/>
      </c>
      <c r="F183" s="3">
        <f>SUMIFS(df_mutuos!M:M,df_mutuos!B:B,Conciliacao!A183)</f>
        <v/>
      </c>
      <c r="G183" s="6">
        <f>SUMIFS(df_bloqueios_judiciais!G:G,df_bloqueios_judiciais!D:D,Conciliacao!A183,df_bloqueios_judiciais!G:G,"&gt;0")</f>
        <v/>
      </c>
      <c r="H183" s="7">
        <f>SUMIFS(df_extratos!I:I,df_extratos!F:F,"&gt;="&amp;Conciliacao!BE183,df_extratos!F:F,"&lt;"&amp;Conciliacao!BE183+1,df_extratos!G:G,"CREDITO")
+SUMIFS(df_extratos!I:I,df_extratos!F:F,"&gt;="&amp;Conciliacao!A183, df_extratos!F:F,"&lt;"&amp;Conciliacao!A183+1, df_extratos!G:G,"CREDITO")
+SUMIFS(df_extratos!I:I,df_extratos!F:F,"&gt;="&amp;Conciliacao!BF183,df_extratos!F:F,"&lt;"&amp;Conciliacao!BF183+1,df_extratos!G:G,"CREDITO")
+SUMIFS(df_extratos!I:I,df_extratos!F:F,"&gt;="&amp;Conciliacao!BG183,df_extratos!F:F,"&lt;"&amp;Conciliacao!BG183+1,df_extratos!G:G,"CREDITO")
+SUMIFS(df_extratos!I:I,df_extratos!F:F,"&gt;="&amp;Conciliacao!BH183,df_extratos!F:F,"&lt;"&amp;Conciliacao!BH183+1,df_extratos!G:G,"CREDITO")</f>
        <v/>
      </c>
      <c r="I183" s="9">
        <f>H183-SUM(B183:G183)</f>
        <v/>
      </c>
      <c r="J183" s="4">
        <f>SUMIFS(df_blueme_sem_parcelamento!E:E,df_blueme_sem_parcelamento!H:H,Conciliacao!A183)*(-1)</f>
        <v/>
      </c>
      <c r="K183" s="4">
        <f>SUMIFS(df_blueme_com_parcelamento!J:J,df_blueme_com_parcelamento!M:M,Conciliacao!A183)*(-1)</f>
        <v/>
      </c>
      <c r="L183" s="4">
        <f>SUMIFS(df_mutuos!N:N,df_mutuos!B:B,Conciliacao!A183)*(-1)</f>
        <v/>
      </c>
      <c r="M183" s="8">
        <f>SUMIFS(df_bloqueios_judiciais!G:G,df_bloqueios_judiciais!D:D,Conciliacao!A183,df_bloqueios_judiciais!G:G,"&lt;0")</f>
        <v/>
      </c>
      <c r="N183" s="10">
        <f>SUMIFS(df_extratos!I:I,df_extratos!F:F,"&gt;="&amp;Conciliacao!BE183,df_extratos!F:F,"&lt;"&amp;Conciliacao!BE183+1,df_extratos!G:G,"DEBITO")
+SUMIFS(df_extratos!I:I,df_extratos!F:F,"&gt;="&amp;Conciliacao!A183, df_extratos!F:F,"&lt;"&amp;Conciliacao!A183+1, df_extratos!G:G,"DEBITO")
+SUMIFS(df_extratos!I:I,df_extratos!F:F,"&gt;="&amp;Conciliacao!BF183,df_extratos!F:F,"&lt;"&amp;Conciliacao!BF183+1,df_extratos!G:G,"DEBITO")
+SUMIFS(df_extratos!I:I,df_extratos!F:F,"&gt;="&amp;Conciliacao!BG183,df_extratos!F:F,"&lt;"&amp;Conciliacao!BG183+1,df_extratos!G:G,"DEBITO")
+SUMIFS(df_extratos!I:I,df_extratos!F:F,"&gt;="&amp;Conciliacao!BH183,df_extratos!F:F,"&lt;"&amp;Conciliacao!BH183+1,df_extratos!G:G,"DEBITO")</f>
        <v/>
      </c>
      <c r="O183" s="11">
        <f>N183-SUM(J183:M183)</f>
        <v/>
      </c>
      <c r="P183" s="25">
        <f>SUMIFS(df_ajustes_conciliaco!D:D,df_ajustes_conciliaco!C:C,Conciliacao!A183)</f>
        <v/>
      </c>
      <c r="Q183" s="22">
        <f>O183+I183-P183</f>
        <v/>
      </c>
      <c r="BE183" s="20" t="n">
        <v>45839.5</v>
      </c>
      <c r="BF183" s="20" t="n">
        <v>45839.125</v>
      </c>
      <c r="BG183" s="20" t="n">
        <v>45839.54166666666</v>
      </c>
      <c r="BH183" s="20" t="n">
        <v>45839.625</v>
      </c>
    </row>
    <row r="184">
      <c r="A184" s="5">
        <f>A183+1</f>
        <v/>
      </c>
      <c r="B184" s="3">
        <f>-SUMIFS(df_extrato_zig!G:G,df_extrato_zig!E:E,Conciliacao!A184,df_extrato_zig!D:D,"Saque")-SUMIFS(df_extrato_zig!G:G,df_extrato_zig!E:E,Conciliacao!A184,df_extrato_zig!D:D,"Antecipação")</f>
        <v/>
      </c>
      <c r="C184" s="3">
        <f>SUMIFS(df_extrato_zig!E:E,df_extrato_zig!L:L,Conciliacao!A184,df_extrato_zig!F:F,"DINHEIRO")</f>
        <v/>
      </c>
      <c r="D184" s="3">
        <f>SUMIFS(view_parc_agrup!H:H,view_parc_agrup!G:G,Conciliacao!A184)</f>
        <v/>
      </c>
      <c r="E184" s="3">
        <f>SUMIFS(df_eventos!F:F,df_eventos!H:H,Conciliacao!A184)</f>
        <v/>
      </c>
      <c r="F184" s="3">
        <f>SUMIFS(df_mutuos!M:M,df_mutuos!B:B,Conciliacao!A184)</f>
        <v/>
      </c>
      <c r="G184" s="6">
        <f>SUMIFS(df_bloqueios_judiciais!G:G,df_bloqueios_judiciais!D:D,Conciliacao!A184,df_bloqueios_judiciais!G:G,"&gt;0")</f>
        <v/>
      </c>
      <c r="H184" s="7">
        <f>SUMIFS(df_extratos!I:I,df_extratos!F:F,"&gt;="&amp;Conciliacao!BE184,df_extratos!F:F,"&lt;"&amp;Conciliacao!BE184+1,df_extratos!G:G,"CREDITO")
+SUMIFS(df_extratos!I:I,df_extratos!F:F,"&gt;="&amp;Conciliacao!A184, df_extratos!F:F,"&lt;"&amp;Conciliacao!A184+1, df_extratos!G:G,"CREDITO")
+SUMIFS(df_extratos!I:I,df_extratos!F:F,"&gt;="&amp;Conciliacao!BF184,df_extratos!F:F,"&lt;"&amp;Conciliacao!BF184+1,df_extratos!G:G,"CREDITO")
+SUMIFS(df_extratos!I:I,df_extratos!F:F,"&gt;="&amp;Conciliacao!BG184,df_extratos!F:F,"&lt;"&amp;Conciliacao!BG184+1,df_extratos!G:G,"CREDITO")
+SUMIFS(df_extratos!I:I,df_extratos!F:F,"&gt;="&amp;Conciliacao!BH184,df_extratos!F:F,"&lt;"&amp;Conciliacao!BH184+1,df_extratos!G:G,"CREDITO")</f>
        <v/>
      </c>
      <c r="I184" s="9">
        <f>H184-SUM(B184:G184)</f>
        <v/>
      </c>
      <c r="J184" s="4">
        <f>SUMIFS(df_blueme_sem_parcelamento!E:E,df_blueme_sem_parcelamento!H:H,Conciliacao!A184)*(-1)</f>
        <v/>
      </c>
      <c r="K184" s="4">
        <f>SUMIFS(df_blueme_com_parcelamento!J:J,df_blueme_com_parcelamento!M:M,Conciliacao!A184)*(-1)</f>
        <v/>
      </c>
      <c r="L184" s="4">
        <f>SUMIFS(df_mutuos!N:N,df_mutuos!B:B,Conciliacao!A184)*(-1)</f>
        <v/>
      </c>
      <c r="M184" s="8">
        <f>SUMIFS(df_bloqueios_judiciais!G:G,df_bloqueios_judiciais!D:D,Conciliacao!A184,df_bloqueios_judiciais!G:G,"&lt;0")</f>
        <v/>
      </c>
      <c r="N184" s="10">
        <f>SUMIFS(df_extratos!I:I,df_extratos!F:F,"&gt;="&amp;Conciliacao!BE184,df_extratos!F:F,"&lt;"&amp;Conciliacao!BE184+1,df_extratos!G:G,"DEBITO")
+SUMIFS(df_extratos!I:I,df_extratos!F:F,"&gt;="&amp;Conciliacao!A184, df_extratos!F:F,"&lt;"&amp;Conciliacao!A184+1, df_extratos!G:G,"DEBITO")
+SUMIFS(df_extratos!I:I,df_extratos!F:F,"&gt;="&amp;Conciliacao!BF184,df_extratos!F:F,"&lt;"&amp;Conciliacao!BF184+1,df_extratos!G:G,"DEBITO")
+SUMIFS(df_extratos!I:I,df_extratos!F:F,"&gt;="&amp;Conciliacao!BG184,df_extratos!F:F,"&lt;"&amp;Conciliacao!BG184+1,df_extratos!G:G,"DEBITO")
+SUMIFS(df_extratos!I:I,df_extratos!F:F,"&gt;="&amp;Conciliacao!BH184,df_extratos!F:F,"&lt;"&amp;Conciliacao!BH184+1,df_extratos!G:G,"DEBITO")</f>
        <v/>
      </c>
      <c r="O184" s="11">
        <f>N184-SUM(J184:M184)</f>
        <v/>
      </c>
      <c r="P184" s="25">
        <f>SUMIFS(df_ajustes_conciliaco!D:D,df_ajustes_conciliaco!C:C,Conciliacao!A184)</f>
        <v/>
      </c>
      <c r="Q184" s="22">
        <f>O184+I184-P184</f>
        <v/>
      </c>
      <c r="BE184" s="20" t="n">
        <v>45840.5</v>
      </c>
      <c r="BF184" s="20" t="n">
        <v>45840.125</v>
      </c>
      <c r="BG184" s="20" t="n">
        <v>45840.54166666666</v>
      </c>
      <c r="BH184" s="20" t="n">
        <v>45840.625</v>
      </c>
    </row>
    <row r="185">
      <c r="A185" s="5">
        <f>A184+1</f>
        <v/>
      </c>
      <c r="B185" s="3">
        <f>-SUMIFS(df_extrato_zig!G:G,df_extrato_zig!E:E,Conciliacao!A185,df_extrato_zig!D:D,"Saque")-SUMIFS(df_extrato_zig!G:G,df_extrato_zig!E:E,Conciliacao!A185,df_extrato_zig!D:D,"Antecipação")</f>
        <v/>
      </c>
      <c r="C185" s="3">
        <f>SUMIFS(df_extrato_zig!E:E,df_extrato_zig!L:L,Conciliacao!A185,df_extrato_zig!F:F,"DINHEIRO")</f>
        <v/>
      </c>
      <c r="D185" s="3">
        <f>SUMIFS(view_parc_agrup!H:H,view_parc_agrup!G:G,Conciliacao!A185)</f>
        <v/>
      </c>
      <c r="E185" s="3">
        <f>SUMIFS(df_eventos!F:F,df_eventos!H:H,Conciliacao!A185)</f>
        <v/>
      </c>
      <c r="F185" s="3">
        <f>SUMIFS(df_mutuos!M:M,df_mutuos!B:B,Conciliacao!A185)</f>
        <v/>
      </c>
      <c r="G185" s="6">
        <f>SUMIFS(df_bloqueios_judiciais!G:G,df_bloqueios_judiciais!D:D,Conciliacao!A185,df_bloqueios_judiciais!G:G,"&gt;0")</f>
        <v/>
      </c>
      <c r="H185" s="7">
        <f>SUMIFS(df_extratos!I:I,df_extratos!F:F,"&gt;="&amp;Conciliacao!BE185,df_extratos!F:F,"&lt;"&amp;Conciliacao!BE185+1,df_extratos!G:G,"CREDITO")
+SUMIFS(df_extratos!I:I,df_extratos!F:F,"&gt;="&amp;Conciliacao!A185, df_extratos!F:F,"&lt;"&amp;Conciliacao!A185+1, df_extratos!G:G,"CREDITO")
+SUMIFS(df_extratos!I:I,df_extratos!F:F,"&gt;="&amp;Conciliacao!BF185,df_extratos!F:F,"&lt;"&amp;Conciliacao!BF185+1,df_extratos!G:G,"CREDITO")
+SUMIFS(df_extratos!I:I,df_extratos!F:F,"&gt;="&amp;Conciliacao!BG185,df_extratos!F:F,"&lt;"&amp;Conciliacao!BG185+1,df_extratos!G:G,"CREDITO")
+SUMIFS(df_extratos!I:I,df_extratos!F:F,"&gt;="&amp;Conciliacao!BH185,df_extratos!F:F,"&lt;"&amp;Conciliacao!BH185+1,df_extratos!G:G,"CREDITO")</f>
        <v/>
      </c>
      <c r="I185" s="9">
        <f>H185-SUM(B185:G185)</f>
        <v/>
      </c>
      <c r="J185" s="4">
        <f>SUMIFS(df_blueme_sem_parcelamento!E:E,df_blueme_sem_parcelamento!H:H,Conciliacao!A185)*(-1)</f>
        <v/>
      </c>
      <c r="K185" s="4">
        <f>SUMIFS(df_blueme_com_parcelamento!J:J,df_blueme_com_parcelamento!M:M,Conciliacao!A185)*(-1)</f>
        <v/>
      </c>
      <c r="L185" s="4">
        <f>SUMIFS(df_mutuos!N:N,df_mutuos!B:B,Conciliacao!A185)*(-1)</f>
        <v/>
      </c>
      <c r="M185" s="8">
        <f>SUMIFS(df_bloqueios_judiciais!G:G,df_bloqueios_judiciais!D:D,Conciliacao!A185,df_bloqueios_judiciais!G:G,"&lt;0")</f>
        <v/>
      </c>
      <c r="N185" s="10">
        <f>SUMIFS(df_extratos!I:I,df_extratos!F:F,"&gt;="&amp;Conciliacao!BE185,df_extratos!F:F,"&lt;"&amp;Conciliacao!BE185+1,df_extratos!G:G,"DEBITO")
+SUMIFS(df_extratos!I:I,df_extratos!F:F,"&gt;="&amp;Conciliacao!A185, df_extratos!F:F,"&lt;"&amp;Conciliacao!A185+1, df_extratos!G:G,"DEBITO")
+SUMIFS(df_extratos!I:I,df_extratos!F:F,"&gt;="&amp;Conciliacao!BF185,df_extratos!F:F,"&lt;"&amp;Conciliacao!BF185+1,df_extratos!G:G,"DEBITO")
+SUMIFS(df_extratos!I:I,df_extratos!F:F,"&gt;="&amp;Conciliacao!BG185,df_extratos!F:F,"&lt;"&amp;Conciliacao!BG185+1,df_extratos!G:G,"DEBITO")
+SUMIFS(df_extratos!I:I,df_extratos!F:F,"&gt;="&amp;Conciliacao!BH185,df_extratos!F:F,"&lt;"&amp;Conciliacao!BH185+1,df_extratos!G:G,"DEBITO")</f>
        <v/>
      </c>
      <c r="O185" s="11">
        <f>N185-SUM(J185:M185)</f>
        <v/>
      </c>
      <c r="P185" s="25">
        <f>SUMIFS(df_ajustes_conciliaco!D:D,df_ajustes_conciliaco!C:C,Conciliacao!A185)</f>
        <v/>
      </c>
      <c r="Q185" s="22">
        <f>O185+I185-P185</f>
        <v/>
      </c>
      <c r="BE185" s="20" t="n">
        <v>45841.5</v>
      </c>
      <c r="BF185" s="20" t="n">
        <v>45841.125</v>
      </c>
      <c r="BG185" s="20" t="n">
        <v>45841.54166666666</v>
      </c>
      <c r="BH185" s="20" t="n">
        <v>45841.625</v>
      </c>
    </row>
    <row r="186">
      <c r="A186" s="5">
        <f>A185+1</f>
        <v/>
      </c>
      <c r="B186" s="3">
        <f>-SUMIFS(df_extrato_zig!G:G,df_extrato_zig!E:E,Conciliacao!A186,df_extrato_zig!D:D,"Saque")-SUMIFS(df_extrato_zig!G:G,df_extrato_zig!E:E,Conciliacao!A186,df_extrato_zig!D:D,"Antecipação")</f>
        <v/>
      </c>
      <c r="C186" s="3">
        <f>SUMIFS(df_extrato_zig!E:E,df_extrato_zig!L:L,Conciliacao!A186,df_extrato_zig!F:F,"DINHEIRO")</f>
        <v/>
      </c>
      <c r="D186" s="3">
        <f>SUMIFS(view_parc_agrup!H:H,view_parc_agrup!G:G,Conciliacao!A186)</f>
        <v/>
      </c>
      <c r="E186" s="3">
        <f>SUMIFS(df_eventos!F:F,df_eventos!H:H,Conciliacao!A186)</f>
        <v/>
      </c>
      <c r="F186" s="3">
        <f>SUMIFS(df_mutuos!M:M,df_mutuos!B:B,Conciliacao!A186)</f>
        <v/>
      </c>
      <c r="G186" s="6">
        <f>SUMIFS(df_bloqueios_judiciais!G:G,df_bloqueios_judiciais!D:D,Conciliacao!A186,df_bloqueios_judiciais!G:G,"&gt;0")</f>
        <v/>
      </c>
      <c r="H186" s="7">
        <f>SUMIFS(df_extratos!I:I,df_extratos!F:F,"&gt;="&amp;Conciliacao!BE186,df_extratos!F:F,"&lt;"&amp;Conciliacao!BE186+1,df_extratos!G:G,"CREDITO")
+SUMIFS(df_extratos!I:I,df_extratos!F:F,"&gt;="&amp;Conciliacao!A186, df_extratos!F:F,"&lt;"&amp;Conciliacao!A186+1, df_extratos!G:G,"CREDITO")
+SUMIFS(df_extratos!I:I,df_extratos!F:F,"&gt;="&amp;Conciliacao!BF186,df_extratos!F:F,"&lt;"&amp;Conciliacao!BF186+1,df_extratos!G:G,"CREDITO")
+SUMIFS(df_extratos!I:I,df_extratos!F:F,"&gt;="&amp;Conciliacao!BG186,df_extratos!F:F,"&lt;"&amp;Conciliacao!BG186+1,df_extratos!G:G,"CREDITO")
+SUMIFS(df_extratos!I:I,df_extratos!F:F,"&gt;="&amp;Conciliacao!BH186,df_extratos!F:F,"&lt;"&amp;Conciliacao!BH186+1,df_extratos!G:G,"CREDITO")</f>
        <v/>
      </c>
      <c r="I186" s="9">
        <f>H186-SUM(B186:G186)</f>
        <v/>
      </c>
      <c r="J186" s="4">
        <f>SUMIFS(df_blueme_sem_parcelamento!E:E,df_blueme_sem_parcelamento!H:H,Conciliacao!A186)*(-1)</f>
        <v/>
      </c>
      <c r="K186" s="4">
        <f>SUMIFS(df_blueme_com_parcelamento!J:J,df_blueme_com_parcelamento!M:M,Conciliacao!A186)*(-1)</f>
        <v/>
      </c>
      <c r="L186" s="4">
        <f>SUMIFS(df_mutuos!N:N,df_mutuos!B:B,Conciliacao!A186)*(-1)</f>
        <v/>
      </c>
      <c r="M186" s="8">
        <f>SUMIFS(df_bloqueios_judiciais!G:G,df_bloqueios_judiciais!D:D,Conciliacao!A186,df_bloqueios_judiciais!G:G,"&lt;0")</f>
        <v/>
      </c>
      <c r="N186" s="10">
        <f>SUMIFS(df_extratos!I:I,df_extratos!F:F,"&gt;="&amp;Conciliacao!BE186,df_extratos!F:F,"&lt;"&amp;Conciliacao!BE186+1,df_extratos!G:G,"DEBITO")
+SUMIFS(df_extratos!I:I,df_extratos!F:F,"&gt;="&amp;Conciliacao!A186, df_extratos!F:F,"&lt;"&amp;Conciliacao!A186+1, df_extratos!G:G,"DEBITO")
+SUMIFS(df_extratos!I:I,df_extratos!F:F,"&gt;="&amp;Conciliacao!BF186,df_extratos!F:F,"&lt;"&amp;Conciliacao!BF186+1,df_extratos!G:G,"DEBITO")
+SUMIFS(df_extratos!I:I,df_extratos!F:F,"&gt;="&amp;Conciliacao!BG186,df_extratos!F:F,"&lt;"&amp;Conciliacao!BG186+1,df_extratos!G:G,"DEBITO")
+SUMIFS(df_extratos!I:I,df_extratos!F:F,"&gt;="&amp;Conciliacao!BH186,df_extratos!F:F,"&lt;"&amp;Conciliacao!BH186+1,df_extratos!G:G,"DEBITO")</f>
        <v/>
      </c>
      <c r="O186" s="11">
        <f>N186-SUM(J186:M186)</f>
        <v/>
      </c>
      <c r="P186" s="25">
        <f>SUMIFS(df_ajustes_conciliaco!D:D,df_ajustes_conciliaco!C:C,Conciliacao!A186)</f>
        <v/>
      </c>
      <c r="Q186" s="22">
        <f>O186+I186-P186</f>
        <v/>
      </c>
      <c r="BE186" s="20" t="n">
        <v>45842.5</v>
      </c>
      <c r="BF186" s="20" t="n">
        <v>45842.125</v>
      </c>
      <c r="BG186" s="20" t="n">
        <v>45842.54166666666</v>
      </c>
      <c r="BH186" s="20" t="n">
        <v>45842.625</v>
      </c>
    </row>
    <row r="187">
      <c r="A187" s="5">
        <f>A186+1</f>
        <v/>
      </c>
      <c r="B187" s="3">
        <f>-SUMIFS(df_extrato_zig!G:G,df_extrato_zig!E:E,Conciliacao!A187,df_extrato_zig!D:D,"Saque")-SUMIFS(df_extrato_zig!G:G,df_extrato_zig!E:E,Conciliacao!A187,df_extrato_zig!D:D,"Antecipação")</f>
        <v/>
      </c>
      <c r="C187" s="3">
        <f>SUMIFS(df_extrato_zig!E:E,df_extrato_zig!L:L,Conciliacao!A187,df_extrato_zig!F:F,"DINHEIRO")</f>
        <v/>
      </c>
      <c r="D187" s="3">
        <f>SUMIFS(view_parc_agrup!H:H,view_parc_agrup!G:G,Conciliacao!A187)</f>
        <v/>
      </c>
      <c r="E187" s="3">
        <f>SUMIFS(df_eventos!F:F,df_eventos!H:H,Conciliacao!A187)</f>
        <v/>
      </c>
      <c r="F187" s="3">
        <f>SUMIFS(df_mutuos!M:M,df_mutuos!B:B,Conciliacao!A187)</f>
        <v/>
      </c>
      <c r="G187" s="6">
        <f>SUMIFS(df_bloqueios_judiciais!G:G,df_bloqueios_judiciais!D:D,Conciliacao!A187,df_bloqueios_judiciais!G:G,"&gt;0")</f>
        <v/>
      </c>
      <c r="H187" s="7">
        <f>SUMIFS(df_extratos!I:I,df_extratos!F:F,"&gt;="&amp;Conciliacao!BE187,df_extratos!F:F,"&lt;"&amp;Conciliacao!BE187+1,df_extratos!G:G,"CREDITO")
+SUMIFS(df_extratos!I:I,df_extratos!F:F,"&gt;="&amp;Conciliacao!A187, df_extratos!F:F,"&lt;"&amp;Conciliacao!A187+1, df_extratos!G:G,"CREDITO")
+SUMIFS(df_extratos!I:I,df_extratos!F:F,"&gt;="&amp;Conciliacao!BF187,df_extratos!F:F,"&lt;"&amp;Conciliacao!BF187+1,df_extratos!G:G,"CREDITO")
+SUMIFS(df_extratos!I:I,df_extratos!F:F,"&gt;="&amp;Conciliacao!BG187,df_extratos!F:F,"&lt;"&amp;Conciliacao!BG187+1,df_extratos!G:G,"CREDITO")
+SUMIFS(df_extratos!I:I,df_extratos!F:F,"&gt;="&amp;Conciliacao!BH187,df_extratos!F:F,"&lt;"&amp;Conciliacao!BH187+1,df_extratos!G:G,"CREDITO")</f>
        <v/>
      </c>
      <c r="I187" s="9">
        <f>H187-SUM(B187:G187)</f>
        <v/>
      </c>
      <c r="J187" s="4">
        <f>SUMIFS(df_blueme_sem_parcelamento!E:E,df_blueme_sem_parcelamento!H:H,Conciliacao!A187)*(-1)</f>
        <v/>
      </c>
      <c r="K187" s="4">
        <f>SUMIFS(df_blueme_com_parcelamento!J:J,df_blueme_com_parcelamento!M:M,Conciliacao!A187)*(-1)</f>
        <v/>
      </c>
      <c r="L187" s="4">
        <f>SUMIFS(df_mutuos!N:N,df_mutuos!B:B,Conciliacao!A187)*(-1)</f>
        <v/>
      </c>
      <c r="M187" s="8">
        <f>SUMIFS(df_bloqueios_judiciais!G:G,df_bloqueios_judiciais!D:D,Conciliacao!A187,df_bloqueios_judiciais!G:G,"&lt;0")</f>
        <v/>
      </c>
      <c r="N187" s="10">
        <f>SUMIFS(df_extratos!I:I,df_extratos!F:F,"&gt;="&amp;Conciliacao!BE187,df_extratos!F:F,"&lt;"&amp;Conciliacao!BE187+1,df_extratos!G:G,"DEBITO")
+SUMIFS(df_extratos!I:I,df_extratos!F:F,"&gt;="&amp;Conciliacao!A187, df_extratos!F:F,"&lt;"&amp;Conciliacao!A187+1, df_extratos!G:G,"DEBITO")
+SUMIFS(df_extratos!I:I,df_extratos!F:F,"&gt;="&amp;Conciliacao!BF187,df_extratos!F:F,"&lt;"&amp;Conciliacao!BF187+1,df_extratos!G:G,"DEBITO")
+SUMIFS(df_extratos!I:I,df_extratos!F:F,"&gt;="&amp;Conciliacao!BG187,df_extratos!F:F,"&lt;"&amp;Conciliacao!BG187+1,df_extratos!G:G,"DEBITO")
+SUMIFS(df_extratos!I:I,df_extratos!F:F,"&gt;="&amp;Conciliacao!BH187,df_extratos!F:F,"&lt;"&amp;Conciliacao!BH187+1,df_extratos!G:G,"DEBITO")</f>
        <v/>
      </c>
      <c r="O187" s="11">
        <f>N187-SUM(J187:M187)</f>
        <v/>
      </c>
      <c r="P187" s="25">
        <f>SUMIFS(df_ajustes_conciliaco!D:D,df_ajustes_conciliaco!C:C,Conciliacao!A187)</f>
        <v/>
      </c>
      <c r="Q187" s="22">
        <f>O187+I187-P187</f>
        <v/>
      </c>
      <c r="BE187" s="20" t="n">
        <v>45843.5</v>
      </c>
      <c r="BF187" s="20" t="n">
        <v>45843.125</v>
      </c>
      <c r="BG187" s="20" t="n">
        <v>45843.54166666666</v>
      </c>
      <c r="BH187" s="20" t="n">
        <v>45843.625</v>
      </c>
    </row>
    <row r="188">
      <c r="A188" s="5">
        <f>A187+1</f>
        <v/>
      </c>
      <c r="B188" s="3">
        <f>-SUMIFS(df_extrato_zig!G:G,df_extrato_zig!E:E,Conciliacao!A188,df_extrato_zig!D:D,"Saque")-SUMIFS(df_extrato_zig!G:G,df_extrato_zig!E:E,Conciliacao!A188,df_extrato_zig!D:D,"Antecipação")</f>
        <v/>
      </c>
      <c r="C188" s="3">
        <f>SUMIFS(df_extrato_zig!E:E,df_extrato_zig!L:L,Conciliacao!A188,df_extrato_zig!F:F,"DINHEIRO")</f>
        <v/>
      </c>
      <c r="D188" s="3">
        <f>SUMIFS(view_parc_agrup!H:H,view_parc_agrup!G:G,Conciliacao!A188)</f>
        <v/>
      </c>
      <c r="E188" s="3">
        <f>SUMIFS(df_eventos!F:F,df_eventos!H:H,Conciliacao!A188)</f>
        <v/>
      </c>
      <c r="F188" s="3">
        <f>SUMIFS(df_mutuos!M:M,df_mutuos!B:B,Conciliacao!A188)</f>
        <v/>
      </c>
      <c r="G188" s="6">
        <f>SUMIFS(df_bloqueios_judiciais!G:G,df_bloqueios_judiciais!D:D,Conciliacao!A188,df_bloqueios_judiciais!G:G,"&gt;0")</f>
        <v/>
      </c>
      <c r="H188" s="7">
        <f>SUMIFS(df_extratos!I:I,df_extratos!F:F,"&gt;="&amp;Conciliacao!BE188,df_extratos!F:F,"&lt;"&amp;Conciliacao!BE188+1,df_extratos!G:G,"CREDITO")
+SUMIFS(df_extratos!I:I,df_extratos!F:F,"&gt;="&amp;Conciliacao!A188, df_extratos!F:F,"&lt;"&amp;Conciliacao!A188+1, df_extratos!G:G,"CREDITO")
+SUMIFS(df_extratos!I:I,df_extratos!F:F,"&gt;="&amp;Conciliacao!BF188,df_extratos!F:F,"&lt;"&amp;Conciliacao!BF188+1,df_extratos!G:G,"CREDITO")
+SUMIFS(df_extratos!I:I,df_extratos!F:F,"&gt;="&amp;Conciliacao!BG188,df_extratos!F:F,"&lt;"&amp;Conciliacao!BG188+1,df_extratos!G:G,"CREDITO")
+SUMIFS(df_extratos!I:I,df_extratos!F:F,"&gt;="&amp;Conciliacao!BH188,df_extratos!F:F,"&lt;"&amp;Conciliacao!BH188+1,df_extratos!G:G,"CREDITO")</f>
        <v/>
      </c>
      <c r="I188" s="9">
        <f>H188-SUM(B188:G188)</f>
        <v/>
      </c>
      <c r="J188" s="4">
        <f>SUMIFS(df_blueme_sem_parcelamento!E:E,df_blueme_sem_parcelamento!H:H,Conciliacao!A188)*(-1)</f>
        <v/>
      </c>
      <c r="K188" s="4">
        <f>SUMIFS(df_blueme_com_parcelamento!J:J,df_blueme_com_parcelamento!M:M,Conciliacao!A188)*(-1)</f>
        <v/>
      </c>
      <c r="L188" s="4">
        <f>SUMIFS(df_mutuos!N:N,df_mutuos!B:B,Conciliacao!A188)*(-1)</f>
        <v/>
      </c>
      <c r="M188" s="8">
        <f>SUMIFS(df_bloqueios_judiciais!G:G,df_bloqueios_judiciais!D:D,Conciliacao!A188,df_bloqueios_judiciais!G:G,"&lt;0")</f>
        <v/>
      </c>
      <c r="N188" s="10">
        <f>SUMIFS(df_extratos!I:I,df_extratos!F:F,"&gt;="&amp;Conciliacao!BE188,df_extratos!F:F,"&lt;"&amp;Conciliacao!BE188+1,df_extratos!G:G,"DEBITO")
+SUMIFS(df_extratos!I:I,df_extratos!F:F,"&gt;="&amp;Conciliacao!A188, df_extratos!F:F,"&lt;"&amp;Conciliacao!A188+1, df_extratos!G:G,"DEBITO")
+SUMIFS(df_extratos!I:I,df_extratos!F:F,"&gt;="&amp;Conciliacao!BF188,df_extratos!F:F,"&lt;"&amp;Conciliacao!BF188+1,df_extratos!G:G,"DEBITO")
+SUMIFS(df_extratos!I:I,df_extratos!F:F,"&gt;="&amp;Conciliacao!BG188,df_extratos!F:F,"&lt;"&amp;Conciliacao!BG188+1,df_extratos!G:G,"DEBITO")
+SUMIFS(df_extratos!I:I,df_extratos!F:F,"&gt;="&amp;Conciliacao!BH188,df_extratos!F:F,"&lt;"&amp;Conciliacao!BH188+1,df_extratos!G:G,"DEBITO")</f>
        <v/>
      </c>
      <c r="O188" s="11">
        <f>N188-SUM(J188:M188)</f>
        <v/>
      </c>
      <c r="P188" s="25">
        <f>SUMIFS(df_ajustes_conciliaco!D:D,df_ajustes_conciliaco!C:C,Conciliacao!A188)</f>
        <v/>
      </c>
      <c r="Q188" s="22">
        <f>O188+I188-P188</f>
        <v/>
      </c>
      <c r="BE188" s="20" t="n">
        <v>45844.5</v>
      </c>
      <c r="BF188" s="20" t="n">
        <v>45844.125</v>
      </c>
      <c r="BG188" s="20" t="n">
        <v>45844.54166666666</v>
      </c>
      <c r="BH188" s="20" t="n">
        <v>45844.625</v>
      </c>
    </row>
    <row r="189">
      <c r="A189" s="5">
        <f>A188+1</f>
        <v/>
      </c>
      <c r="B189" s="3">
        <f>-SUMIFS(df_extrato_zig!G:G,df_extrato_zig!E:E,Conciliacao!A189,df_extrato_zig!D:D,"Saque")-SUMIFS(df_extrato_zig!G:G,df_extrato_zig!E:E,Conciliacao!A189,df_extrato_zig!D:D,"Antecipação")</f>
        <v/>
      </c>
      <c r="C189" s="3">
        <f>SUMIFS(df_extrato_zig!E:E,df_extrato_zig!L:L,Conciliacao!A189,df_extrato_zig!F:F,"DINHEIRO")</f>
        <v/>
      </c>
      <c r="D189" s="3">
        <f>SUMIFS(view_parc_agrup!H:H,view_parc_agrup!G:G,Conciliacao!A189)</f>
        <v/>
      </c>
      <c r="E189" s="3">
        <f>SUMIFS(df_eventos!F:F,df_eventos!H:H,Conciliacao!A189)</f>
        <v/>
      </c>
      <c r="F189" s="3">
        <f>SUMIFS(df_mutuos!M:M,df_mutuos!B:B,Conciliacao!A189)</f>
        <v/>
      </c>
      <c r="G189" s="6">
        <f>SUMIFS(df_bloqueios_judiciais!G:G,df_bloqueios_judiciais!D:D,Conciliacao!A189,df_bloqueios_judiciais!G:G,"&gt;0")</f>
        <v/>
      </c>
      <c r="H189" s="7">
        <f>SUMIFS(df_extratos!I:I,df_extratos!F:F,"&gt;="&amp;Conciliacao!BE189,df_extratos!F:F,"&lt;"&amp;Conciliacao!BE189+1,df_extratos!G:G,"CREDITO")
+SUMIFS(df_extratos!I:I,df_extratos!F:F,"&gt;="&amp;Conciliacao!A189, df_extratos!F:F,"&lt;"&amp;Conciliacao!A189+1, df_extratos!G:G,"CREDITO")
+SUMIFS(df_extratos!I:I,df_extratos!F:F,"&gt;="&amp;Conciliacao!BF189,df_extratos!F:F,"&lt;"&amp;Conciliacao!BF189+1,df_extratos!G:G,"CREDITO")
+SUMIFS(df_extratos!I:I,df_extratos!F:F,"&gt;="&amp;Conciliacao!BG189,df_extratos!F:F,"&lt;"&amp;Conciliacao!BG189+1,df_extratos!G:G,"CREDITO")
+SUMIFS(df_extratos!I:I,df_extratos!F:F,"&gt;="&amp;Conciliacao!BH189,df_extratos!F:F,"&lt;"&amp;Conciliacao!BH189+1,df_extratos!G:G,"CREDITO")</f>
        <v/>
      </c>
      <c r="I189" s="9">
        <f>H189-SUM(B189:G189)</f>
        <v/>
      </c>
      <c r="J189" s="4">
        <f>SUMIFS(df_blueme_sem_parcelamento!E:E,df_blueme_sem_parcelamento!H:H,Conciliacao!A189)*(-1)</f>
        <v/>
      </c>
      <c r="K189" s="4">
        <f>SUMIFS(df_blueme_com_parcelamento!J:J,df_blueme_com_parcelamento!M:M,Conciliacao!A189)*(-1)</f>
        <v/>
      </c>
      <c r="L189" s="4">
        <f>SUMIFS(df_mutuos!N:N,df_mutuos!B:B,Conciliacao!A189)*(-1)</f>
        <v/>
      </c>
      <c r="M189" s="8">
        <f>SUMIFS(df_bloqueios_judiciais!G:G,df_bloqueios_judiciais!D:D,Conciliacao!A189,df_bloqueios_judiciais!G:G,"&lt;0")</f>
        <v/>
      </c>
      <c r="N189" s="10">
        <f>SUMIFS(df_extratos!I:I,df_extratos!F:F,"&gt;="&amp;Conciliacao!BE189,df_extratos!F:F,"&lt;"&amp;Conciliacao!BE189+1,df_extratos!G:G,"DEBITO")
+SUMIFS(df_extratos!I:I,df_extratos!F:F,"&gt;="&amp;Conciliacao!A189, df_extratos!F:F,"&lt;"&amp;Conciliacao!A189+1, df_extratos!G:G,"DEBITO")
+SUMIFS(df_extratos!I:I,df_extratos!F:F,"&gt;="&amp;Conciliacao!BF189,df_extratos!F:F,"&lt;"&amp;Conciliacao!BF189+1,df_extratos!G:G,"DEBITO")
+SUMIFS(df_extratos!I:I,df_extratos!F:F,"&gt;="&amp;Conciliacao!BG189,df_extratos!F:F,"&lt;"&amp;Conciliacao!BG189+1,df_extratos!G:G,"DEBITO")
+SUMIFS(df_extratos!I:I,df_extratos!F:F,"&gt;="&amp;Conciliacao!BH189,df_extratos!F:F,"&lt;"&amp;Conciliacao!BH189+1,df_extratos!G:G,"DEBITO")</f>
        <v/>
      </c>
      <c r="O189" s="11">
        <f>N189-SUM(J189:M189)</f>
        <v/>
      </c>
      <c r="P189" s="25">
        <f>SUMIFS(df_ajustes_conciliaco!D:D,df_ajustes_conciliaco!C:C,Conciliacao!A189)</f>
        <v/>
      </c>
      <c r="Q189" s="22">
        <f>O189+I189-P189</f>
        <v/>
      </c>
      <c r="BE189" s="20" t="n">
        <v>45845.5</v>
      </c>
      <c r="BF189" s="20" t="n">
        <v>45845.125</v>
      </c>
      <c r="BG189" s="20" t="n">
        <v>45845.54166666666</v>
      </c>
      <c r="BH189" s="20" t="n">
        <v>45845.625</v>
      </c>
    </row>
    <row r="190">
      <c r="A190" s="5">
        <f>A189+1</f>
        <v/>
      </c>
      <c r="B190" s="3">
        <f>-SUMIFS(df_extrato_zig!G:G,df_extrato_zig!E:E,Conciliacao!A190,df_extrato_zig!D:D,"Saque")-SUMIFS(df_extrato_zig!G:G,df_extrato_zig!E:E,Conciliacao!A190,df_extrato_zig!D:D,"Antecipação")</f>
        <v/>
      </c>
      <c r="C190" s="3">
        <f>SUMIFS(df_extrato_zig!E:E,df_extrato_zig!L:L,Conciliacao!A190,df_extrato_zig!F:F,"DINHEIRO")</f>
        <v/>
      </c>
      <c r="D190" s="3">
        <f>SUMIFS(view_parc_agrup!H:H,view_parc_agrup!G:G,Conciliacao!A190)</f>
        <v/>
      </c>
      <c r="E190" s="3">
        <f>SUMIFS(df_eventos!F:F,df_eventos!H:H,Conciliacao!A190)</f>
        <v/>
      </c>
      <c r="F190" s="3">
        <f>SUMIFS(df_mutuos!M:M,df_mutuos!B:B,Conciliacao!A190)</f>
        <v/>
      </c>
      <c r="G190" s="6">
        <f>SUMIFS(df_bloqueios_judiciais!G:G,df_bloqueios_judiciais!D:D,Conciliacao!A190,df_bloqueios_judiciais!G:G,"&gt;0")</f>
        <v/>
      </c>
      <c r="H190" s="7">
        <f>SUMIFS(df_extratos!I:I,df_extratos!F:F,"&gt;="&amp;Conciliacao!BE190,df_extratos!F:F,"&lt;"&amp;Conciliacao!BE190+1,df_extratos!G:G,"CREDITO")
+SUMIFS(df_extratos!I:I,df_extratos!F:F,"&gt;="&amp;Conciliacao!A190, df_extratos!F:F,"&lt;"&amp;Conciliacao!A190+1, df_extratos!G:G,"CREDITO")
+SUMIFS(df_extratos!I:I,df_extratos!F:F,"&gt;="&amp;Conciliacao!BF190,df_extratos!F:F,"&lt;"&amp;Conciliacao!BF190+1,df_extratos!G:G,"CREDITO")
+SUMIFS(df_extratos!I:I,df_extratos!F:F,"&gt;="&amp;Conciliacao!BG190,df_extratos!F:F,"&lt;"&amp;Conciliacao!BG190+1,df_extratos!G:G,"CREDITO")
+SUMIFS(df_extratos!I:I,df_extratos!F:F,"&gt;="&amp;Conciliacao!BH190,df_extratos!F:F,"&lt;"&amp;Conciliacao!BH190+1,df_extratos!G:G,"CREDITO")</f>
        <v/>
      </c>
      <c r="I190" s="9">
        <f>H190-SUM(B190:G190)</f>
        <v/>
      </c>
      <c r="J190" s="4">
        <f>SUMIFS(df_blueme_sem_parcelamento!E:E,df_blueme_sem_parcelamento!H:H,Conciliacao!A190)*(-1)</f>
        <v/>
      </c>
      <c r="K190" s="4">
        <f>SUMIFS(df_blueme_com_parcelamento!J:J,df_blueme_com_parcelamento!M:M,Conciliacao!A190)*(-1)</f>
        <v/>
      </c>
      <c r="L190" s="4">
        <f>SUMIFS(df_mutuos!N:N,df_mutuos!B:B,Conciliacao!A190)*(-1)</f>
        <v/>
      </c>
      <c r="M190" s="8">
        <f>SUMIFS(df_bloqueios_judiciais!G:G,df_bloqueios_judiciais!D:D,Conciliacao!A190,df_bloqueios_judiciais!G:G,"&lt;0")</f>
        <v/>
      </c>
      <c r="N190" s="10">
        <f>SUMIFS(df_extratos!I:I,df_extratos!F:F,"&gt;="&amp;Conciliacao!BE190,df_extratos!F:F,"&lt;"&amp;Conciliacao!BE190+1,df_extratos!G:G,"DEBITO")
+SUMIFS(df_extratos!I:I,df_extratos!F:F,"&gt;="&amp;Conciliacao!A190, df_extratos!F:F,"&lt;"&amp;Conciliacao!A190+1, df_extratos!G:G,"DEBITO")
+SUMIFS(df_extratos!I:I,df_extratos!F:F,"&gt;="&amp;Conciliacao!BF190,df_extratos!F:F,"&lt;"&amp;Conciliacao!BF190+1,df_extratos!G:G,"DEBITO")
+SUMIFS(df_extratos!I:I,df_extratos!F:F,"&gt;="&amp;Conciliacao!BG190,df_extratos!F:F,"&lt;"&amp;Conciliacao!BG190+1,df_extratos!G:G,"DEBITO")
+SUMIFS(df_extratos!I:I,df_extratos!F:F,"&gt;="&amp;Conciliacao!BH190,df_extratos!F:F,"&lt;"&amp;Conciliacao!BH190+1,df_extratos!G:G,"DEBITO")</f>
        <v/>
      </c>
      <c r="O190" s="11">
        <f>N190-SUM(J190:M190)</f>
        <v/>
      </c>
      <c r="P190" s="25">
        <f>SUMIFS(df_ajustes_conciliaco!D:D,df_ajustes_conciliaco!C:C,Conciliacao!A190)</f>
        <v/>
      </c>
      <c r="Q190" s="22">
        <f>O190+I190-P190</f>
        <v/>
      </c>
      <c r="BE190" s="20" t="n">
        <v>45846.5</v>
      </c>
      <c r="BF190" s="20" t="n">
        <v>45846.125</v>
      </c>
      <c r="BG190" s="20" t="n">
        <v>45846.54166666666</v>
      </c>
      <c r="BH190" s="20" t="n">
        <v>45846.625</v>
      </c>
    </row>
    <row r="191">
      <c r="A191" s="5">
        <f>A190+1</f>
        <v/>
      </c>
      <c r="B191" s="3">
        <f>-SUMIFS(df_extrato_zig!G:G,df_extrato_zig!E:E,Conciliacao!A191,df_extrato_zig!D:D,"Saque")-SUMIFS(df_extrato_zig!G:G,df_extrato_zig!E:E,Conciliacao!A191,df_extrato_zig!D:D,"Antecipação")</f>
        <v/>
      </c>
      <c r="C191" s="3">
        <f>SUMIFS(df_extrato_zig!E:E,df_extrato_zig!L:L,Conciliacao!A191,df_extrato_zig!F:F,"DINHEIRO")</f>
        <v/>
      </c>
      <c r="D191" s="3">
        <f>SUMIFS(view_parc_agrup!H:H,view_parc_agrup!G:G,Conciliacao!A191)</f>
        <v/>
      </c>
      <c r="E191" s="3">
        <f>SUMIFS(df_eventos!F:F,df_eventos!H:H,Conciliacao!A191)</f>
        <v/>
      </c>
      <c r="F191" s="3">
        <f>SUMIFS(df_mutuos!M:M,df_mutuos!B:B,Conciliacao!A191)</f>
        <v/>
      </c>
      <c r="G191" s="6">
        <f>SUMIFS(df_bloqueios_judiciais!G:G,df_bloqueios_judiciais!D:D,Conciliacao!A191,df_bloqueios_judiciais!G:G,"&gt;0")</f>
        <v/>
      </c>
      <c r="H191" s="7">
        <f>SUMIFS(df_extratos!I:I,df_extratos!F:F,"&gt;="&amp;Conciliacao!BE191,df_extratos!F:F,"&lt;"&amp;Conciliacao!BE191+1,df_extratos!G:G,"CREDITO")
+SUMIFS(df_extratos!I:I,df_extratos!F:F,"&gt;="&amp;Conciliacao!A191, df_extratos!F:F,"&lt;"&amp;Conciliacao!A191+1, df_extratos!G:G,"CREDITO")
+SUMIFS(df_extratos!I:I,df_extratos!F:F,"&gt;="&amp;Conciliacao!BF191,df_extratos!F:F,"&lt;"&amp;Conciliacao!BF191+1,df_extratos!G:G,"CREDITO")
+SUMIFS(df_extratos!I:I,df_extratos!F:F,"&gt;="&amp;Conciliacao!BG191,df_extratos!F:F,"&lt;"&amp;Conciliacao!BG191+1,df_extratos!G:G,"CREDITO")
+SUMIFS(df_extratos!I:I,df_extratos!F:F,"&gt;="&amp;Conciliacao!BH191,df_extratos!F:F,"&lt;"&amp;Conciliacao!BH191+1,df_extratos!G:G,"CREDITO")</f>
        <v/>
      </c>
      <c r="I191" s="9">
        <f>H191-SUM(B191:G191)</f>
        <v/>
      </c>
      <c r="J191" s="4">
        <f>SUMIFS(df_blueme_sem_parcelamento!E:E,df_blueme_sem_parcelamento!H:H,Conciliacao!A191)*(-1)</f>
        <v/>
      </c>
      <c r="K191" s="4">
        <f>SUMIFS(df_blueme_com_parcelamento!J:J,df_blueme_com_parcelamento!M:M,Conciliacao!A191)*(-1)</f>
        <v/>
      </c>
      <c r="L191" s="4">
        <f>SUMIFS(df_mutuos!N:N,df_mutuos!B:B,Conciliacao!A191)*(-1)</f>
        <v/>
      </c>
      <c r="M191" s="8">
        <f>SUMIFS(df_bloqueios_judiciais!G:G,df_bloqueios_judiciais!D:D,Conciliacao!A191,df_bloqueios_judiciais!G:G,"&lt;0")</f>
        <v/>
      </c>
      <c r="N191" s="10">
        <f>SUMIFS(df_extratos!I:I,df_extratos!F:F,"&gt;="&amp;Conciliacao!BE191,df_extratos!F:F,"&lt;"&amp;Conciliacao!BE191+1,df_extratos!G:G,"DEBITO")
+SUMIFS(df_extratos!I:I,df_extratos!F:F,"&gt;="&amp;Conciliacao!A191, df_extratos!F:F,"&lt;"&amp;Conciliacao!A191+1, df_extratos!G:G,"DEBITO")
+SUMIFS(df_extratos!I:I,df_extratos!F:F,"&gt;="&amp;Conciliacao!BF191,df_extratos!F:F,"&lt;"&amp;Conciliacao!BF191+1,df_extratos!G:G,"DEBITO")
+SUMIFS(df_extratos!I:I,df_extratos!F:F,"&gt;="&amp;Conciliacao!BG191,df_extratos!F:F,"&lt;"&amp;Conciliacao!BG191+1,df_extratos!G:G,"DEBITO")
+SUMIFS(df_extratos!I:I,df_extratos!F:F,"&gt;="&amp;Conciliacao!BH191,df_extratos!F:F,"&lt;"&amp;Conciliacao!BH191+1,df_extratos!G:G,"DEBITO")</f>
        <v/>
      </c>
      <c r="O191" s="11">
        <f>N191-SUM(J191:M191)</f>
        <v/>
      </c>
      <c r="P191" s="25">
        <f>SUMIFS(df_ajustes_conciliaco!D:D,df_ajustes_conciliaco!C:C,Conciliacao!A191)</f>
        <v/>
      </c>
      <c r="Q191" s="22">
        <f>O191+I191-P191</f>
        <v/>
      </c>
      <c r="BE191" s="20" t="n">
        <v>45847.5</v>
      </c>
      <c r="BF191" s="20" t="n">
        <v>45847.125</v>
      </c>
      <c r="BG191" s="20" t="n">
        <v>45847.54166666666</v>
      </c>
      <c r="BH191" s="20" t="n">
        <v>45847.625</v>
      </c>
    </row>
    <row r="192">
      <c r="A192" s="5">
        <f>A191+1</f>
        <v/>
      </c>
      <c r="B192" s="3">
        <f>-SUMIFS(df_extrato_zig!G:G,df_extrato_zig!E:E,Conciliacao!A192,df_extrato_zig!D:D,"Saque")-SUMIFS(df_extrato_zig!G:G,df_extrato_zig!E:E,Conciliacao!A192,df_extrato_zig!D:D,"Antecipação")</f>
        <v/>
      </c>
      <c r="C192" s="3">
        <f>SUMIFS(df_extrato_zig!E:E,df_extrato_zig!L:L,Conciliacao!A192,df_extrato_zig!F:F,"DINHEIRO")</f>
        <v/>
      </c>
      <c r="D192" s="3">
        <f>SUMIFS(view_parc_agrup!H:H,view_parc_agrup!G:G,Conciliacao!A192)</f>
        <v/>
      </c>
      <c r="E192" s="3">
        <f>SUMIFS(df_eventos!F:F,df_eventos!H:H,Conciliacao!A192)</f>
        <v/>
      </c>
      <c r="F192" s="3">
        <f>SUMIFS(df_mutuos!M:M,df_mutuos!B:B,Conciliacao!A192)</f>
        <v/>
      </c>
      <c r="G192" s="6">
        <f>SUMIFS(df_bloqueios_judiciais!G:G,df_bloqueios_judiciais!D:D,Conciliacao!A192,df_bloqueios_judiciais!G:G,"&gt;0")</f>
        <v/>
      </c>
      <c r="H192" s="7">
        <f>SUMIFS(df_extratos!I:I,df_extratos!F:F,"&gt;="&amp;Conciliacao!BE192,df_extratos!F:F,"&lt;"&amp;Conciliacao!BE192+1,df_extratos!G:G,"CREDITO")
+SUMIFS(df_extratos!I:I,df_extratos!F:F,"&gt;="&amp;Conciliacao!A192, df_extratos!F:F,"&lt;"&amp;Conciliacao!A192+1, df_extratos!G:G,"CREDITO")
+SUMIFS(df_extratos!I:I,df_extratos!F:F,"&gt;="&amp;Conciliacao!BF192,df_extratos!F:F,"&lt;"&amp;Conciliacao!BF192+1,df_extratos!G:G,"CREDITO")
+SUMIFS(df_extratos!I:I,df_extratos!F:F,"&gt;="&amp;Conciliacao!BG192,df_extratos!F:F,"&lt;"&amp;Conciliacao!BG192+1,df_extratos!G:G,"CREDITO")
+SUMIFS(df_extratos!I:I,df_extratos!F:F,"&gt;="&amp;Conciliacao!BH192,df_extratos!F:F,"&lt;"&amp;Conciliacao!BH192+1,df_extratos!G:G,"CREDITO")</f>
        <v/>
      </c>
      <c r="I192" s="9">
        <f>H192-SUM(B192:G192)</f>
        <v/>
      </c>
      <c r="J192" s="4">
        <f>SUMIFS(df_blueme_sem_parcelamento!E:E,df_blueme_sem_parcelamento!H:H,Conciliacao!A192)*(-1)</f>
        <v/>
      </c>
      <c r="K192" s="4">
        <f>SUMIFS(df_blueme_com_parcelamento!J:J,df_blueme_com_parcelamento!M:M,Conciliacao!A192)*(-1)</f>
        <v/>
      </c>
      <c r="L192" s="4">
        <f>SUMIFS(df_mutuos!N:N,df_mutuos!B:B,Conciliacao!A192)*(-1)</f>
        <v/>
      </c>
      <c r="M192" s="8">
        <f>SUMIFS(df_bloqueios_judiciais!G:G,df_bloqueios_judiciais!D:D,Conciliacao!A192,df_bloqueios_judiciais!G:G,"&lt;0")</f>
        <v/>
      </c>
      <c r="N192" s="10">
        <f>SUMIFS(df_extratos!I:I,df_extratos!F:F,"&gt;="&amp;Conciliacao!BE192,df_extratos!F:F,"&lt;"&amp;Conciliacao!BE192+1,df_extratos!G:G,"DEBITO")
+SUMIFS(df_extratos!I:I,df_extratos!F:F,"&gt;="&amp;Conciliacao!A192, df_extratos!F:F,"&lt;"&amp;Conciliacao!A192+1, df_extratos!G:G,"DEBITO")
+SUMIFS(df_extratos!I:I,df_extratos!F:F,"&gt;="&amp;Conciliacao!BF192,df_extratos!F:F,"&lt;"&amp;Conciliacao!BF192+1,df_extratos!G:G,"DEBITO")
+SUMIFS(df_extratos!I:I,df_extratos!F:F,"&gt;="&amp;Conciliacao!BG192,df_extratos!F:F,"&lt;"&amp;Conciliacao!BG192+1,df_extratos!G:G,"DEBITO")
+SUMIFS(df_extratos!I:I,df_extratos!F:F,"&gt;="&amp;Conciliacao!BH192,df_extratos!F:F,"&lt;"&amp;Conciliacao!BH192+1,df_extratos!G:G,"DEBITO")</f>
        <v/>
      </c>
      <c r="O192" s="11">
        <f>N192-SUM(J192:M192)</f>
        <v/>
      </c>
      <c r="P192" s="25">
        <f>SUMIFS(df_ajustes_conciliaco!D:D,df_ajustes_conciliaco!C:C,Conciliacao!A192)</f>
        <v/>
      </c>
      <c r="Q192" s="22">
        <f>O192+I192-P192</f>
        <v/>
      </c>
      <c r="BE192" s="20" t="n">
        <v>45848.5</v>
      </c>
      <c r="BF192" s="20" t="n">
        <v>45848.125</v>
      </c>
      <c r="BG192" s="20" t="n">
        <v>45848.54166666666</v>
      </c>
      <c r="BH192" s="20" t="n">
        <v>45848.625</v>
      </c>
    </row>
    <row r="193">
      <c r="A193" s="5">
        <f>A192+1</f>
        <v/>
      </c>
      <c r="B193" s="3">
        <f>-SUMIFS(df_extrato_zig!G:G,df_extrato_zig!E:E,Conciliacao!A193,df_extrato_zig!D:D,"Saque")-SUMIFS(df_extrato_zig!G:G,df_extrato_zig!E:E,Conciliacao!A193,df_extrato_zig!D:D,"Antecipação")</f>
        <v/>
      </c>
      <c r="C193" s="3">
        <f>SUMIFS(df_extrato_zig!E:E,df_extrato_zig!L:L,Conciliacao!A193,df_extrato_zig!F:F,"DINHEIRO")</f>
        <v/>
      </c>
      <c r="D193" s="3">
        <f>SUMIFS(view_parc_agrup!H:H,view_parc_agrup!G:G,Conciliacao!A193)</f>
        <v/>
      </c>
      <c r="E193" s="3">
        <f>SUMIFS(df_eventos!F:F,df_eventos!H:H,Conciliacao!A193)</f>
        <v/>
      </c>
      <c r="F193" s="3">
        <f>SUMIFS(df_mutuos!M:M,df_mutuos!B:B,Conciliacao!A193)</f>
        <v/>
      </c>
      <c r="G193" s="6">
        <f>SUMIFS(df_bloqueios_judiciais!G:G,df_bloqueios_judiciais!D:D,Conciliacao!A193,df_bloqueios_judiciais!G:G,"&gt;0")</f>
        <v/>
      </c>
      <c r="H193" s="7">
        <f>SUMIFS(df_extratos!I:I,df_extratos!F:F,"&gt;="&amp;Conciliacao!BE193,df_extratos!F:F,"&lt;"&amp;Conciliacao!BE193+1,df_extratos!G:G,"CREDITO")
+SUMIFS(df_extratos!I:I,df_extratos!F:F,"&gt;="&amp;Conciliacao!A193, df_extratos!F:F,"&lt;"&amp;Conciliacao!A193+1, df_extratos!G:G,"CREDITO")
+SUMIFS(df_extratos!I:I,df_extratos!F:F,"&gt;="&amp;Conciliacao!BF193,df_extratos!F:F,"&lt;"&amp;Conciliacao!BF193+1,df_extratos!G:G,"CREDITO")
+SUMIFS(df_extratos!I:I,df_extratos!F:F,"&gt;="&amp;Conciliacao!BG193,df_extratos!F:F,"&lt;"&amp;Conciliacao!BG193+1,df_extratos!G:G,"CREDITO")
+SUMIFS(df_extratos!I:I,df_extratos!F:F,"&gt;="&amp;Conciliacao!BH193,df_extratos!F:F,"&lt;"&amp;Conciliacao!BH193+1,df_extratos!G:G,"CREDITO")</f>
        <v/>
      </c>
      <c r="I193" s="9">
        <f>H193-SUM(B193:G193)</f>
        <v/>
      </c>
      <c r="J193" s="4">
        <f>SUMIFS(df_blueme_sem_parcelamento!E:E,df_blueme_sem_parcelamento!H:H,Conciliacao!A193)*(-1)</f>
        <v/>
      </c>
      <c r="K193" s="4">
        <f>SUMIFS(df_blueme_com_parcelamento!J:J,df_blueme_com_parcelamento!M:M,Conciliacao!A193)*(-1)</f>
        <v/>
      </c>
      <c r="L193" s="4">
        <f>SUMIFS(df_mutuos!N:N,df_mutuos!B:B,Conciliacao!A193)*(-1)</f>
        <v/>
      </c>
      <c r="M193" s="8">
        <f>SUMIFS(df_bloqueios_judiciais!G:G,df_bloqueios_judiciais!D:D,Conciliacao!A193,df_bloqueios_judiciais!G:G,"&lt;0")</f>
        <v/>
      </c>
      <c r="N193" s="10">
        <f>SUMIFS(df_extratos!I:I,df_extratos!F:F,"&gt;="&amp;Conciliacao!BE193,df_extratos!F:F,"&lt;"&amp;Conciliacao!BE193+1,df_extratos!G:G,"DEBITO")
+SUMIFS(df_extratos!I:I,df_extratos!F:F,"&gt;="&amp;Conciliacao!A193, df_extratos!F:F,"&lt;"&amp;Conciliacao!A193+1, df_extratos!G:G,"DEBITO")
+SUMIFS(df_extratos!I:I,df_extratos!F:F,"&gt;="&amp;Conciliacao!BF193,df_extratos!F:F,"&lt;"&amp;Conciliacao!BF193+1,df_extratos!G:G,"DEBITO")
+SUMIFS(df_extratos!I:I,df_extratos!F:F,"&gt;="&amp;Conciliacao!BG193,df_extratos!F:F,"&lt;"&amp;Conciliacao!BG193+1,df_extratos!G:G,"DEBITO")
+SUMIFS(df_extratos!I:I,df_extratos!F:F,"&gt;="&amp;Conciliacao!BH193,df_extratos!F:F,"&lt;"&amp;Conciliacao!BH193+1,df_extratos!G:G,"DEBITO")</f>
        <v/>
      </c>
      <c r="O193" s="11">
        <f>N193-SUM(J193:M193)</f>
        <v/>
      </c>
      <c r="P193" s="25">
        <f>SUMIFS(df_ajustes_conciliaco!D:D,df_ajustes_conciliaco!C:C,Conciliacao!A193)</f>
        <v/>
      </c>
      <c r="Q193" s="22">
        <f>O193+I193-P193</f>
        <v/>
      </c>
      <c r="BE193" s="20" t="n">
        <v>45849.5</v>
      </c>
      <c r="BF193" s="20" t="n">
        <v>45849.125</v>
      </c>
      <c r="BG193" s="20" t="n">
        <v>45849.54166666666</v>
      </c>
      <c r="BH193" s="20" t="n">
        <v>45849.625</v>
      </c>
    </row>
    <row r="194">
      <c r="A194" s="5">
        <f>A193+1</f>
        <v/>
      </c>
      <c r="B194" s="3">
        <f>-SUMIFS(df_extrato_zig!G:G,df_extrato_zig!E:E,Conciliacao!A194,df_extrato_zig!D:D,"Saque")-SUMIFS(df_extrato_zig!G:G,df_extrato_zig!E:E,Conciliacao!A194,df_extrato_zig!D:D,"Antecipação")</f>
        <v/>
      </c>
      <c r="C194" s="3">
        <f>SUMIFS(df_extrato_zig!E:E,df_extrato_zig!L:L,Conciliacao!A194,df_extrato_zig!F:F,"DINHEIRO")</f>
        <v/>
      </c>
      <c r="D194" s="3">
        <f>SUMIFS(view_parc_agrup!H:H,view_parc_agrup!G:G,Conciliacao!A194)</f>
        <v/>
      </c>
      <c r="E194" s="3">
        <f>SUMIFS(df_eventos!F:F,df_eventos!H:H,Conciliacao!A194)</f>
        <v/>
      </c>
      <c r="F194" s="3">
        <f>SUMIFS(df_mutuos!M:M,df_mutuos!B:B,Conciliacao!A194)</f>
        <v/>
      </c>
      <c r="G194" s="6">
        <f>SUMIFS(df_bloqueios_judiciais!G:G,df_bloqueios_judiciais!D:D,Conciliacao!A194,df_bloqueios_judiciais!G:G,"&gt;0")</f>
        <v/>
      </c>
      <c r="H194" s="7">
        <f>SUMIFS(df_extratos!I:I,df_extratos!F:F,"&gt;="&amp;Conciliacao!BE194,df_extratos!F:F,"&lt;"&amp;Conciliacao!BE194+1,df_extratos!G:G,"CREDITO")
+SUMIFS(df_extratos!I:I,df_extratos!F:F,"&gt;="&amp;Conciliacao!A194, df_extratos!F:F,"&lt;"&amp;Conciliacao!A194+1, df_extratos!G:G,"CREDITO")
+SUMIFS(df_extratos!I:I,df_extratos!F:F,"&gt;="&amp;Conciliacao!BF194,df_extratos!F:F,"&lt;"&amp;Conciliacao!BF194+1,df_extratos!G:G,"CREDITO")
+SUMIFS(df_extratos!I:I,df_extratos!F:F,"&gt;="&amp;Conciliacao!BG194,df_extratos!F:F,"&lt;"&amp;Conciliacao!BG194+1,df_extratos!G:G,"CREDITO")
+SUMIFS(df_extratos!I:I,df_extratos!F:F,"&gt;="&amp;Conciliacao!BH194,df_extratos!F:F,"&lt;"&amp;Conciliacao!BH194+1,df_extratos!G:G,"CREDITO")</f>
        <v/>
      </c>
      <c r="I194" s="9">
        <f>H194-SUM(B194:G194)</f>
        <v/>
      </c>
      <c r="J194" s="4">
        <f>SUMIFS(df_blueme_sem_parcelamento!E:E,df_blueme_sem_parcelamento!H:H,Conciliacao!A194)*(-1)</f>
        <v/>
      </c>
      <c r="K194" s="4">
        <f>SUMIFS(df_blueme_com_parcelamento!J:J,df_blueme_com_parcelamento!M:M,Conciliacao!A194)*(-1)</f>
        <v/>
      </c>
      <c r="L194" s="4">
        <f>SUMIFS(df_mutuos!N:N,df_mutuos!B:B,Conciliacao!A194)*(-1)</f>
        <v/>
      </c>
      <c r="M194" s="8">
        <f>SUMIFS(df_bloqueios_judiciais!G:G,df_bloqueios_judiciais!D:D,Conciliacao!A194,df_bloqueios_judiciais!G:G,"&lt;0")</f>
        <v/>
      </c>
      <c r="N194" s="10">
        <f>SUMIFS(df_extratos!I:I,df_extratos!F:F,"&gt;="&amp;Conciliacao!BE194,df_extratos!F:F,"&lt;"&amp;Conciliacao!BE194+1,df_extratos!G:G,"DEBITO")
+SUMIFS(df_extratos!I:I,df_extratos!F:F,"&gt;="&amp;Conciliacao!A194, df_extratos!F:F,"&lt;"&amp;Conciliacao!A194+1, df_extratos!G:G,"DEBITO")
+SUMIFS(df_extratos!I:I,df_extratos!F:F,"&gt;="&amp;Conciliacao!BF194,df_extratos!F:F,"&lt;"&amp;Conciliacao!BF194+1,df_extratos!G:G,"DEBITO")
+SUMIFS(df_extratos!I:I,df_extratos!F:F,"&gt;="&amp;Conciliacao!BG194,df_extratos!F:F,"&lt;"&amp;Conciliacao!BG194+1,df_extratos!G:G,"DEBITO")
+SUMIFS(df_extratos!I:I,df_extratos!F:F,"&gt;="&amp;Conciliacao!BH194,df_extratos!F:F,"&lt;"&amp;Conciliacao!BH194+1,df_extratos!G:G,"DEBITO")</f>
        <v/>
      </c>
      <c r="O194" s="11">
        <f>N194-SUM(J194:M194)</f>
        <v/>
      </c>
      <c r="P194" s="25">
        <f>SUMIFS(df_ajustes_conciliaco!D:D,df_ajustes_conciliaco!C:C,Conciliacao!A194)</f>
        <v/>
      </c>
      <c r="Q194" s="22">
        <f>O194+I194-P194</f>
        <v/>
      </c>
      <c r="BE194" s="20" t="n">
        <v>45850.5</v>
      </c>
      <c r="BF194" s="20" t="n">
        <v>45850.125</v>
      </c>
      <c r="BG194" s="20" t="n">
        <v>45850.54166666666</v>
      </c>
      <c r="BH194" s="20" t="n">
        <v>45850.625</v>
      </c>
    </row>
    <row r="195">
      <c r="A195" s="5">
        <f>A194+1</f>
        <v/>
      </c>
      <c r="B195" s="3">
        <f>-SUMIFS(df_extrato_zig!G:G,df_extrato_zig!E:E,Conciliacao!A195,df_extrato_zig!D:D,"Saque")-SUMIFS(df_extrato_zig!G:G,df_extrato_zig!E:E,Conciliacao!A195,df_extrato_zig!D:D,"Antecipação")</f>
        <v/>
      </c>
      <c r="C195" s="3">
        <f>SUMIFS(df_extrato_zig!E:E,df_extrato_zig!L:L,Conciliacao!A195,df_extrato_zig!F:F,"DINHEIRO")</f>
        <v/>
      </c>
      <c r="D195" s="3">
        <f>SUMIFS(view_parc_agrup!H:H,view_parc_agrup!G:G,Conciliacao!A195)</f>
        <v/>
      </c>
      <c r="E195" s="3">
        <f>SUMIFS(df_eventos!F:F,df_eventos!H:H,Conciliacao!A195)</f>
        <v/>
      </c>
      <c r="F195" s="3">
        <f>SUMIFS(df_mutuos!M:M,df_mutuos!B:B,Conciliacao!A195)</f>
        <v/>
      </c>
      <c r="G195" s="6">
        <f>SUMIFS(df_bloqueios_judiciais!G:G,df_bloqueios_judiciais!D:D,Conciliacao!A195,df_bloqueios_judiciais!G:G,"&gt;0")</f>
        <v/>
      </c>
      <c r="H195" s="7">
        <f>SUMIFS(df_extratos!I:I,df_extratos!F:F,"&gt;="&amp;Conciliacao!BE195,df_extratos!F:F,"&lt;"&amp;Conciliacao!BE195+1,df_extratos!G:G,"CREDITO")
+SUMIFS(df_extratos!I:I,df_extratos!F:F,"&gt;="&amp;Conciliacao!A195, df_extratos!F:F,"&lt;"&amp;Conciliacao!A195+1, df_extratos!G:G,"CREDITO")
+SUMIFS(df_extratos!I:I,df_extratos!F:F,"&gt;="&amp;Conciliacao!BF195,df_extratos!F:F,"&lt;"&amp;Conciliacao!BF195+1,df_extratos!G:G,"CREDITO")
+SUMIFS(df_extratos!I:I,df_extratos!F:F,"&gt;="&amp;Conciliacao!BG195,df_extratos!F:F,"&lt;"&amp;Conciliacao!BG195+1,df_extratos!G:G,"CREDITO")
+SUMIFS(df_extratos!I:I,df_extratos!F:F,"&gt;="&amp;Conciliacao!BH195,df_extratos!F:F,"&lt;"&amp;Conciliacao!BH195+1,df_extratos!G:G,"CREDITO")</f>
        <v/>
      </c>
      <c r="I195" s="9">
        <f>H195-SUM(B195:G195)</f>
        <v/>
      </c>
      <c r="J195" s="4">
        <f>SUMIFS(df_blueme_sem_parcelamento!E:E,df_blueme_sem_parcelamento!H:H,Conciliacao!A195)*(-1)</f>
        <v/>
      </c>
      <c r="K195" s="4">
        <f>SUMIFS(df_blueme_com_parcelamento!J:J,df_blueme_com_parcelamento!M:M,Conciliacao!A195)*(-1)</f>
        <v/>
      </c>
      <c r="L195" s="4">
        <f>SUMIFS(df_mutuos!N:N,df_mutuos!B:B,Conciliacao!A195)*(-1)</f>
        <v/>
      </c>
      <c r="M195" s="8">
        <f>SUMIFS(df_bloqueios_judiciais!G:G,df_bloqueios_judiciais!D:D,Conciliacao!A195,df_bloqueios_judiciais!G:G,"&lt;0")</f>
        <v/>
      </c>
      <c r="N195" s="10">
        <f>SUMIFS(df_extratos!I:I,df_extratos!F:F,"&gt;="&amp;Conciliacao!BE195,df_extratos!F:F,"&lt;"&amp;Conciliacao!BE195+1,df_extratos!G:G,"DEBITO")
+SUMIFS(df_extratos!I:I,df_extratos!F:F,"&gt;="&amp;Conciliacao!A195, df_extratos!F:F,"&lt;"&amp;Conciliacao!A195+1, df_extratos!G:G,"DEBITO")
+SUMIFS(df_extratos!I:I,df_extratos!F:F,"&gt;="&amp;Conciliacao!BF195,df_extratos!F:F,"&lt;"&amp;Conciliacao!BF195+1,df_extratos!G:G,"DEBITO")
+SUMIFS(df_extratos!I:I,df_extratos!F:F,"&gt;="&amp;Conciliacao!BG195,df_extratos!F:F,"&lt;"&amp;Conciliacao!BG195+1,df_extratos!G:G,"DEBITO")
+SUMIFS(df_extratos!I:I,df_extratos!F:F,"&gt;="&amp;Conciliacao!BH195,df_extratos!F:F,"&lt;"&amp;Conciliacao!BH195+1,df_extratos!G:G,"DEBITO")</f>
        <v/>
      </c>
      <c r="O195" s="11">
        <f>N195-SUM(J195:M195)</f>
        <v/>
      </c>
      <c r="P195" s="25">
        <f>SUMIFS(df_ajustes_conciliaco!D:D,df_ajustes_conciliaco!C:C,Conciliacao!A195)</f>
        <v/>
      </c>
      <c r="Q195" s="22">
        <f>O195+I195-P195</f>
        <v/>
      </c>
      <c r="BE195" s="20" t="n">
        <v>45851.5</v>
      </c>
      <c r="BF195" s="20" t="n">
        <v>45851.125</v>
      </c>
      <c r="BG195" s="20" t="n">
        <v>45851.54166666666</v>
      </c>
      <c r="BH195" s="20" t="n">
        <v>45851.625</v>
      </c>
    </row>
    <row r="196">
      <c r="A196" s="5">
        <f>A195+1</f>
        <v/>
      </c>
      <c r="B196" s="3">
        <f>-SUMIFS(df_extrato_zig!G:G,df_extrato_zig!E:E,Conciliacao!A196,df_extrato_zig!D:D,"Saque")-SUMIFS(df_extrato_zig!G:G,df_extrato_zig!E:E,Conciliacao!A196,df_extrato_zig!D:D,"Antecipação")</f>
        <v/>
      </c>
      <c r="C196" s="3">
        <f>SUMIFS(df_extrato_zig!E:E,df_extrato_zig!L:L,Conciliacao!A196,df_extrato_zig!F:F,"DINHEIRO")</f>
        <v/>
      </c>
      <c r="D196" s="3">
        <f>SUMIFS(view_parc_agrup!H:H,view_parc_agrup!G:G,Conciliacao!A196)</f>
        <v/>
      </c>
      <c r="E196" s="3">
        <f>SUMIFS(df_eventos!F:F,df_eventos!H:H,Conciliacao!A196)</f>
        <v/>
      </c>
      <c r="F196" s="3">
        <f>SUMIFS(df_mutuos!M:M,df_mutuos!B:B,Conciliacao!A196)</f>
        <v/>
      </c>
      <c r="G196" s="6">
        <f>SUMIFS(df_bloqueios_judiciais!G:G,df_bloqueios_judiciais!D:D,Conciliacao!A196,df_bloqueios_judiciais!G:G,"&gt;0")</f>
        <v/>
      </c>
      <c r="H196" s="7">
        <f>SUMIFS(df_extratos!I:I,df_extratos!F:F,"&gt;="&amp;Conciliacao!BE196,df_extratos!F:F,"&lt;"&amp;Conciliacao!BE196+1,df_extratos!G:G,"CREDITO")
+SUMIFS(df_extratos!I:I,df_extratos!F:F,"&gt;="&amp;Conciliacao!A196, df_extratos!F:F,"&lt;"&amp;Conciliacao!A196+1, df_extratos!G:G,"CREDITO")
+SUMIFS(df_extratos!I:I,df_extratos!F:F,"&gt;="&amp;Conciliacao!BF196,df_extratos!F:F,"&lt;"&amp;Conciliacao!BF196+1,df_extratos!G:G,"CREDITO")
+SUMIFS(df_extratos!I:I,df_extratos!F:F,"&gt;="&amp;Conciliacao!BG196,df_extratos!F:F,"&lt;"&amp;Conciliacao!BG196+1,df_extratos!G:G,"CREDITO")
+SUMIFS(df_extratos!I:I,df_extratos!F:F,"&gt;="&amp;Conciliacao!BH196,df_extratos!F:F,"&lt;"&amp;Conciliacao!BH196+1,df_extratos!G:G,"CREDITO")</f>
        <v/>
      </c>
      <c r="I196" s="9">
        <f>H196-SUM(B196:G196)</f>
        <v/>
      </c>
      <c r="J196" s="4">
        <f>SUMIFS(df_blueme_sem_parcelamento!E:E,df_blueme_sem_parcelamento!H:H,Conciliacao!A196)*(-1)</f>
        <v/>
      </c>
      <c r="K196" s="4">
        <f>SUMIFS(df_blueme_com_parcelamento!J:J,df_blueme_com_parcelamento!M:M,Conciliacao!A196)*(-1)</f>
        <v/>
      </c>
      <c r="L196" s="4">
        <f>SUMIFS(df_mutuos!N:N,df_mutuos!B:B,Conciliacao!A196)*(-1)</f>
        <v/>
      </c>
      <c r="M196" s="8">
        <f>SUMIFS(df_bloqueios_judiciais!G:G,df_bloqueios_judiciais!D:D,Conciliacao!A196,df_bloqueios_judiciais!G:G,"&lt;0")</f>
        <v/>
      </c>
      <c r="N196" s="10">
        <f>SUMIFS(df_extratos!I:I,df_extratos!F:F,"&gt;="&amp;Conciliacao!BE196,df_extratos!F:F,"&lt;"&amp;Conciliacao!BE196+1,df_extratos!G:G,"DEBITO")
+SUMIFS(df_extratos!I:I,df_extratos!F:F,"&gt;="&amp;Conciliacao!A196, df_extratos!F:F,"&lt;"&amp;Conciliacao!A196+1, df_extratos!G:G,"DEBITO")
+SUMIFS(df_extratos!I:I,df_extratos!F:F,"&gt;="&amp;Conciliacao!BF196,df_extratos!F:F,"&lt;"&amp;Conciliacao!BF196+1,df_extratos!G:G,"DEBITO")
+SUMIFS(df_extratos!I:I,df_extratos!F:F,"&gt;="&amp;Conciliacao!BG196,df_extratos!F:F,"&lt;"&amp;Conciliacao!BG196+1,df_extratos!G:G,"DEBITO")
+SUMIFS(df_extratos!I:I,df_extratos!F:F,"&gt;="&amp;Conciliacao!BH196,df_extratos!F:F,"&lt;"&amp;Conciliacao!BH196+1,df_extratos!G:G,"DEBITO")</f>
        <v/>
      </c>
      <c r="O196" s="11">
        <f>N196-SUM(J196:M196)</f>
        <v/>
      </c>
      <c r="P196" s="25">
        <f>SUMIFS(df_ajustes_conciliaco!D:D,df_ajustes_conciliaco!C:C,Conciliacao!A196)</f>
        <v/>
      </c>
      <c r="Q196" s="22">
        <f>O196+I196-P196</f>
        <v/>
      </c>
      <c r="BE196" s="20" t="n">
        <v>45852.5</v>
      </c>
      <c r="BF196" s="20" t="n">
        <v>45852.125</v>
      </c>
      <c r="BG196" s="20" t="n">
        <v>45852.54166666666</v>
      </c>
      <c r="BH196" s="20" t="n">
        <v>45852.625</v>
      </c>
    </row>
    <row r="197">
      <c r="A197" s="5">
        <f>A196+1</f>
        <v/>
      </c>
      <c r="B197" s="3">
        <f>-SUMIFS(df_extrato_zig!G:G,df_extrato_zig!E:E,Conciliacao!A197,df_extrato_zig!D:D,"Saque")-SUMIFS(df_extrato_zig!G:G,df_extrato_zig!E:E,Conciliacao!A197,df_extrato_zig!D:D,"Antecipação")</f>
        <v/>
      </c>
      <c r="C197" s="3">
        <f>SUMIFS(df_extrato_zig!E:E,df_extrato_zig!L:L,Conciliacao!A197,df_extrato_zig!F:F,"DINHEIRO")</f>
        <v/>
      </c>
      <c r="D197" s="3">
        <f>SUMIFS(view_parc_agrup!H:H,view_parc_agrup!G:G,Conciliacao!A197)</f>
        <v/>
      </c>
      <c r="E197" s="3">
        <f>SUMIFS(df_eventos!F:F,df_eventos!H:H,Conciliacao!A197)</f>
        <v/>
      </c>
      <c r="F197" s="3">
        <f>SUMIFS(df_mutuos!M:M,df_mutuos!B:B,Conciliacao!A197)</f>
        <v/>
      </c>
      <c r="G197" s="6">
        <f>SUMIFS(df_bloqueios_judiciais!G:G,df_bloqueios_judiciais!D:D,Conciliacao!A197,df_bloqueios_judiciais!G:G,"&gt;0")</f>
        <v/>
      </c>
      <c r="H197" s="7">
        <f>SUMIFS(df_extratos!I:I,df_extratos!F:F,"&gt;="&amp;Conciliacao!BE197,df_extratos!F:F,"&lt;"&amp;Conciliacao!BE197+1,df_extratos!G:G,"CREDITO")
+SUMIFS(df_extratos!I:I,df_extratos!F:F,"&gt;="&amp;Conciliacao!A197, df_extratos!F:F,"&lt;"&amp;Conciliacao!A197+1, df_extratos!G:G,"CREDITO")
+SUMIFS(df_extratos!I:I,df_extratos!F:F,"&gt;="&amp;Conciliacao!BF197,df_extratos!F:F,"&lt;"&amp;Conciliacao!BF197+1,df_extratos!G:G,"CREDITO")
+SUMIFS(df_extratos!I:I,df_extratos!F:F,"&gt;="&amp;Conciliacao!BG197,df_extratos!F:F,"&lt;"&amp;Conciliacao!BG197+1,df_extratos!G:G,"CREDITO")
+SUMIFS(df_extratos!I:I,df_extratos!F:F,"&gt;="&amp;Conciliacao!BH197,df_extratos!F:F,"&lt;"&amp;Conciliacao!BH197+1,df_extratos!G:G,"CREDITO")</f>
        <v/>
      </c>
      <c r="I197" s="9">
        <f>H197-SUM(B197:G197)</f>
        <v/>
      </c>
      <c r="J197" s="4">
        <f>SUMIFS(df_blueme_sem_parcelamento!E:E,df_blueme_sem_parcelamento!H:H,Conciliacao!A197)*(-1)</f>
        <v/>
      </c>
      <c r="K197" s="4">
        <f>SUMIFS(df_blueme_com_parcelamento!J:J,df_blueme_com_parcelamento!M:M,Conciliacao!A197)*(-1)</f>
        <v/>
      </c>
      <c r="L197" s="4">
        <f>SUMIFS(df_mutuos!N:N,df_mutuos!B:B,Conciliacao!A197)*(-1)</f>
        <v/>
      </c>
      <c r="M197" s="8">
        <f>SUMIFS(df_bloqueios_judiciais!G:G,df_bloqueios_judiciais!D:D,Conciliacao!A197,df_bloqueios_judiciais!G:G,"&lt;0")</f>
        <v/>
      </c>
      <c r="N197" s="10">
        <f>SUMIFS(df_extratos!I:I,df_extratos!F:F,"&gt;="&amp;Conciliacao!BE197,df_extratos!F:F,"&lt;"&amp;Conciliacao!BE197+1,df_extratos!G:G,"DEBITO")
+SUMIFS(df_extratos!I:I,df_extratos!F:F,"&gt;="&amp;Conciliacao!A197, df_extratos!F:F,"&lt;"&amp;Conciliacao!A197+1, df_extratos!G:G,"DEBITO")
+SUMIFS(df_extratos!I:I,df_extratos!F:F,"&gt;="&amp;Conciliacao!BF197,df_extratos!F:F,"&lt;"&amp;Conciliacao!BF197+1,df_extratos!G:G,"DEBITO")
+SUMIFS(df_extratos!I:I,df_extratos!F:F,"&gt;="&amp;Conciliacao!BG197,df_extratos!F:F,"&lt;"&amp;Conciliacao!BG197+1,df_extratos!G:G,"DEBITO")
+SUMIFS(df_extratos!I:I,df_extratos!F:F,"&gt;="&amp;Conciliacao!BH197,df_extratos!F:F,"&lt;"&amp;Conciliacao!BH197+1,df_extratos!G:G,"DEBITO")</f>
        <v/>
      </c>
      <c r="O197" s="11">
        <f>N197-SUM(J197:M197)</f>
        <v/>
      </c>
      <c r="P197" s="25">
        <f>SUMIFS(df_ajustes_conciliaco!D:D,df_ajustes_conciliaco!C:C,Conciliacao!A197)</f>
        <v/>
      </c>
      <c r="Q197" s="22">
        <f>O197+I197-P197</f>
        <v/>
      </c>
      <c r="BE197" s="20" t="n">
        <v>45853.5</v>
      </c>
      <c r="BF197" s="20" t="n">
        <v>45853.125</v>
      </c>
      <c r="BG197" s="20" t="n">
        <v>45853.54166666666</v>
      </c>
      <c r="BH197" s="20" t="n">
        <v>45853.625</v>
      </c>
    </row>
    <row r="198">
      <c r="A198" s="5">
        <f>A197+1</f>
        <v/>
      </c>
      <c r="B198" s="3">
        <f>-SUMIFS(df_extrato_zig!G:G,df_extrato_zig!E:E,Conciliacao!A198,df_extrato_zig!D:D,"Saque")-SUMIFS(df_extrato_zig!G:G,df_extrato_zig!E:E,Conciliacao!A198,df_extrato_zig!D:D,"Antecipação")</f>
        <v/>
      </c>
      <c r="C198" s="3">
        <f>SUMIFS(df_extrato_zig!E:E,df_extrato_zig!L:L,Conciliacao!A198,df_extrato_zig!F:F,"DINHEIRO")</f>
        <v/>
      </c>
      <c r="D198" s="3">
        <f>SUMIFS(view_parc_agrup!H:H,view_parc_agrup!G:G,Conciliacao!A198)</f>
        <v/>
      </c>
      <c r="E198" s="3">
        <f>SUMIFS(df_eventos!F:F,df_eventos!H:H,Conciliacao!A198)</f>
        <v/>
      </c>
      <c r="F198" s="3">
        <f>SUMIFS(df_mutuos!M:M,df_mutuos!B:B,Conciliacao!A198)</f>
        <v/>
      </c>
      <c r="G198" s="6">
        <f>SUMIFS(df_bloqueios_judiciais!G:G,df_bloqueios_judiciais!D:D,Conciliacao!A198,df_bloqueios_judiciais!G:G,"&gt;0")</f>
        <v/>
      </c>
      <c r="H198" s="7">
        <f>SUMIFS(df_extratos!I:I,df_extratos!F:F,"&gt;="&amp;Conciliacao!BE198,df_extratos!F:F,"&lt;"&amp;Conciliacao!BE198+1,df_extratos!G:G,"CREDITO")
+SUMIFS(df_extratos!I:I,df_extratos!F:F,"&gt;="&amp;Conciliacao!A198, df_extratos!F:F,"&lt;"&amp;Conciliacao!A198+1, df_extratos!G:G,"CREDITO")
+SUMIFS(df_extratos!I:I,df_extratos!F:F,"&gt;="&amp;Conciliacao!BF198,df_extratos!F:F,"&lt;"&amp;Conciliacao!BF198+1,df_extratos!G:G,"CREDITO")
+SUMIFS(df_extratos!I:I,df_extratos!F:F,"&gt;="&amp;Conciliacao!BG198,df_extratos!F:F,"&lt;"&amp;Conciliacao!BG198+1,df_extratos!G:G,"CREDITO")
+SUMIFS(df_extratos!I:I,df_extratos!F:F,"&gt;="&amp;Conciliacao!BH198,df_extratos!F:F,"&lt;"&amp;Conciliacao!BH198+1,df_extratos!G:G,"CREDITO")</f>
        <v/>
      </c>
      <c r="I198" s="9">
        <f>H198-SUM(B198:G198)</f>
        <v/>
      </c>
      <c r="J198" s="4">
        <f>SUMIFS(df_blueme_sem_parcelamento!E:E,df_blueme_sem_parcelamento!H:H,Conciliacao!A198)*(-1)</f>
        <v/>
      </c>
      <c r="K198" s="4">
        <f>SUMIFS(df_blueme_com_parcelamento!J:J,df_blueme_com_parcelamento!M:M,Conciliacao!A198)*(-1)</f>
        <v/>
      </c>
      <c r="L198" s="4">
        <f>SUMIFS(df_mutuos!N:N,df_mutuos!B:B,Conciliacao!A198)*(-1)</f>
        <v/>
      </c>
      <c r="M198" s="8">
        <f>SUMIFS(df_bloqueios_judiciais!G:G,df_bloqueios_judiciais!D:D,Conciliacao!A198,df_bloqueios_judiciais!G:G,"&lt;0")</f>
        <v/>
      </c>
      <c r="N198" s="10">
        <f>SUMIFS(df_extratos!I:I,df_extratos!F:F,"&gt;="&amp;Conciliacao!BE198,df_extratos!F:F,"&lt;"&amp;Conciliacao!BE198+1,df_extratos!G:G,"DEBITO")
+SUMIFS(df_extratos!I:I,df_extratos!F:F,"&gt;="&amp;Conciliacao!A198, df_extratos!F:F,"&lt;"&amp;Conciliacao!A198+1, df_extratos!G:G,"DEBITO")
+SUMIFS(df_extratos!I:I,df_extratos!F:F,"&gt;="&amp;Conciliacao!BF198,df_extratos!F:F,"&lt;"&amp;Conciliacao!BF198+1,df_extratos!G:G,"DEBITO")
+SUMIFS(df_extratos!I:I,df_extratos!F:F,"&gt;="&amp;Conciliacao!BG198,df_extratos!F:F,"&lt;"&amp;Conciliacao!BG198+1,df_extratos!G:G,"DEBITO")
+SUMIFS(df_extratos!I:I,df_extratos!F:F,"&gt;="&amp;Conciliacao!BH198,df_extratos!F:F,"&lt;"&amp;Conciliacao!BH198+1,df_extratos!G:G,"DEBITO")</f>
        <v/>
      </c>
      <c r="O198" s="11">
        <f>N198-SUM(J198:M198)</f>
        <v/>
      </c>
      <c r="P198" s="25">
        <f>SUMIFS(df_ajustes_conciliaco!D:D,df_ajustes_conciliaco!C:C,Conciliacao!A198)</f>
        <v/>
      </c>
      <c r="Q198" s="22">
        <f>O198+I198-P198</f>
        <v/>
      </c>
      <c r="BE198" s="20" t="n">
        <v>45854.5</v>
      </c>
      <c r="BF198" s="20" t="n">
        <v>45854.125</v>
      </c>
      <c r="BG198" s="20" t="n">
        <v>45854.54166666666</v>
      </c>
      <c r="BH198" s="20" t="n">
        <v>45854.625</v>
      </c>
    </row>
    <row r="199">
      <c r="A199" s="5">
        <f>A198+1</f>
        <v/>
      </c>
      <c r="B199" s="3">
        <f>-SUMIFS(df_extrato_zig!G:G,df_extrato_zig!E:E,Conciliacao!A199,df_extrato_zig!D:D,"Saque")-SUMIFS(df_extrato_zig!G:G,df_extrato_zig!E:E,Conciliacao!A199,df_extrato_zig!D:D,"Antecipação")</f>
        <v/>
      </c>
      <c r="C199" s="3">
        <f>SUMIFS(df_extrato_zig!E:E,df_extrato_zig!L:L,Conciliacao!A199,df_extrato_zig!F:F,"DINHEIRO")</f>
        <v/>
      </c>
      <c r="D199" s="3">
        <f>SUMIFS(view_parc_agrup!H:H,view_parc_agrup!G:G,Conciliacao!A199)</f>
        <v/>
      </c>
      <c r="E199" s="3">
        <f>SUMIFS(df_eventos!F:F,df_eventos!H:H,Conciliacao!A199)</f>
        <v/>
      </c>
      <c r="F199" s="3">
        <f>SUMIFS(df_mutuos!M:M,df_mutuos!B:B,Conciliacao!A199)</f>
        <v/>
      </c>
      <c r="G199" s="6">
        <f>SUMIFS(df_bloqueios_judiciais!G:G,df_bloqueios_judiciais!D:D,Conciliacao!A199,df_bloqueios_judiciais!G:G,"&gt;0")</f>
        <v/>
      </c>
      <c r="H199" s="7">
        <f>SUMIFS(df_extratos!I:I,df_extratos!F:F,"&gt;="&amp;Conciliacao!BE199,df_extratos!F:F,"&lt;"&amp;Conciliacao!BE199+1,df_extratos!G:G,"CREDITO")
+SUMIFS(df_extratos!I:I,df_extratos!F:F,"&gt;="&amp;Conciliacao!A199, df_extratos!F:F,"&lt;"&amp;Conciliacao!A199+1, df_extratos!G:G,"CREDITO")
+SUMIFS(df_extratos!I:I,df_extratos!F:F,"&gt;="&amp;Conciliacao!BF199,df_extratos!F:F,"&lt;"&amp;Conciliacao!BF199+1,df_extratos!G:G,"CREDITO")
+SUMIFS(df_extratos!I:I,df_extratos!F:F,"&gt;="&amp;Conciliacao!BG199,df_extratos!F:F,"&lt;"&amp;Conciliacao!BG199+1,df_extratos!G:G,"CREDITO")
+SUMIFS(df_extratos!I:I,df_extratos!F:F,"&gt;="&amp;Conciliacao!BH199,df_extratos!F:F,"&lt;"&amp;Conciliacao!BH199+1,df_extratos!G:G,"CREDITO")</f>
        <v/>
      </c>
      <c r="I199" s="9">
        <f>H199-SUM(B199:G199)</f>
        <v/>
      </c>
      <c r="J199" s="4">
        <f>SUMIFS(df_blueme_sem_parcelamento!E:E,df_blueme_sem_parcelamento!H:H,Conciliacao!A199)*(-1)</f>
        <v/>
      </c>
      <c r="K199" s="4">
        <f>SUMIFS(df_blueme_com_parcelamento!J:J,df_blueme_com_parcelamento!M:M,Conciliacao!A199)*(-1)</f>
        <v/>
      </c>
      <c r="L199" s="4">
        <f>SUMIFS(df_mutuos!N:N,df_mutuos!B:B,Conciliacao!A199)*(-1)</f>
        <v/>
      </c>
      <c r="M199" s="8">
        <f>SUMIFS(df_bloqueios_judiciais!G:G,df_bloqueios_judiciais!D:D,Conciliacao!A199,df_bloqueios_judiciais!G:G,"&lt;0")</f>
        <v/>
      </c>
      <c r="N199" s="10">
        <f>SUMIFS(df_extratos!I:I,df_extratos!F:F,"&gt;="&amp;Conciliacao!BE199,df_extratos!F:F,"&lt;"&amp;Conciliacao!BE199+1,df_extratos!G:G,"DEBITO")
+SUMIFS(df_extratos!I:I,df_extratos!F:F,"&gt;="&amp;Conciliacao!A199, df_extratos!F:F,"&lt;"&amp;Conciliacao!A199+1, df_extratos!G:G,"DEBITO")
+SUMIFS(df_extratos!I:I,df_extratos!F:F,"&gt;="&amp;Conciliacao!BF199,df_extratos!F:F,"&lt;"&amp;Conciliacao!BF199+1,df_extratos!G:G,"DEBITO")
+SUMIFS(df_extratos!I:I,df_extratos!F:F,"&gt;="&amp;Conciliacao!BG199,df_extratos!F:F,"&lt;"&amp;Conciliacao!BG199+1,df_extratos!G:G,"DEBITO")
+SUMIFS(df_extratos!I:I,df_extratos!F:F,"&gt;="&amp;Conciliacao!BH199,df_extratos!F:F,"&lt;"&amp;Conciliacao!BH199+1,df_extratos!G:G,"DEBITO")</f>
        <v/>
      </c>
      <c r="O199" s="11">
        <f>N199-SUM(J199:M199)</f>
        <v/>
      </c>
      <c r="P199" s="25">
        <f>SUMIFS(df_ajustes_conciliaco!D:D,df_ajustes_conciliaco!C:C,Conciliacao!A199)</f>
        <v/>
      </c>
      <c r="Q199" s="22">
        <f>O199+I199-P199</f>
        <v/>
      </c>
      <c r="BE199" s="20" t="n">
        <v>45855.5</v>
      </c>
      <c r="BF199" s="20" t="n">
        <v>45855.125</v>
      </c>
      <c r="BG199" s="20" t="n">
        <v>45855.54166666666</v>
      </c>
      <c r="BH199" s="20" t="n">
        <v>45855.625</v>
      </c>
    </row>
    <row r="200">
      <c r="A200" s="5">
        <f>A199+1</f>
        <v/>
      </c>
      <c r="B200" s="3">
        <f>-SUMIFS(df_extrato_zig!G:G,df_extrato_zig!E:E,Conciliacao!A200,df_extrato_zig!D:D,"Saque")-SUMIFS(df_extrato_zig!G:G,df_extrato_zig!E:E,Conciliacao!A200,df_extrato_zig!D:D,"Antecipação")</f>
        <v/>
      </c>
      <c r="C200" s="3">
        <f>SUMIFS(df_extrato_zig!E:E,df_extrato_zig!L:L,Conciliacao!A200,df_extrato_zig!F:F,"DINHEIRO")</f>
        <v/>
      </c>
      <c r="D200" s="3">
        <f>SUMIFS(view_parc_agrup!H:H,view_parc_agrup!G:G,Conciliacao!A200)</f>
        <v/>
      </c>
      <c r="E200" s="3">
        <f>SUMIFS(df_eventos!F:F,df_eventos!H:H,Conciliacao!A200)</f>
        <v/>
      </c>
      <c r="F200" s="3">
        <f>SUMIFS(df_mutuos!M:M,df_mutuos!B:B,Conciliacao!A200)</f>
        <v/>
      </c>
      <c r="G200" s="6">
        <f>SUMIFS(df_bloqueios_judiciais!G:G,df_bloqueios_judiciais!D:D,Conciliacao!A200,df_bloqueios_judiciais!G:G,"&gt;0")</f>
        <v/>
      </c>
      <c r="H200" s="7">
        <f>SUMIFS(df_extratos!I:I,df_extratos!F:F,"&gt;="&amp;Conciliacao!BE200,df_extratos!F:F,"&lt;"&amp;Conciliacao!BE200+1,df_extratos!G:G,"CREDITO")
+SUMIFS(df_extratos!I:I,df_extratos!F:F,"&gt;="&amp;Conciliacao!A200, df_extratos!F:F,"&lt;"&amp;Conciliacao!A200+1, df_extratos!G:G,"CREDITO")
+SUMIFS(df_extratos!I:I,df_extratos!F:F,"&gt;="&amp;Conciliacao!BF200,df_extratos!F:F,"&lt;"&amp;Conciliacao!BF200+1,df_extratos!G:G,"CREDITO")
+SUMIFS(df_extratos!I:I,df_extratos!F:F,"&gt;="&amp;Conciliacao!BG200,df_extratos!F:F,"&lt;"&amp;Conciliacao!BG200+1,df_extratos!G:G,"CREDITO")
+SUMIFS(df_extratos!I:I,df_extratos!F:F,"&gt;="&amp;Conciliacao!BH200,df_extratos!F:F,"&lt;"&amp;Conciliacao!BH200+1,df_extratos!G:G,"CREDITO")</f>
        <v/>
      </c>
      <c r="I200" s="9">
        <f>H200-SUM(B200:G200)</f>
        <v/>
      </c>
      <c r="J200" s="4">
        <f>SUMIFS(df_blueme_sem_parcelamento!E:E,df_blueme_sem_parcelamento!H:H,Conciliacao!A200)*(-1)</f>
        <v/>
      </c>
      <c r="K200" s="4">
        <f>SUMIFS(df_blueme_com_parcelamento!J:J,df_blueme_com_parcelamento!M:M,Conciliacao!A200)*(-1)</f>
        <v/>
      </c>
      <c r="L200" s="4">
        <f>SUMIFS(df_mutuos!N:N,df_mutuos!B:B,Conciliacao!A200)*(-1)</f>
        <v/>
      </c>
      <c r="M200" s="8">
        <f>SUMIFS(df_bloqueios_judiciais!G:G,df_bloqueios_judiciais!D:D,Conciliacao!A200,df_bloqueios_judiciais!G:G,"&lt;0")</f>
        <v/>
      </c>
      <c r="N200" s="10">
        <f>SUMIFS(df_extratos!I:I,df_extratos!F:F,"&gt;="&amp;Conciliacao!BE200,df_extratos!F:F,"&lt;"&amp;Conciliacao!BE200+1,df_extratos!G:G,"DEBITO")
+SUMIFS(df_extratos!I:I,df_extratos!F:F,"&gt;="&amp;Conciliacao!A200, df_extratos!F:F,"&lt;"&amp;Conciliacao!A200+1, df_extratos!G:G,"DEBITO")
+SUMIFS(df_extratos!I:I,df_extratos!F:F,"&gt;="&amp;Conciliacao!BF200,df_extratos!F:F,"&lt;"&amp;Conciliacao!BF200+1,df_extratos!G:G,"DEBITO")
+SUMIFS(df_extratos!I:I,df_extratos!F:F,"&gt;="&amp;Conciliacao!BG200,df_extratos!F:F,"&lt;"&amp;Conciliacao!BG200+1,df_extratos!G:G,"DEBITO")
+SUMIFS(df_extratos!I:I,df_extratos!F:F,"&gt;="&amp;Conciliacao!BH200,df_extratos!F:F,"&lt;"&amp;Conciliacao!BH200+1,df_extratos!G:G,"DEBITO")</f>
        <v/>
      </c>
      <c r="O200" s="11">
        <f>N200-SUM(J200:M200)</f>
        <v/>
      </c>
      <c r="P200" s="25">
        <f>SUMIFS(df_ajustes_conciliaco!D:D,df_ajustes_conciliaco!C:C,Conciliacao!A200)</f>
        <v/>
      </c>
      <c r="Q200" s="22">
        <f>O200+I200-P200</f>
        <v/>
      </c>
      <c r="BE200" s="20" t="n">
        <v>45856.5</v>
      </c>
      <c r="BF200" s="20" t="n">
        <v>45856.125</v>
      </c>
      <c r="BG200" s="20" t="n">
        <v>45856.54166666666</v>
      </c>
      <c r="BH200" s="20" t="n">
        <v>45856.625</v>
      </c>
    </row>
    <row r="201">
      <c r="A201" s="5">
        <f>A200+1</f>
        <v/>
      </c>
      <c r="B201" s="3">
        <f>-SUMIFS(df_extrato_zig!G:G,df_extrato_zig!E:E,Conciliacao!A201,df_extrato_zig!D:D,"Saque")-SUMIFS(df_extrato_zig!G:G,df_extrato_zig!E:E,Conciliacao!A201,df_extrato_zig!D:D,"Antecipação")</f>
        <v/>
      </c>
      <c r="C201" s="3">
        <f>SUMIFS(df_extrato_zig!E:E,df_extrato_zig!L:L,Conciliacao!A201,df_extrato_zig!F:F,"DINHEIRO")</f>
        <v/>
      </c>
      <c r="D201" s="3">
        <f>SUMIFS(view_parc_agrup!H:H,view_parc_agrup!G:G,Conciliacao!A201)</f>
        <v/>
      </c>
      <c r="E201" s="3">
        <f>SUMIFS(df_eventos!F:F,df_eventos!H:H,Conciliacao!A201)</f>
        <v/>
      </c>
      <c r="F201" s="3">
        <f>SUMIFS(df_mutuos!M:M,df_mutuos!B:B,Conciliacao!A201)</f>
        <v/>
      </c>
      <c r="G201" s="6">
        <f>SUMIFS(df_bloqueios_judiciais!G:G,df_bloqueios_judiciais!D:D,Conciliacao!A201,df_bloqueios_judiciais!G:G,"&gt;0")</f>
        <v/>
      </c>
      <c r="H201" s="7">
        <f>SUMIFS(df_extratos!I:I,df_extratos!F:F,"&gt;="&amp;Conciliacao!BE201,df_extratos!F:F,"&lt;"&amp;Conciliacao!BE201+1,df_extratos!G:G,"CREDITO")
+SUMIFS(df_extratos!I:I,df_extratos!F:F,"&gt;="&amp;Conciliacao!A201, df_extratos!F:F,"&lt;"&amp;Conciliacao!A201+1, df_extratos!G:G,"CREDITO")
+SUMIFS(df_extratos!I:I,df_extratos!F:F,"&gt;="&amp;Conciliacao!BF201,df_extratos!F:F,"&lt;"&amp;Conciliacao!BF201+1,df_extratos!G:G,"CREDITO")
+SUMIFS(df_extratos!I:I,df_extratos!F:F,"&gt;="&amp;Conciliacao!BG201,df_extratos!F:F,"&lt;"&amp;Conciliacao!BG201+1,df_extratos!G:G,"CREDITO")
+SUMIFS(df_extratos!I:I,df_extratos!F:F,"&gt;="&amp;Conciliacao!BH201,df_extratos!F:F,"&lt;"&amp;Conciliacao!BH201+1,df_extratos!G:G,"CREDITO")</f>
        <v/>
      </c>
      <c r="I201" s="9">
        <f>H201-SUM(B201:G201)</f>
        <v/>
      </c>
      <c r="J201" s="4">
        <f>SUMIFS(df_blueme_sem_parcelamento!E:E,df_blueme_sem_parcelamento!H:H,Conciliacao!A201)*(-1)</f>
        <v/>
      </c>
      <c r="K201" s="4">
        <f>SUMIFS(df_blueme_com_parcelamento!J:J,df_blueme_com_parcelamento!M:M,Conciliacao!A201)*(-1)</f>
        <v/>
      </c>
      <c r="L201" s="4">
        <f>SUMIFS(df_mutuos!N:N,df_mutuos!B:B,Conciliacao!A201)*(-1)</f>
        <v/>
      </c>
      <c r="M201" s="8">
        <f>SUMIFS(df_bloqueios_judiciais!G:G,df_bloqueios_judiciais!D:D,Conciliacao!A201,df_bloqueios_judiciais!G:G,"&lt;0")</f>
        <v/>
      </c>
      <c r="N201" s="10">
        <f>SUMIFS(df_extratos!I:I,df_extratos!F:F,"&gt;="&amp;Conciliacao!BE201,df_extratos!F:F,"&lt;"&amp;Conciliacao!BE201+1,df_extratos!G:G,"DEBITO")
+SUMIFS(df_extratos!I:I,df_extratos!F:F,"&gt;="&amp;Conciliacao!A201, df_extratos!F:F,"&lt;"&amp;Conciliacao!A201+1, df_extratos!G:G,"DEBITO")
+SUMIFS(df_extratos!I:I,df_extratos!F:F,"&gt;="&amp;Conciliacao!BF201,df_extratos!F:F,"&lt;"&amp;Conciliacao!BF201+1,df_extratos!G:G,"DEBITO")
+SUMIFS(df_extratos!I:I,df_extratos!F:F,"&gt;="&amp;Conciliacao!BG201,df_extratos!F:F,"&lt;"&amp;Conciliacao!BG201+1,df_extratos!G:G,"DEBITO")
+SUMIFS(df_extratos!I:I,df_extratos!F:F,"&gt;="&amp;Conciliacao!BH201,df_extratos!F:F,"&lt;"&amp;Conciliacao!BH201+1,df_extratos!G:G,"DEBITO")</f>
        <v/>
      </c>
      <c r="O201" s="11">
        <f>N201-SUM(J201:M201)</f>
        <v/>
      </c>
      <c r="P201" s="25">
        <f>SUMIFS(df_ajustes_conciliaco!D:D,df_ajustes_conciliaco!C:C,Conciliacao!A201)</f>
        <v/>
      </c>
      <c r="Q201" s="22">
        <f>O201+I201-P201</f>
        <v/>
      </c>
      <c r="BE201" s="20" t="n">
        <v>45857.5</v>
      </c>
      <c r="BF201" s="20" t="n">
        <v>45857.125</v>
      </c>
      <c r="BG201" s="20" t="n">
        <v>45857.54166666666</v>
      </c>
      <c r="BH201" s="20" t="n">
        <v>45857.625</v>
      </c>
    </row>
    <row r="202">
      <c r="A202" s="5">
        <f>A201+1</f>
        <v/>
      </c>
      <c r="B202" s="3">
        <f>-SUMIFS(df_extrato_zig!G:G,df_extrato_zig!E:E,Conciliacao!A202,df_extrato_zig!D:D,"Saque")-SUMIFS(df_extrato_zig!G:G,df_extrato_zig!E:E,Conciliacao!A202,df_extrato_zig!D:D,"Antecipação")</f>
        <v/>
      </c>
      <c r="C202" s="3">
        <f>SUMIFS(df_extrato_zig!E:E,df_extrato_zig!L:L,Conciliacao!A202,df_extrato_zig!F:F,"DINHEIRO")</f>
        <v/>
      </c>
      <c r="D202" s="3">
        <f>SUMIFS(view_parc_agrup!H:H,view_parc_agrup!G:G,Conciliacao!A202)</f>
        <v/>
      </c>
      <c r="E202" s="3">
        <f>SUMIFS(df_eventos!F:F,df_eventos!H:H,Conciliacao!A202)</f>
        <v/>
      </c>
      <c r="F202" s="3">
        <f>SUMIFS(df_mutuos!M:M,df_mutuos!B:B,Conciliacao!A202)</f>
        <v/>
      </c>
      <c r="G202" s="6">
        <f>SUMIFS(df_bloqueios_judiciais!G:G,df_bloqueios_judiciais!D:D,Conciliacao!A202,df_bloqueios_judiciais!G:G,"&gt;0")</f>
        <v/>
      </c>
      <c r="H202" s="7">
        <f>SUMIFS(df_extratos!I:I,df_extratos!F:F,"&gt;="&amp;Conciliacao!BE202,df_extratos!F:F,"&lt;"&amp;Conciliacao!BE202+1,df_extratos!G:G,"CREDITO")
+SUMIFS(df_extratos!I:I,df_extratos!F:F,"&gt;="&amp;Conciliacao!A202, df_extratos!F:F,"&lt;"&amp;Conciliacao!A202+1, df_extratos!G:G,"CREDITO")
+SUMIFS(df_extratos!I:I,df_extratos!F:F,"&gt;="&amp;Conciliacao!BF202,df_extratos!F:F,"&lt;"&amp;Conciliacao!BF202+1,df_extratos!G:G,"CREDITO")
+SUMIFS(df_extratos!I:I,df_extratos!F:F,"&gt;="&amp;Conciliacao!BG202,df_extratos!F:F,"&lt;"&amp;Conciliacao!BG202+1,df_extratos!G:G,"CREDITO")
+SUMIFS(df_extratos!I:I,df_extratos!F:F,"&gt;="&amp;Conciliacao!BH202,df_extratos!F:F,"&lt;"&amp;Conciliacao!BH202+1,df_extratos!G:G,"CREDITO")</f>
        <v/>
      </c>
      <c r="I202" s="9">
        <f>H202-SUM(B202:G202)</f>
        <v/>
      </c>
      <c r="J202" s="4">
        <f>SUMIFS(df_blueme_sem_parcelamento!E:E,df_blueme_sem_parcelamento!H:H,Conciliacao!A202)*(-1)</f>
        <v/>
      </c>
      <c r="K202" s="4">
        <f>SUMIFS(df_blueme_com_parcelamento!J:J,df_blueme_com_parcelamento!M:M,Conciliacao!A202)*(-1)</f>
        <v/>
      </c>
      <c r="L202" s="4">
        <f>SUMIFS(df_mutuos!N:N,df_mutuos!B:B,Conciliacao!A202)*(-1)</f>
        <v/>
      </c>
      <c r="M202" s="8">
        <f>SUMIFS(df_bloqueios_judiciais!G:G,df_bloqueios_judiciais!D:D,Conciliacao!A202,df_bloqueios_judiciais!G:G,"&lt;0")</f>
        <v/>
      </c>
      <c r="N202" s="10">
        <f>SUMIFS(df_extratos!I:I,df_extratos!F:F,"&gt;="&amp;Conciliacao!BE202,df_extratos!F:F,"&lt;"&amp;Conciliacao!BE202+1,df_extratos!G:G,"DEBITO")
+SUMIFS(df_extratos!I:I,df_extratos!F:F,"&gt;="&amp;Conciliacao!A202, df_extratos!F:F,"&lt;"&amp;Conciliacao!A202+1, df_extratos!G:G,"DEBITO")
+SUMIFS(df_extratos!I:I,df_extratos!F:F,"&gt;="&amp;Conciliacao!BF202,df_extratos!F:F,"&lt;"&amp;Conciliacao!BF202+1,df_extratos!G:G,"DEBITO")
+SUMIFS(df_extratos!I:I,df_extratos!F:F,"&gt;="&amp;Conciliacao!BG202,df_extratos!F:F,"&lt;"&amp;Conciliacao!BG202+1,df_extratos!G:G,"DEBITO")
+SUMIFS(df_extratos!I:I,df_extratos!F:F,"&gt;="&amp;Conciliacao!BH202,df_extratos!F:F,"&lt;"&amp;Conciliacao!BH202+1,df_extratos!G:G,"DEBITO")</f>
        <v/>
      </c>
      <c r="O202" s="11">
        <f>N202-SUM(J202:M202)</f>
        <v/>
      </c>
      <c r="P202" s="25">
        <f>SUMIFS(df_ajustes_conciliaco!D:D,df_ajustes_conciliaco!C:C,Conciliacao!A202)</f>
        <v/>
      </c>
      <c r="Q202" s="22">
        <f>O202+I202-P202</f>
        <v/>
      </c>
      <c r="BE202" s="20" t="n">
        <v>45858.5</v>
      </c>
      <c r="BF202" s="20" t="n">
        <v>45858.125</v>
      </c>
      <c r="BG202" s="20" t="n">
        <v>45858.54166666666</v>
      </c>
      <c r="BH202" s="20" t="n">
        <v>45858.625</v>
      </c>
    </row>
    <row r="203">
      <c r="A203" s="5">
        <f>A202+1</f>
        <v/>
      </c>
      <c r="B203" s="3">
        <f>-SUMIFS(df_extrato_zig!G:G,df_extrato_zig!E:E,Conciliacao!A203,df_extrato_zig!D:D,"Saque")-SUMIFS(df_extrato_zig!G:G,df_extrato_zig!E:E,Conciliacao!A203,df_extrato_zig!D:D,"Antecipação")</f>
        <v/>
      </c>
      <c r="C203" s="3">
        <f>SUMIFS(df_extrato_zig!E:E,df_extrato_zig!L:L,Conciliacao!A203,df_extrato_zig!F:F,"DINHEIRO")</f>
        <v/>
      </c>
      <c r="D203" s="3">
        <f>SUMIFS(view_parc_agrup!H:H,view_parc_agrup!G:G,Conciliacao!A203)</f>
        <v/>
      </c>
      <c r="E203" s="3">
        <f>SUMIFS(df_eventos!F:F,df_eventos!H:H,Conciliacao!A203)</f>
        <v/>
      </c>
      <c r="F203" s="3">
        <f>SUMIFS(df_mutuos!M:M,df_mutuos!B:B,Conciliacao!A203)</f>
        <v/>
      </c>
      <c r="G203" s="6">
        <f>SUMIFS(df_bloqueios_judiciais!G:G,df_bloqueios_judiciais!D:D,Conciliacao!A203,df_bloqueios_judiciais!G:G,"&gt;0")</f>
        <v/>
      </c>
      <c r="H203" s="7">
        <f>SUMIFS(df_extratos!I:I,df_extratos!F:F,"&gt;="&amp;Conciliacao!BE203,df_extratos!F:F,"&lt;"&amp;Conciliacao!BE203+1,df_extratos!G:G,"CREDITO")
+SUMIFS(df_extratos!I:I,df_extratos!F:F,"&gt;="&amp;Conciliacao!A203, df_extratos!F:F,"&lt;"&amp;Conciliacao!A203+1, df_extratos!G:G,"CREDITO")
+SUMIFS(df_extratos!I:I,df_extratos!F:F,"&gt;="&amp;Conciliacao!BF203,df_extratos!F:F,"&lt;"&amp;Conciliacao!BF203+1,df_extratos!G:G,"CREDITO")
+SUMIFS(df_extratos!I:I,df_extratos!F:F,"&gt;="&amp;Conciliacao!BG203,df_extratos!F:F,"&lt;"&amp;Conciliacao!BG203+1,df_extratos!G:G,"CREDITO")
+SUMIFS(df_extratos!I:I,df_extratos!F:F,"&gt;="&amp;Conciliacao!BH203,df_extratos!F:F,"&lt;"&amp;Conciliacao!BH203+1,df_extratos!G:G,"CREDITO")</f>
        <v/>
      </c>
      <c r="I203" s="9">
        <f>H203-SUM(B203:G203)</f>
        <v/>
      </c>
      <c r="J203" s="4">
        <f>SUMIFS(df_blueme_sem_parcelamento!E:E,df_blueme_sem_parcelamento!H:H,Conciliacao!A203)*(-1)</f>
        <v/>
      </c>
      <c r="K203" s="4">
        <f>SUMIFS(df_blueme_com_parcelamento!J:J,df_blueme_com_parcelamento!M:M,Conciliacao!A203)*(-1)</f>
        <v/>
      </c>
      <c r="L203" s="4">
        <f>SUMIFS(df_mutuos!N:N,df_mutuos!B:B,Conciliacao!A203)*(-1)</f>
        <v/>
      </c>
      <c r="M203" s="8">
        <f>SUMIFS(df_bloqueios_judiciais!G:G,df_bloqueios_judiciais!D:D,Conciliacao!A203,df_bloqueios_judiciais!G:G,"&lt;0")</f>
        <v/>
      </c>
      <c r="N203" s="10">
        <f>SUMIFS(df_extratos!I:I,df_extratos!F:F,"&gt;="&amp;Conciliacao!BE203,df_extratos!F:F,"&lt;"&amp;Conciliacao!BE203+1,df_extratos!G:G,"DEBITO")
+SUMIFS(df_extratos!I:I,df_extratos!F:F,"&gt;="&amp;Conciliacao!A203, df_extratos!F:F,"&lt;"&amp;Conciliacao!A203+1, df_extratos!G:G,"DEBITO")
+SUMIFS(df_extratos!I:I,df_extratos!F:F,"&gt;="&amp;Conciliacao!BF203,df_extratos!F:F,"&lt;"&amp;Conciliacao!BF203+1,df_extratos!G:G,"DEBITO")
+SUMIFS(df_extratos!I:I,df_extratos!F:F,"&gt;="&amp;Conciliacao!BG203,df_extratos!F:F,"&lt;"&amp;Conciliacao!BG203+1,df_extratos!G:G,"DEBITO")
+SUMIFS(df_extratos!I:I,df_extratos!F:F,"&gt;="&amp;Conciliacao!BH203,df_extratos!F:F,"&lt;"&amp;Conciliacao!BH203+1,df_extratos!G:G,"DEBITO")</f>
        <v/>
      </c>
      <c r="O203" s="11">
        <f>N203-SUM(J203:M203)</f>
        <v/>
      </c>
      <c r="P203" s="25">
        <f>SUMIFS(df_ajustes_conciliaco!D:D,df_ajustes_conciliaco!C:C,Conciliacao!A203)</f>
        <v/>
      </c>
      <c r="Q203" s="22">
        <f>O203+I203-P203</f>
        <v/>
      </c>
      <c r="BE203" s="20" t="n">
        <v>45859.5</v>
      </c>
      <c r="BF203" s="20" t="n">
        <v>45859.125</v>
      </c>
      <c r="BG203" s="20" t="n">
        <v>45859.54166666666</v>
      </c>
      <c r="BH203" s="20" t="n">
        <v>45859.625</v>
      </c>
    </row>
    <row r="204">
      <c r="A204" s="5">
        <f>A203+1</f>
        <v/>
      </c>
      <c r="B204" s="3">
        <f>-SUMIFS(df_extrato_zig!G:G,df_extrato_zig!E:E,Conciliacao!A204,df_extrato_zig!D:D,"Saque")-SUMIFS(df_extrato_zig!G:G,df_extrato_zig!E:E,Conciliacao!A204,df_extrato_zig!D:D,"Antecipação")</f>
        <v/>
      </c>
      <c r="C204" s="3">
        <f>SUMIFS(df_extrato_zig!E:E,df_extrato_zig!L:L,Conciliacao!A204,df_extrato_zig!F:F,"DINHEIRO")</f>
        <v/>
      </c>
      <c r="D204" s="3">
        <f>SUMIFS(view_parc_agrup!H:H,view_parc_agrup!G:G,Conciliacao!A204)</f>
        <v/>
      </c>
      <c r="E204" s="3">
        <f>SUMIFS(df_eventos!F:F,df_eventos!H:H,Conciliacao!A204)</f>
        <v/>
      </c>
      <c r="F204" s="3">
        <f>SUMIFS(df_mutuos!M:M,df_mutuos!B:B,Conciliacao!A204)</f>
        <v/>
      </c>
      <c r="G204" s="6">
        <f>SUMIFS(df_bloqueios_judiciais!G:G,df_bloqueios_judiciais!D:D,Conciliacao!A204,df_bloqueios_judiciais!G:G,"&gt;0")</f>
        <v/>
      </c>
      <c r="H204" s="7">
        <f>SUMIFS(df_extratos!I:I,df_extratos!F:F,"&gt;="&amp;Conciliacao!BE204,df_extratos!F:F,"&lt;"&amp;Conciliacao!BE204+1,df_extratos!G:G,"CREDITO")
+SUMIFS(df_extratos!I:I,df_extratos!F:F,"&gt;="&amp;Conciliacao!A204, df_extratos!F:F,"&lt;"&amp;Conciliacao!A204+1, df_extratos!G:G,"CREDITO")
+SUMIFS(df_extratos!I:I,df_extratos!F:F,"&gt;="&amp;Conciliacao!BF204,df_extratos!F:F,"&lt;"&amp;Conciliacao!BF204+1,df_extratos!G:G,"CREDITO")
+SUMIFS(df_extratos!I:I,df_extratos!F:F,"&gt;="&amp;Conciliacao!BG204,df_extratos!F:F,"&lt;"&amp;Conciliacao!BG204+1,df_extratos!G:G,"CREDITO")
+SUMIFS(df_extratos!I:I,df_extratos!F:F,"&gt;="&amp;Conciliacao!BH204,df_extratos!F:F,"&lt;"&amp;Conciliacao!BH204+1,df_extratos!G:G,"CREDITO")</f>
        <v/>
      </c>
      <c r="I204" s="9">
        <f>H204-SUM(B204:G204)</f>
        <v/>
      </c>
      <c r="J204" s="4">
        <f>SUMIFS(df_blueme_sem_parcelamento!E:E,df_blueme_sem_parcelamento!H:H,Conciliacao!A204)*(-1)</f>
        <v/>
      </c>
      <c r="K204" s="4">
        <f>SUMIFS(df_blueme_com_parcelamento!J:J,df_blueme_com_parcelamento!M:M,Conciliacao!A204)*(-1)</f>
        <v/>
      </c>
      <c r="L204" s="4">
        <f>SUMIFS(df_mutuos!N:N,df_mutuos!B:B,Conciliacao!A204)*(-1)</f>
        <v/>
      </c>
      <c r="M204" s="8">
        <f>SUMIFS(df_bloqueios_judiciais!G:G,df_bloqueios_judiciais!D:D,Conciliacao!A204,df_bloqueios_judiciais!G:G,"&lt;0")</f>
        <v/>
      </c>
      <c r="N204" s="10">
        <f>SUMIFS(df_extratos!I:I,df_extratos!F:F,"&gt;="&amp;Conciliacao!BE204,df_extratos!F:F,"&lt;"&amp;Conciliacao!BE204+1,df_extratos!G:G,"DEBITO")
+SUMIFS(df_extratos!I:I,df_extratos!F:F,"&gt;="&amp;Conciliacao!A204, df_extratos!F:F,"&lt;"&amp;Conciliacao!A204+1, df_extratos!G:G,"DEBITO")
+SUMIFS(df_extratos!I:I,df_extratos!F:F,"&gt;="&amp;Conciliacao!BF204,df_extratos!F:F,"&lt;"&amp;Conciliacao!BF204+1,df_extratos!G:G,"DEBITO")
+SUMIFS(df_extratos!I:I,df_extratos!F:F,"&gt;="&amp;Conciliacao!BG204,df_extratos!F:F,"&lt;"&amp;Conciliacao!BG204+1,df_extratos!G:G,"DEBITO")
+SUMIFS(df_extratos!I:I,df_extratos!F:F,"&gt;="&amp;Conciliacao!BH204,df_extratos!F:F,"&lt;"&amp;Conciliacao!BH204+1,df_extratos!G:G,"DEBITO")</f>
        <v/>
      </c>
      <c r="O204" s="11">
        <f>N204-SUM(J204:M204)</f>
        <v/>
      </c>
      <c r="P204" s="25">
        <f>SUMIFS(df_ajustes_conciliaco!D:D,df_ajustes_conciliaco!C:C,Conciliacao!A204)</f>
        <v/>
      </c>
      <c r="Q204" s="22">
        <f>O204+I204-P204</f>
        <v/>
      </c>
      <c r="BE204" s="20" t="n">
        <v>45860.5</v>
      </c>
      <c r="BF204" s="20" t="n">
        <v>45860.125</v>
      </c>
      <c r="BG204" s="20" t="n">
        <v>45860.54166666666</v>
      </c>
      <c r="BH204" s="20" t="n">
        <v>45860.625</v>
      </c>
    </row>
    <row r="205">
      <c r="A205" s="5">
        <f>A204+1</f>
        <v/>
      </c>
      <c r="B205" s="3">
        <f>-SUMIFS(df_extrato_zig!G:G,df_extrato_zig!E:E,Conciliacao!A205,df_extrato_zig!D:D,"Saque")-SUMIFS(df_extrato_zig!G:G,df_extrato_zig!E:E,Conciliacao!A205,df_extrato_zig!D:D,"Antecipação")</f>
        <v/>
      </c>
      <c r="C205" s="3">
        <f>SUMIFS(df_extrato_zig!E:E,df_extrato_zig!L:L,Conciliacao!A205,df_extrato_zig!F:F,"DINHEIRO")</f>
        <v/>
      </c>
      <c r="D205" s="3">
        <f>SUMIFS(view_parc_agrup!H:H,view_parc_agrup!G:G,Conciliacao!A205)</f>
        <v/>
      </c>
      <c r="E205" s="3">
        <f>SUMIFS(df_eventos!F:F,df_eventos!H:H,Conciliacao!A205)</f>
        <v/>
      </c>
      <c r="F205" s="3">
        <f>SUMIFS(df_mutuos!M:M,df_mutuos!B:B,Conciliacao!A205)</f>
        <v/>
      </c>
      <c r="G205" s="6">
        <f>SUMIFS(df_bloqueios_judiciais!G:G,df_bloqueios_judiciais!D:D,Conciliacao!A205,df_bloqueios_judiciais!G:G,"&gt;0")</f>
        <v/>
      </c>
      <c r="H205" s="7">
        <f>SUMIFS(df_extratos!I:I,df_extratos!F:F,"&gt;="&amp;Conciliacao!BE205,df_extratos!F:F,"&lt;"&amp;Conciliacao!BE205+1,df_extratos!G:G,"CREDITO")
+SUMIFS(df_extratos!I:I,df_extratos!F:F,"&gt;="&amp;Conciliacao!A205, df_extratos!F:F,"&lt;"&amp;Conciliacao!A205+1, df_extratos!G:G,"CREDITO")
+SUMIFS(df_extratos!I:I,df_extratos!F:F,"&gt;="&amp;Conciliacao!BF205,df_extratos!F:F,"&lt;"&amp;Conciliacao!BF205+1,df_extratos!G:G,"CREDITO")
+SUMIFS(df_extratos!I:I,df_extratos!F:F,"&gt;="&amp;Conciliacao!BG205,df_extratos!F:F,"&lt;"&amp;Conciliacao!BG205+1,df_extratos!G:G,"CREDITO")
+SUMIFS(df_extratos!I:I,df_extratos!F:F,"&gt;="&amp;Conciliacao!BH205,df_extratos!F:F,"&lt;"&amp;Conciliacao!BH205+1,df_extratos!G:G,"CREDITO")</f>
        <v/>
      </c>
      <c r="I205" s="9">
        <f>H205-SUM(B205:G205)</f>
        <v/>
      </c>
      <c r="J205" s="4">
        <f>SUMIFS(df_blueme_sem_parcelamento!E:E,df_blueme_sem_parcelamento!H:H,Conciliacao!A205)*(-1)</f>
        <v/>
      </c>
      <c r="K205" s="4">
        <f>SUMIFS(df_blueme_com_parcelamento!J:J,df_blueme_com_parcelamento!M:M,Conciliacao!A205)*(-1)</f>
        <v/>
      </c>
      <c r="L205" s="4">
        <f>SUMIFS(df_mutuos!N:N,df_mutuos!B:B,Conciliacao!A205)*(-1)</f>
        <v/>
      </c>
      <c r="M205" s="8">
        <f>SUMIFS(df_bloqueios_judiciais!G:G,df_bloqueios_judiciais!D:D,Conciliacao!A205,df_bloqueios_judiciais!G:G,"&lt;0")</f>
        <v/>
      </c>
      <c r="N205" s="10">
        <f>SUMIFS(df_extratos!I:I,df_extratos!F:F,"&gt;="&amp;Conciliacao!BE205,df_extratos!F:F,"&lt;"&amp;Conciliacao!BE205+1,df_extratos!G:G,"DEBITO")
+SUMIFS(df_extratos!I:I,df_extratos!F:F,"&gt;="&amp;Conciliacao!A205, df_extratos!F:F,"&lt;"&amp;Conciliacao!A205+1, df_extratos!G:G,"DEBITO")
+SUMIFS(df_extratos!I:I,df_extratos!F:F,"&gt;="&amp;Conciliacao!BF205,df_extratos!F:F,"&lt;"&amp;Conciliacao!BF205+1,df_extratos!G:G,"DEBITO")
+SUMIFS(df_extratos!I:I,df_extratos!F:F,"&gt;="&amp;Conciliacao!BG205,df_extratos!F:F,"&lt;"&amp;Conciliacao!BG205+1,df_extratos!G:G,"DEBITO")
+SUMIFS(df_extratos!I:I,df_extratos!F:F,"&gt;="&amp;Conciliacao!BH205,df_extratos!F:F,"&lt;"&amp;Conciliacao!BH205+1,df_extratos!G:G,"DEBITO")</f>
        <v/>
      </c>
      <c r="O205" s="11">
        <f>N205-SUM(J205:M205)</f>
        <v/>
      </c>
      <c r="P205" s="25">
        <f>SUMIFS(df_ajustes_conciliaco!D:D,df_ajustes_conciliaco!C:C,Conciliacao!A205)</f>
        <v/>
      </c>
      <c r="Q205" s="22">
        <f>O205+I205-P205</f>
        <v/>
      </c>
      <c r="BE205" s="20" t="n">
        <v>45861.5</v>
      </c>
      <c r="BF205" s="20" t="n">
        <v>45861.125</v>
      </c>
      <c r="BG205" s="20" t="n">
        <v>45861.54166666666</v>
      </c>
      <c r="BH205" s="20" t="n">
        <v>45861.625</v>
      </c>
    </row>
    <row r="206">
      <c r="A206" s="5">
        <f>A205+1</f>
        <v/>
      </c>
      <c r="B206" s="3">
        <f>-SUMIFS(df_extrato_zig!G:G,df_extrato_zig!E:E,Conciliacao!A206,df_extrato_zig!D:D,"Saque")-SUMIFS(df_extrato_zig!G:G,df_extrato_zig!E:E,Conciliacao!A206,df_extrato_zig!D:D,"Antecipação")</f>
        <v/>
      </c>
      <c r="C206" s="3">
        <f>SUMIFS(df_extrato_zig!E:E,df_extrato_zig!L:L,Conciliacao!A206,df_extrato_zig!F:F,"DINHEIRO")</f>
        <v/>
      </c>
      <c r="D206" s="3">
        <f>SUMIFS(view_parc_agrup!H:H,view_parc_agrup!G:G,Conciliacao!A206)</f>
        <v/>
      </c>
      <c r="E206" s="3">
        <f>SUMIFS(df_eventos!F:F,df_eventos!H:H,Conciliacao!A206)</f>
        <v/>
      </c>
      <c r="F206" s="3">
        <f>SUMIFS(df_mutuos!M:M,df_mutuos!B:B,Conciliacao!A206)</f>
        <v/>
      </c>
      <c r="G206" s="6">
        <f>SUMIFS(df_bloqueios_judiciais!G:G,df_bloqueios_judiciais!D:D,Conciliacao!A206,df_bloqueios_judiciais!G:G,"&gt;0")</f>
        <v/>
      </c>
      <c r="H206" s="7">
        <f>SUMIFS(df_extratos!I:I,df_extratos!F:F,"&gt;="&amp;Conciliacao!BE206,df_extratos!F:F,"&lt;"&amp;Conciliacao!BE206+1,df_extratos!G:G,"CREDITO")
+SUMIFS(df_extratos!I:I,df_extratos!F:F,"&gt;="&amp;Conciliacao!A206, df_extratos!F:F,"&lt;"&amp;Conciliacao!A206+1, df_extratos!G:G,"CREDITO")
+SUMIFS(df_extratos!I:I,df_extratos!F:F,"&gt;="&amp;Conciliacao!BF206,df_extratos!F:F,"&lt;"&amp;Conciliacao!BF206+1,df_extratos!G:G,"CREDITO")
+SUMIFS(df_extratos!I:I,df_extratos!F:F,"&gt;="&amp;Conciliacao!BG206,df_extratos!F:F,"&lt;"&amp;Conciliacao!BG206+1,df_extratos!G:G,"CREDITO")
+SUMIFS(df_extratos!I:I,df_extratos!F:F,"&gt;="&amp;Conciliacao!BH206,df_extratos!F:F,"&lt;"&amp;Conciliacao!BH206+1,df_extratos!G:G,"CREDITO")</f>
        <v/>
      </c>
      <c r="I206" s="9">
        <f>H206-SUM(B206:G206)</f>
        <v/>
      </c>
      <c r="J206" s="4">
        <f>SUMIFS(df_blueme_sem_parcelamento!E:E,df_blueme_sem_parcelamento!H:H,Conciliacao!A206)*(-1)</f>
        <v/>
      </c>
      <c r="K206" s="4">
        <f>SUMIFS(df_blueme_com_parcelamento!J:J,df_blueme_com_parcelamento!M:M,Conciliacao!A206)*(-1)</f>
        <v/>
      </c>
      <c r="L206" s="4">
        <f>SUMIFS(df_mutuos!N:N,df_mutuos!B:B,Conciliacao!A206)*(-1)</f>
        <v/>
      </c>
      <c r="M206" s="8">
        <f>SUMIFS(df_bloqueios_judiciais!G:G,df_bloqueios_judiciais!D:D,Conciliacao!A206,df_bloqueios_judiciais!G:G,"&lt;0")</f>
        <v/>
      </c>
      <c r="N206" s="10">
        <f>SUMIFS(df_extratos!I:I,df_extratos!F:F,"&gt;="&amp;Conciliacao!BE206,df_extratos!F:F,"&lt;"&amp;Conciliacao!BE206+1,df_extratos!G:G,"DEBITO")
+SUMIFS(df_extratos!I:I,df_extratos!F:F,"&gt;="&amp;Conciliacao!A206, df_extratos!F:F,"&lt;"&amp;Conciliacao!A206+1, df_extratos!G:G,"DEBITO")
+SUMIFS(df_extratos!I:I,df_extratos!F:F,"&gt;="&amp;Conciliacao!BF206,df_extratos!F:F,"&lt;"&amp;Conciliacao!BF206+1,df_extratos!G:G,"DEBITO")
+SUMIFS(df_extratos!I:I,df_extratos!F:F,"&gt;="&amp;Conciliacao!BG206,df_extratos!F:F,"&lt;"&amp;Conciliacao!BG206+1,df_extratos!G:G,"DEBITO")
+SUMIFS(df_extratos!I:I,df_extratos!F:F,"&gt;="&amp;Conciliacao!BH206,df_extratos!F:F,"&lt;"&amp;Conciliacao!BH206+1,df_extratos!G:G,"DEBITO")</f>
        <v/>
      </c>
      <c r="O206" s="11">
        <f>N206-SUM(J206:M206)</f>
        <v/>
      </c>
      <c r="P206" s="25">
        <f>SUMIFS(df_ajustes_conciliaco!D:D,df_ajustes_conciliaco!C:C,Conciliacao!A206)</f>
        <v/>
      </c>
      <c r="Q206" s="22">
        <f>O206+I206-P206</f>
        <v/>
      </c>
      <c r="BE206" s="20" t="n">
        <v>45862.5</v>
      </c>
      <c r="BF206" s="20" t="n">
        <v>45862.125</v>
      </c>
      <c r="BG206" s="20" t="n">
        <v>45862.54166666666</v>
      </c>
      <c r="BH206" s="20" t="n">
        <v>45862.625</v>
      </c>
    </row>
    <row r="207">
      <c r="A207" s="5">
        <f>A206+1</f>
        <v/>
      </c>
      <c r="B207" s="3">
        <f>-SUMIFS(df_extrato_zig!G:G,df_extrato_zig!E:E,Conciliacao!A207,df_extrato_zig!D:D,"Saque")-SUMIFS(df_extrato_zig!G:G,df_extrato_zig!E:E,Conciliacao!A207,df_extrato_zig!D:D,"Antecipação")</f>
        <v/>
      </c>
      <c r="C207" s="3">
        <f>SUMIFS(df_extrato_zig!E:E,df_extrato_zig!L:L,Conciliacao!A207,df_extrato_zig!F:F,"DINHEIRO")</f>
        <v/>
      </c>
      <c r="D207" s="3">
        <f>SUMIFS(view_parc_agrup!H:H,view_parc_agrup!G:G,Conciliacao!A207)</f>
        <v/>
      </c>
      <c r="E207" s="3">
        <f>SUMIFS(df_eventos!F:F,df_eventos!H:H,Conciliacao!A207)</f>
        <v/>
      </c>
      <c r="F207" s="3">
        <f>SUMIFS(df_mutuos!M:M,df_mutuos!B:B,Conciliacao!A207)</f>
        <v/>
      </c>
      <c r="G207" s="6">
        <f>SUMIFS(df_bloqueios_judiciais!G:G,df_bloqueios_judiciais!D:D,Conciliacao!A207,df_bloqueios_judiciais!G:G,"&gt;0")</f>
        <v/>
      </c>
      <c r="H207" s="7">
        <f>SUMIFS(df_extratos!I:I,df_extratos!F:F,"&gt;="&amp;Conciliacao!BE207,df_extratos!F:F,"&lt;"&amp;Conciliacao!BE207+1,df_extratos!G:G,"CREDITO")
+SUMIFS(df_extratos!I:I,df_extratos!F:F,"&gt;="&amp;Conciliacao!A207, df_extratos!F:F,"&lt;"&amp;Conciliacao!A207+1, df_extratos!G:G,"CREDITO")
+SUMIFS(df_extratos!I:I,df_extratos!F:F,"&gt;="&amp;Conciliacao!BF207,df_extratos!F:F,"&lt;"&amp;Conciliacao!BF207+1,df_extratos!G:G,"CREDITO")
+SUMIFS(df_extratos!I:I,df_extratos!F:F,"&gt;="&amp;Conciliacao!BG207,df_extratos!F:F,"&lt;"&amp;Conciliacao!BG207+1,df_extratos!G:G,"CREDITO")
+SUMIFS(df_extratos!I:I,df_extratos!F:F,"&gt;="&amp;Conciliacao!BH207,df_extratos!F:F,"&lt;"&amp;Conciliacao!BH207+1,df_extratos!G:G,"CREDITO")</f>
        <v/>
      </c>
      <c r="I207" s="9">
        <f>H207-SUM(B207:G207)</f>
        <v/>
      </c>
      <c r="J207" s="4">
        <f>SUMIFS(df_blueme_sem_parcelamento!E:E,df_blueme_sem_parcelamento!H:H,Conciliacao!A207)*(-1)</f>
        <v/>
      </c>
      <c r="K207" s="4">
        <f>SUMIFS(df_blueme_com_parcelamento!J:J,df_blueme_com_parcelamento!M:M,Conciliacao!A207)*(-1)</f>
        <v/>
      </c>
      <c r="L207" s="4">
        <f>SUMIFS(df_mutuos!N:N,df_mutuos!B:B,Conciliacao!A207)*(-1)</f>
        <v/>
      </c>
      <c r="M207" s="8">
        <f>SUMIFS(df_bloqueios_judiciais!G:G,df_bloqueios_judiciais!D:D,Conciliacao!A207,df_bloqueios_judiciais!G:G,"&lt;0")</f>
        <v/>
      </c>
      <c r="N207" s="10">
        <f>SUMIFS(df_extratos!I:I,df_extratos!F:F,"&gt;="&amp;Conciliacao!BE207,df_extratos!F:F,"&lt;"&amp;Conciliacao!BE207+1,df_extratos!G:G,"DEBITO")
+SUMIFS(df_extratos!I:I,df_extratos!F:F,"&gt;="&amp;Conciliacao!A207, df_extratos!F:F,"&lt;"&amp;Conciliacao!A207+1, df_extratos!G:G,"DEBITO")
+SUMIFS(df_extratos!I:I,df_extratos!F:F,"&gt;="&amp;Conciliacao!BF207,df_extratos!F:F,"&lt;"&amp;Conciliacao!BF207+1,df_extratos!G:G,"DEBITO")
+SUMIFS(df_extratos!I:I,df_extratos!F:F,"&gt;="&amp;Conciliacao!BG207,df_extratos!F:F,"&lt;"&amp;Conciliacao!BG207+1,df_extratos!G:G,"DEBITO")
+SUMIFS(df_extratos!I:I,df_extratos!F:F,"&gt;="&amp;Conciliacao!BH207,df_extratos!F:F,"&lt;"&amp;Conciliacao!BH207+1,df_extratos!G:G,"DEBITO")</f>
        <v/>
      </c>
      <c r="O207" s="11">
        <f>N207-SUM(J207:M207)</f>
        <v/>
      </c>
      <c r="P207" s="25">
        <f>SUMIFS(df_ajustes_conciliaco!D:D,df_ajustes_conciliaco!C:C,Conciliacao!A207)</f>
        <v/>
      </c>
      <c r="Q207" s="22">
        <f>O207+I207-P207</f>
        <v/>
      </c>
      <c r="BE207" s="20" t="n">
        <v>45863.5</v>
      </c>
      <c r="BF207" s="20" t="n">
        <v>45863.125</v>
      </c>
      <c r="BG207" s="20" t="n">
        <v>45863.54166666666</v>
      </c>
      <c r="BH207" s="20" t="n">
        <v>45863.625</v>
      </c>
    </row>
    <row r="208">
      <c r="A208" s="5">
        <f>A207+1</f>
        <v/>
      </c>
      <c r="B208" s="3">
        <f>-SUMIFS(df_extrato_zig!G:G,df_extrato_zig!E:E,Conciliacao!A208,df_extrato_zig!D:D,"Saque")-SUMIFS(df_extrato_zig!G:G,df_extrato_zig!E:E,Conciliacao!A208,df_extrato_zig!D:D,"Antecipação")</f>
        <v/>
      </c>
      <c r="C208" s="3">
        <f>SUMIFS(df_extrato_zig!E:E,df_extrato_zig!L:L,Conciliacao!A208,df_extrato_zig!F:F,"DINHEIRO")</f>
        <v/>
      </c>
      <c r="D208" s="3">
        <f>SUMIFS(view_parc_agrup!H:H,view_parc_agrup!G:G,Conciliacao!A208)</f>
        <v/>
      </c>
      <c r="E208" s="3">
        <f>SUMIFS(df_eventos!F:F,df_eventos!H:H,Conciliacao!A208)</f>
        <v/>
      </c>
      <c r="F208" s="3">
        <f>SUMIFS(df_mutuos!M:M,df_mutuos!B:B,Conciliacao!A208)</f>
        <v/>
      </c>
      <c r="G208" s="6">
        <f>SUMIFS(df_bloqueios_judiciais!G:G,df_bloqueios_judiciais!D:D,Conciliacao!A208,df_bloqueios_judiciais!G:G,"&gt;0")</f>
        <v/>
      </c>
      <c r="H208" s="7">
        <f>SUMIFS(df_extratos!I:I,df_extratos!F:F,"&gt;="&amp;Conciliacao!BE208,df_extratos!F:F,"&lt;"&amp;Conciliacao!BE208+1,df_extratos!G:G,"CREDITO")
+SUMIFS(df_extratos!I:I,df_extratos!F:F,"&gt;="&amp;Conciliacao!A208, df_extratos!F:F,"&lt;"&amp;Conciliacao!A208+1, df_extratos!G:G,"CREDITO")
+SUMIFS(df_extratos!I:I,df_extratos!F:F,"&gt;="&amp;Conciliacao!BF208,df_extratos!F:F,"&lt;"&amp;Conciliacao!BF208+1,df_extratos!G:G,"CREDITO")
+SUMIFS(df_extratos!I:I,df_extratos!F:F,"&gt;="&amp;Conciliacao!BG208,df_extratos!F:F,"&lt;"&amp;Conciliacao!BG208+1,df_extratos!G:G,"CREDITO")
+SUMIFS(df_extratos!I:I,df_extratos!F:F,"&gt;="&amp;Conciliacao!BH208,df_extratos!F:F,"&lt;"&amp;Conciliacao!BH208+1,df_extratos!G:G,"CREDITO")</f>
        <v/>
      </c>
      <c r="I208" s="9">
        <f>H208-SUM(B208:G208)</f>
        <v/>
      </c>
      <c r="J208" s="4">
        <f>SUMIFS(df_blueme_sem_parcelamento!E:E,df_blueme_sem_parcelamento!H:H,Conciliacao!A208)*(-1)</f>
        <v/>
      </c>
      <c r="K208" s="4">
        <f>SUMIFS(df_blueme_com_parcelamento!J:J,df_blueme_com_parcelamento!M:M,Conciliacao!A208)*(-1)</f>
        <v/>
      </c>
      <c r="L208" s="4">
        <f>SUMIFS(df_mutuos!N:N,df_mutuos!B:B,Conciliacao!A208)*(-1)</f>
        <v/>
      </c>
      <c r="M208" s="8">
        <f>SUMIFS(df_bloqueios_judiciais!G:G,df_bloqueios_judiciais!D:D,Conciliacao!A208,df_bloqueios_judiciais!G:G,"&lt;0")</f>
        <v/>
      </c>
      <c r="N208" s="10">
        <f>SUMIFS(df_extratos!I:I,df_extratos!F:F,"&gt;="&amp;Conciliacao!BE208,df_extratos!F:F,"&lt;"&amp;Conciliacao!BE208+1,df_extratos!G:G,"DEBITO")
+SUMIFS(df_extratos!I:I,df_extratos!F:F,"&gt;="&amp;Conciliacao!A208, df_extratos!F:F,"&lt;"&amp;Conciliacao!A208+1, df_extratos!G:G,"DEBITO")
+SUMIFS(df_extratos!I:I,df_extratos!F:F,"&gt;="&amp;Conciliacao!BF208,df_extratos!F:F,"&lt;"&amp;Conciliacao!BF208+1,df_extratos!G:G,"DEBITO")
+SUMIFS(df_extratos!I:I,df_extratos!F:F,"&gt;="&amp;Conciliacao!BG208,df_extratos!F:F,"&lt;"&amp;Conciliacao!BG208+1,df_extratos!G:G,"DEBITO")
+SUMIFS(df_extratos!I:I,df_extratos!F:F,"&gt;="&amp;Conciliacao!BH208,df_extratos!F:F,"&lt;"&amp;Conciliacao!BH208+1,df_extratos!G:G,"DEBITO")</f>
        <v/>
      </c>
      <c r="O208" s="11">
        <f>N208-SUM(J208:M208)</f>
        <v/>
      </c>
      <c r="P208" s="25">
        <f>SUMIFS(df_ajustes_conciliaco!D:D,df_ajustes_conciliaco!C:C,Conciliacao!A208)</f>
        <v/>
      </c>
      <c r="Q208" s="22">
        <f>O208+I208-P208</f>
        <v/>
      </c>
      <c r="BE208" s="20" t="n">
        <v>45864.5</v>
      </c>
      <c r="BF208" s="20" t="n">
        <v>45864.125</v>
      </c>
      <c r="BG208" s="20" t="n">
        <v>45864.54166666666</v>
      </c>
      <c r="BH208" s="20" t="n">
        <v>45864.625</v>
      </c>
    </row>
    <row r="209">
      <c r="A209" s="5">
        <f>A208+1</f>
        <v/>
      </c>
      <c r="B209" s="3">
        <f>-SUMIFS(df_extrato_zig!G:G,df_extrato_zig!E:E,Conciliacao!A209,df_extrato_zig!D:D,"Saque")-SUMIFS(df_extrato_zig!G:G,df_extrato_zig!E:E,Conciliacao!A209,df_extrato_zig!D:D,"Antecipação")</f>
        <v/>
      </c>
      <c r="C209" s="3">
        <f>SUMIFS(df_extrato_zig!E:E,df_extrato_zig!L:L,Conciliacao!A209,df_extrato_zig!F:F,"DINHEIRO")</f>
        <v/>
      </c>
      <c r="D209" s="3">
        <f>SUMIFS(view_parc_agrup!H:H,view_parc_agrup!G:G,Conciliacao!A209)</f>
        <v/>
      </c>
      <c r="E209" s="3">
        <f>SUMIFS(df_eventos!F:F,df_eventos!H:H,Conciliacao!A209)</f>
        <v/>
      </c>
      <c r="F209" s="3">
        <f>SUMIFS(df_mutuos!M:M,df_mutuos!B:B,Conciliacao!A209)</f>
        <v/>
      </c>
      <c r="G209" s="6">
        <f>SUMIFS(df_bloqueios_judiciais!G:G,df_bloqueios_judiciais!D:D,Conciliacao!A209,df_bloqueios_judiciais!G:G,"&gt;0")</f>
        <v/>
      </c>
      <c r="H209" s="7">
        <f>SUMIFS(df_extratos!I:I,df_extratos!F:F,"&gt;="&amp;Conciliacao!BE209,df_extratos!F:F,"&lt;"&amp;Conciliacao!BE209+1,df_extratos!G:G,"CREDITO")
+SUMIFS(df_extratos!I:I,df_extratos!F:F,"&gt;="&amp;Conciliacao!A209, df_extratos!F:F,"&lt;"&amp;Conciliacao!A209+1, df_extratos!G:G,"CREDITO")
+SUMIFS(df_extratos!I:I,df_extratos!F:F,"&gt;="&amp;Conciliacao!BF209,df_extratos!F:F,"&lt;"&amp;Conciliacao!BF209+1,df_extratos!G:G,"CREDITO")
+SUMIFS(df_extratos!I:I,df_extratos!F:F,"&gt;="&amp;Conciliacao!BG209,df_extratos!F:F,"&lt;"&amp;Conciliacao!BG209+1,df_extratos!G:G,"CREDITO")
+SUMIFS(df_extratos!I:I,df_extratos!F:F,"&gt;="&amp;Conciliacao!BH209,df_extratos!F:F,"&lt;"&amp;Conciliacao!BH209+1,df_extratos!G:G,"CREDITO")</f>
        <v/>
      </c>
      <c r="I209" s="9">
        <f>H209-SUM(B209:G209)</f>
        <v/>
      </c>
      <c r="J209" s="4">
        <f>SUMIFS(df_blueme_sem_parcelamento!E:E,df_blueme_sem_parcelamento!H:H,Conciliacao!A209)*(-1)</f>
        <v/>
      </c>
      <c r="K209" s="4">
        <f>SUMIFS(df_blueme_com_parcelamento!J:J,df_blueme_com_parcelamento!M:M,Conciliacao!A209)*(-1)</f>
        <v/>
      </c>
      <c r="L209" s="4">
        <f>SUMIFS(df_mutuos!N:N,df_mutuos!B:B,Conciliacao!A209)*(-1)</f>
        <v/>
      </c>
      <c r="M209" s="8">
        <f>SUMIFS(df_bloqueios_judiciais!G:G,df_bloqueios_judiciais!D:D,Conciliacao!A209,df_bloqueios_judiciais!G:G,"&lt;0")</f>
        <v/>
      </c>
      <c r="N209" s="10">
        <f>SUMIFS(df_extratos!I:I,df_extratos!F:F,"&gt;="&amp;Conciliacao!BE209,df_extratos!F:F,"&lt;"&amp;Conciliacao!BE209+1,df_extratos!G:G,"DEBITO")
+SUMIFS(df_extratos!I:I,df_extratos!F:F,"&gt;="&amp;Conciliacao!A209, df_extratos!F:F,"&lt;"&amp;Conciliacao!A209+1, df_extratos!G:G,"DEBITO")
+SUMIFS(df_extratos!I:I,df_extratos!F:F,"&gt;="&amp;Conciliacao!BF209,df_extratos!F:F,"&lt;"&amp;Conciliacao!BF209+1,df_extratos!G:G,"DEBITO")
+SUMIFS(df_extratos!I:I,df_extratos!F:F,"&gt;="&amp;Conciliacao!BG209,df_extratos!F:F,"&lt;"&amp;Conciliacao!BG209+1,df_extratos!G:G,"DEBITO")
+SUMIFS(df_extratos!I:I,df_extratos!F:F,"&gt;="&amp;Conciliacao!BH209,df_extratos!F:F,"&lt;"&amp;Conciliacao!BH209+1,df_extratos!G:G,"DEBITO")</f>
        <v/>
      </c>
      <c r="O209" s="11">
        <f>N209-SUM(J209:M209)</f>
        <v/>
      </c>
      <c r="P209" s="25">
        <f>SUMIFS(df_ajustes_conciliaco!D:D,df_ajustes_conciliaco!C:C,Conciliacao!A209)</f>
        <v/>
      </c>
      <c r="Q209" s="22">
        <f>O209+I209-P209</f>
        <v/>
      </c>
      <c r="BE209" s="20" t="n">
        <v>45865.5</v>
      </c>
      <c r="BF209" s="20" t="n">
        <v>45865.125</v>
      </c>
      <c r="BG209" s="20" t="n">
        <v>45865.54166666666</v>
      </c>
      <c r="BH209" s="20" t="n">
        <v>45865.625</v>
      </c>
    </row>
    <row r="210">
      <c r="A210" s="5">
        <f>A209+1</f>
        <v/>
      </c>
      <c r="B210" s="3">
        <f>-SUMIFS(df_extrato_zig!G:G,df_extrato_zig!E:E,Conciliacao!A210,df_extrato_zig!D:D,"Saque")-SUMIFS(df_extrato_zig!G:G,df_extrato_zig!E:E,Conciliacao!A210,df_extrato_zig!D:D,"Antecipação")</f>
        <v/>
      </c>
      <c r="C210" s="3">
        <f>SUMIFS(df_extrato_zig!E:E,df_extrato_zig!L:L,Conciliacao!A210,df_extrato_zig!F:F,"DINHEIRO")</f>
        <v/>
      </c>
      <c r="D210" s="3">
        <f>SUMIFS(view_parc_agrup!H:H,view_parc_agrup!G:G,Conciliacao!A210)</f>
        <v/>
      </c>
      <c r="E210" s="3">
        <f>SUMIFS(df_eventos!F:F,df_eventos!H:H,Conciliacao!A210)</f>
        <v/>
      </c>
      <c r="F210" s="3">
        <f>SUMIFS(df_mutuos!M:M,df_mutuos!B:B,Conciliacao!A210)</f>
        <v/>
      </c>
      <c r="G210" s="6">
        <f>SUMIFS(df_bloqueios_judiciais!G:G,df_bloqueios_judiciais!D:D,Conciliacao!A210,df_bloqueios_judiciais!G:G,"&gt;0")</f>
        <v/>
      </c>
      <c r="H210" s="7">
        <f>SUMIFS(df_extratos!I:I,df_extratos!F:F,"&gt;="&amp;Conciliacao!BE210,df_extratos!F:F,"&lt;"&amp;Conciliacao!BE210+1,df_extratos!G:G,"CREDITO")
+SUMIFS(df_extratos!I:I,df_extratos!F:F,"&gt;="&amp;Conciliacao!A210, df_extratos!F:F,"&lt;"&amp;Conciliacao!A210+1, df_extratos!G:G,"CREDITO")
+SUMIFS(df_extratos!I:I,df_extratos!F:F,"&gt;="&amp;Conciliacao!BF210,df_extratos!F:F,"&lt;"&amp;Conciliacao!BF210+1,df_extratos!G:G,"CREDITO")
+SUMIFS(df_extratos!I:I,df_extratos!F:F,"&gt;="&amp;Conciliacao!BG210,df_extratos!F:F,"&lt;"&amp;Conciliacao!BG210+1,df_extratos!G:G,"CREDITO")
+SUMIFS(df_extratos!I:I,df_extratos!F:F,"&gt;="&amp;Conciliacao!BH210,df_extratos!F:F,"&lt;"&amp;Conciliacao!BH210+1,df_extratos!G:G,"CREDITO")</f>
        <v/>
      </c>
      <c r="I210" s="9">
        <f>H210-SUM(B210:G210)</f>
        <v/>
      </c>
      <c r="J210" s="4">
        <f>SUMIFS(df_blueme_sem_parcelamento!E:E,df_blueme_sem_parcelamento!H:H,Conciliacao!A210)*(-1)</f>
        <v/>
      </c>
      <c r="K210" s="4">
        <f>SUMIFS(df_blueme_com_parcelamento!J:J,df_blueme_com_parcelamento!M:M,Conciliacao!A210)*(-1)</f>
        <v/>
      </c>
      <c r="L210" s="4">
        <f>SUMIFS(df_mutuos!N:N,df_mutuos!B:B,Conciliacao!A210)*(-1)</f>
        <v/>
      </c>
      <c r="M210" s="8">
        <f>SUMIFS(df_bloqueios_judiciais!G:G,df_bloqueios_judiciais!D:D,Conciliacao!A210,df_bloqueios_judiciais!G:G,"&lt;0")</f>
        <v/>
      </c>
      <c r="N210" s="10">
        <f>SUMIFS(df_extratos!I:I,df_extratos!F:F,"&gt;="&amp;Conciliacao!BE210,df_extratos!F:F,"&lt;"&amp;Conciliacao!BE210+1,df_extratos!G:G,"DEBITO")
+SUMIFS(df_extratos!I:I,df_extratos!F:F,"&gt;="&amp;Conciliacao!A210, df_extratos!F:F,"&lt;"&amp;Conciliacao!A210+1, df_extratos!G:G,"DEBITO")
+SUMIFS(df_extratos!I:I,df_extratos!F:F,"&gt;="&amp;Conciliacao!BF210,df_extratos!F:F,"&lt;"&amp;Conciliacao!BF210+1,df_extratos!G:G,"DEBITO")
+SUMIFS(df_extratos!I:I,df_extratos!F:F,"&gt;="&amp;Conciliacao!BG210,df_extratos!F:F,"&lt;"&amp;Conciliacao!BG210+1,df_extratos!G:G,"DEBITO")
+SUMIFS(df_extratos!I:I,df_extratos!F:F,"&gt;="&amp;Conciliacao!BH210,df_extratos!F:F,"&lt;"&amp;Conciliacao!BH210+1,df_extratos!G:G,"DEBITO")</f>
        <v/>
      </c>
      <c r="O210" s="11">
        <f>N210-SUM(J210:M210)</f>
        <v/>
      </c>
      <c r="P210" s="25">
        <f>SUMIFS(df_ajustes_conciliaco!D:D,df_ajustes_conciliaco!C:C,Conciliacao!A210)</f>
        <v/>
      </c>
      <c r="Q210" s="22">
        <f>O210+I210-P210</f>
        <v/>
      </c>
      <c r="BE210" s="20" t="n">
        <v>45866.5</v>
      </c>
      <c r="BF210" s="20" t="n">
        <v>45866.125</v>
      </c>
      <c r="BG210" s="20" t="n">
        <v>45866.54166666666</v>
      </c>
      <c r="BH210" s="20" t="n">
        <v>45866.625</v>
      </c>
    </row>
    <row r="211">
      <c r="A211" s="5">
        <f>A210+1</f>
        <v/>
      </c>
      <c r="B211" s="3">
        <f>-SUMIFS(df_extrato_zig!G:G,df_extrato_zig!E:E,Conciliacao!A211,df_extrato_zig!D:D,"Saque")-SUMIFS(df_extrato_zig!G:G,df_extrato_zig!E:E,Conciliacao!A211,df_extrato_zig!D:D,"Antecipação")</f>
        <v/>
      </c>
      <c r="C211" s="3">
        <f>SUMIFS(df_extrato_zig!E:E,df_extrato_zig!L:L,Conciliacao!A211,df_extrato_zig!F:F,"DINHEIRO")</f>
        <v/>
      </c>
      <c r="D211" s="3">
        <f>SUMIFS(view_parc_agrup!H:H,view_parc_agrup!G:G,Conciliacao!A211)</f>
        <v/>
      </c>
      <c r="E211" s="3">
        <f>SUMIFS(df_eventos!F:F,df_eventos!H:H,Conciliacao!A211)</f>
        <v/>
      </c>
      <c r="F211" s="3">
        <f>SUMIFS(df_mutuos!M:M,df_mutuos!B:B,Conciliacao!A211)</f>
        <v/>
      </c>
      <c r="G211" s="6">
        <f>SUMIFS(df_bloqueios_judiciais!G:G,df_bloqueios_judiciais!D:D,Conciliacao!A211,df_bloqueios_judiciais!G:G,"&gt;0")</f>
        <v/>
      </c>
      <c r="H211" s="7">
        <f>SUMIFS(df_extratos!I:I,df_extratos!F:F,"&gt;="&amp;Conciliacao!BE211,df_extratos!F:F,"&lt;"&amp;Conciliacao!BE211+1,df_extratos!G:G,"CREDITO")
+SUMIFS(df_extratos!I:I,df_extratos!F:F,"&gt;="&amp;Conciliacao!A211, df_extratos!F:F,"&lt;"&amp;Conciliacao!A211+1, df_extratos!G:G,"CREDITO")
+SUMIFS(df_extratos!I:I,df_extratos!F:F,"&gt;="&amp;Conciliacao!BF211,df_extratos!F:F,"&lt;"&amp;Conciliacao!BF211+1,df_extratos!G:G,"CREDITO")
+SUMIFS(df_extratos!I:I,df_extratos!F:F,"&gt;="&amp;Conciliacao!BG211,df_extratos!F:F,"&lt;"&amp;Conciliacao!BG211+1,df_extratos!G:G,"CREDITO")
+SUMIFS(df_extratos!I:I,df_extratos!F:F,"&gt;="&amp;Conciliacao!BH211,df_extratos!F:F,"&lt;"&amp;Conciliacao!BH211+1,df_extratos!G:G,"CREDITO")</f>
        <v/>
      </c>
      <c r="I211" s="9">
        <f>H211-SUM(B211:G211)</f>
        <v/>
      </c>
      <c r="J211" s="4">
        <f>SUMIFS(df_blueme_sem_parcelamento!E:E,df_blueme_sem_parcelamento!H:H,Conciliacao!A211)*(-1)</f>
        <v/>
      </c>
      <c r="K211" s="4">
        <f>SUMIFS(df_blueme_com_parcelamento!J:J,df_blueme_com_parcelamento!M:M,Conciliacao!A211)*(-1)</f>
        <v/>
      </c>
      <c r="L211" s="4">
        <f>SUMIFS(df_mutuos!N:N,df_mutuos!B:B,Conciliacao!A211)*(-1)</f>
        <v/>
      </c>
      <c r="M211" s="8">
        <f>SUMIFS(df_bloqueios_judiciais!G:G,df_bloqueios_judiciais!D:D,Conciliacao!A211,df_bloqueios_judiciais!G:G,"&lt;0")</f>
        <v/>
      </c>
      <c r="N211" s="10">
        <f>SUMIFS(df_extratos!I:I,df_extratos!F:F,"&gt;="&amp;Conciliacao!BE211,df_extratos!F:F,"&lt;"&amp;Conciliacao!BE211+1,df_extratos!G:G,"DEBITO")
+SUMIFS(df_extratos!I:I,df_extratos!F:F,"&gt;="&amp;Conciliacao!A211, df_extratos!F:F,"&lt;"&amp;Conciliacao!A211+1, df_extratos!G:G,"DEBITO")
+SUMIFS(df_extratos!I:I,df_extratos!F:F,"&gt;="&amp;Conciliacao!BF211,df_extratos!F:F,"&lt;"&amp;Conciliacao!BF211+1,df_extratos!G:G,"DEBITO")
+SUMIFS(df_extratos!I:I,df_extratos!F:F,"&gt;="&amp;Conciliacao!BG211,df_extratos!F:F,"&lt;"&amp;Conciliacao!BG211+1,df_extratos!G:G,"DEBITO")
+SUMIFS(df_extratos!I:I,df_extratos!F:F,"&gt;="&amp;Conciliacao!BH211,df_extratos!F:F,"&lt;"&amp;Conciliacao!BH211+1,df_extratos!G:G,"DEBITO")</f>
        <v/>
      </c>
      <c r="O211" s="11">
        <f>N211-SUM(J211:M211)</f>
        <v/>
      </c>
      <c r="P211" s="25">
        <f>SUMIFS(df_ajustes_conciliaco!D:D,df_ajustes_conciliaco!C:C,Conciliacao!A211)</f>
        <v/>
      </c>
      <c r="Q211" s="22">
        <f>O211+I211-P211</f>
        <v/>
      </c>
      <c r="BE211" s="20" t="n">
        <v>45867.5</v>
      </c>
      <c r="BF211" s="20" t="n">
        <v>45867.125</v>
      </c>
      <c r="BG211" s="20" t="n">
        <v>45867.54166666666</v>
      </c>
      <c r="BH211" s="20" t="n">
        <v>45867.625</v>
      </c>
    </row>
    <row r="212">
      <c r="A212" s="5">
        <f>A211+1</f>
        <v/>
      </c>
      <c r="B212" s="3">
        <f>-SUMIFS(df_extrato_zig!G:G,df_extrato_zig!E:E,Conciliacao!A212,df_extrato_zig!D:D,"Saque")-SUMIFS(df_extrato_zig!G:G,df_extrato_zig!E:E,Conciliacao!A212,df_extrato_zig!D:D,"Antecipação")</f>
        <v/>
      </c>
      <c r="C212" s="3">
        <f>SUMIFS(df_extrato_zig!E:E,df_extrato_zig!L:L,Conciliacao!A212,df_extrato_zig!F:F,"DINHEIRO")</f>
        <v/>
      </c>
      <c r="D212" s="3">
        <f>SUMIFS(view_parc_agrup!H:H,view_parc_agrup!G:G,Conciliacao!A212)</f>
        <v/>
      </c>
      <c r="E212" s="3">
        <f>SUMIFS(df_eventos!F:F,df_eventos!H:H,Conciliacao!A212)</f>
        <v/>
      </c>
      <c r="F212" s="3">
        <f>SUMIFS(df_mutuos!M:M,df_mutuos!B:B,Conciliacao!A212)</f>
        <v/>
      </c>
      <c r="G212" s="6">
        <f>SUMIFS(df_bloqueios_judiciais!G:G,df_bloqueios_judiciais!D:D,Conciliacao!A212,df_bloqueios_judiciais!G:G,"&gt;0")</f>
        <v/>
      </c>
      <c r="H212" s="7">
        <f>SUMIFS(df_extratos!I:I,df_extratos!F:F,"&gt;="&amp;Conciliacao!BE212,df_extratos!F:F,"&lt;"&amp;Conciliacao!BE212+1,df_extratos!G:G,"CREDITO")
+SUMIFS(df_extratos!I:I,df_extratos!F:F,"&gt;="&amp;Conciliacao!A212, df_extratos!F:F,"&lt;"&amp;Conciliacao!A212+1, df_extratos!G:G,"CREDITO")
+SUMIFS(df_extratos!I:I,df_extratos!F:F,"&gt;="&amp;Conciliacao!BF212,df_extratos!F:F,"&lt;"&amp;Conciliacao!BF212+1,df_extratos!G:G,"CREDITO")
+SUMIFS(df_extratos!I:I,df_extratos!F:F,"&gt;="&amp;Conciliacao!BG212,df_extratos!F:F,"&lt;"&amp;Conciliacao!BG212+1,df_extratos!G:G,"CREDITO")
+SUMIFS(df_extratos!I:I,df_extratos!F:F,"&gt;="&amp;Conciliacao!BH212,df_extratos!F:F,"&lt;"&amp;Conciliacao!BH212+1,df_extratos!G:G,"CREDITO")</f>
        <v/>
      </c>
      <c r="I212" s="9">
        <f>H212-SUM(B212:G212)</f>
        <v/>
      </c>
      <c r="J212" s="4">
        <f>SUMIFS(df_blueme_sem_parcelamento!E:E,df_blueme_sem_parcelamento!H:H,Conciliacao!A212)*(-1)</f>
        <v/>
      </c>
      <c r="K212" s="4">
        <f>SUMIFS(df_blueme_com_parcelamento!J:J,df_blueme_com_parcelamento!M:M,Conciliacao!A212)*(-1)</f>
        <v/>
      </c>
      <c r="L212" s="4">
        <f>SUMIFS(df_mutuos!N:N,df_mutuos!B:B,Conciliacao!A212)*(-1)</f>
        <v/>
      </c>
      <c r="M212" s="8">
        <f>SUMIFS(df_bloqueios_judiciais!G:G,df_bloqueios_judiciais!D:D,Conciliacao!A212,df_bloqueios_judiciais!G:G,"&lt;0")</f>
        <v/>
      </c>
      <c r="N212" s="10">
        <f>SUMIFS(df_extratos!I:I,df_extratos!F:F,"&gt;="&amp;Conciliacao!BE212,df_extratos!F:F,"&lt;"&amp;Conciliacao!BE212+1,df_extratos!G:G,"DEBITO")
+SUMIFS(df_extratos!I:I,df_extratos!F:F,"&gt;="&amp;Conciliacao!A212, df_extratos!F:F,"&lt;"&amp;Conciliacao!A212+1, df_extratos!G:G,"DEBITO")
+SUMIFS(df_extratos!I:I,df_extratos!F:F,"&gt;="&amp;Conciliacao!BF212,df_extratos!F:F,"&lt;"&amp;Conciliacao!BF212+1,df_extratos!G:G,"DEBITO")
+SUMIFS(df_extratos!I:I,df_extratos!F:F,"&gt;="&amp;Conciliacao!BG212,df_extratos!F:F,"&lt;"&amp;Conciliacao!BG212+1,df_extratos!G:G,"DEBITO")
+SUMIFS(df_extratos!I:I,df_extratos!F:F,"&gt;="&amp;Conciliacao!BH212,df_extratos!F:F,"&lt;"&amp;Conciliacao!BH212+1,df_extratos!G:G,"DEBITO")</f>
        <v/>
      </c>
      <c r="O212" s="11">
        <f>N212-SUM(J212:M212)</f>
        <v/>
      </c>
      <c r="P212" s="25">
        <f>SUMIFS(df_ajustes_conciliaco!D:D,df_ajustes_conciliaco!C:C,Conciliacao!A212)</f>
        <v/>
      </c>
      <c r="Q212" s="22">
        <f>O212+I212-P212</f>
        <v/>
      </c>
      <c r="BE212" s="20" t="n">
        <v>45868.5</v>
      </c>
      <c r="BF212" s="20" t="n">
        <v>45868.125</v>
      </c>
      <c r="BG212" s="20" t="n">
        <v>45868.54166666666</v>
      </c>
      <c r="BH212" s="20" t="n">
        <v>45868.625</v>
      </c>
    </row>
    <row r="213">
      <c r="A213" s="5">
        <f>A212+1</f>
        <v/>
      </c>
      <c r="B213" s="3">
        <f>-SUMIFS(df_extrato_zig!G:G,df_extrato_zig!E:E,Conciliacao!A213,df_extrato_zig!D:D,"Saque")-SUMIFS(df_extrato_zig!G:G,df_extrato_zig!E:E,Conciliacao!A213,df_extrato_zig!D:D,"Antecipação")</f>
        <v/>
      </c>
      <c r="C213" s="3">
        <f>SUMIFS(df_extrato_zig!E:E,df_extrato_zig!L:L,Conciliacao!A213,df_extrato_zig!F:F,"DINHEIRO")</f>
        <v/>
      </c>
      <c r="D213" s="3">
        <f>SUMIFS(view_parc_agrup!H:H,view_parc_agrup!G:G,Conciliacao!A213)</f>
        <v/>
      </c>
      <c r="E213" s="3">
        <f>SUMIFS(df_eventos!F:F,df_eventos!H:H,Conciliacao!A213)</f>
        <v/>
      </c>
      <c r="F213" s="3">
        <f>SUMIFS(df_mutuos!M:M,df_mutuos!B:B,Conciliacao!A213)</f>
        <v/>
      </c>
      <c r="G213" s="6">
        <f>SUMIFS(df_bloqueios_judiciais!G:G,df_bloqueios_judiciais!D:D,Conciliacao!A213,df_bloqueios_judiciais!G:G,"&gt;0")</f>
        <v/>
      </c>
      <c r="H213" s="7">
        <f>SUMIFS(df_extratos!I:I,df_extratos!F:F,"&gt;="&amp;Conciliacao!BE213,df_extratos!F:F,"&lt;"&amp;Conciliacao!BE213+1,df_extratos!G:G,"CREDITO")
+SUMIFS(df_extratos!I:I,df_extratos!F:F,"&gt;="&amp;Conciliacao!A213, df_extratos!F:F,"&lt;"&amp;Conciliacao!A213+1, df_extratos!G:G,"CREDITO")
+SUMIFS(df_extratos!I:I,df_extratos!F:F,"&gt;="&amp;Conciliacao!BF213,df_extratos!F:F,"&lt;"&amp;Conciliacao!BF213+1,df_extratos!G:G,"CREDITO")
+SUMIFS(df_extratos!I:I,df_extratos!F:F,"&gt;="&amp;Conciliacao!BG213,df_extratos!F:F,"&lt;"&amp;Conciliacao!BG213+1,df_extratos!G:G,"CREDITO")
+SUMIFS(df_extratos!I:I,df_extratos!F:F,"&gt;="&amp;Conciliacao!BH213,df_extratos!F:F,"&lt;"&amp;Conciliacao!BH213+1,df_extratos!G:G,"CREDITO")</f>
        <v/>
      </c>
      <c r="I213" s="9">
        <f>H213-SUM(B213:G213)</f>
        <v/>
      </c>
      <c r="J213" s="4">
        <f>SUMIFS(df_blueme_sem_parcelamento!E:E,df_blueme_sem_parcelamento!H:H,Conciliacao!A213)*(-1)</f>
        <v/>
      </c>
      <c r="K213" s="4">
        <f>SUMIFS(df_blueme_com_parcelamento!J:J,df_blueme_com_parcelamento!M:M,Conciliacao!A213)*(-1)</f>
        <v/>
      </c>
      <c r="L213" s="4">
        <f>SUMIFS(df_mutuos!N:N,df_mutuos!B:B,Conciliacao!A213)*(-1)</f>
        <v/>
      </c>
      <c r="M213" s="8">
        <f>SUMIFS(df_bloqueios_judiciais!G:G,df_bloqueios_judiciais!D:D,Conciliacao!A213,df_bloqueios_judiciais!G:G,"&lt;0")</f>
        <v/>
      </c>
      <c r="N213" s="10">
        <f>SUMIFS(df_extratos!I:I,df_extratos!F:F,"&gt;="&amp;Conciliacao!BE213,df_extratos!F:F,"&lt;"&amp;Conciliacao!BE213+1,df_extratos!G:G,"DEBITO")
+SUMIFS(df_extratos!I:I,df_extratos!F:F,"&gt;="&amp;Conciliacao!A213, df_extratos!F:F,"&lt;"&amp;Conciliacao!A213+1, df_extratos!G:G,"DEBITO")
+SUMIFS(df_extratos!I:I,df_extratos!F:F,"&gt;="&amp;Conciliacao!BF213,df_extratos!F:F,"&lt;"&amp;Conciliacao!BF213+1,df_extratos!G:G,"DEBITO")
+SUMIFS(df_extratos!I:I,df_extratos!F:F,"&gt;="&amp;Conciliacao!BG213,df_extratos!F:F,"&lt;"&amp;Conciliacao!BG213+1,df_extratos!G:G,"DEBITO")
+SUMIFS(df_extratos!I:I,df_extratos!F:F,"&gt;="&amp;Conciliacao!BH213,df_extratos!F:F,"&lt;"&amp;Conciliacao!BH213+1,df_extratos!G:G,"DEBITO")</f>
        <v/>
      </c>
      <c r="O213" s="11">
        <f>N213-SUM(J213:M213)</f>
        <v/>
      </c>
      <c r="P213" s="25">
        <f>SUMIFS(df_ajustes_conciliaco!D:D,df_ajustes_conciliaco!C:C,Conciliacao!A213)</f>
        <v/>
      </c>
      <c r="Q213" s="22">
        <f>O213+I213-P213</f>
        <v/>
      </c>
      <c r="BE213" s="20" t="n">
        <v>45869.5</v>
      </c>
      <c r="BF213" s="20" t="n">
        <v>45869.125</v>
      </c>
      <c r="BG213" s="20" t="n">
        <v>45869.54166666666</v>
      </c>
      <c r="BH213" s="20" t="n">
        <v>45869.625</v>
      </c>
    </row>
    <row r="214">
      <c r="A214" s="5">
        <f>A213+1</f>
        <v/>
      </c>
      <c r="B214" s="3">
        <f>-SUMIFS(df_extrato_zig!G:G,df_extrato_zig!E:E,Conciliacao!A214,df_extrato_zig!D:D,"Saque")-SUMIFS(df_extrato_zig!G:G,df_extrato_zig!E:E,Conciliacao!A214,df_extrato_zig!D:D,"Antecipação")</f>
        <v/>
      </c>
      <c r="C214" s="3">
        <f>SUMIFS(df_extrato_zig!E:E,df_extrato_zig!L:L,Conciliacao!A214,df_extrato_zig!F:F,"DINHEIRO")</f>
        <v/>
      </c>
      <c r="D214" s="3">
        <f>SUMIFS(view_parc_agrup!H:H,view_parc_agrup!G:G,Conciliacao!A214)</f>
        <v/>
      </c>
      <c r="E214" s="3">
        <f>SUMIFS(df_eventos!F:F,df_eventos!H:H,Conciliacao!A214)</f>
        <v/>
      </c>
      <c r="F214" s="3">
        <f>SUMIFS(df_mutuos!M:M,df_mutuos!B:B,Conciliacao!A214)</f>
        <v/>
      </c>
      <c r="G214" s="6">
        <f>SUMIFS(df_bloqueios_judiciais!G:G,df_bloqueios_judiciais!D:D,Conciliacao!A214,df_bloqueios_judiciais!G:G,"&gt;0")</f>
        <v/>
      </c>
      <c r="H214" s="7">
        <f>SUMIFS(df_extratos!I:I,df_extratos!F:F,"&gt;="&amp;Conciliacao!BE214,df_extratos!F:F,"&lt;"&amp;Conciliacao!BE214+1,df_extratos!G:G,"CREDITO")
+SUMIFS(df_extratos!I:I,df_extratos!F:F,"&gt;="&amp;Conciliacao!A214, df_extratos!F:F,"&lt;"&amp;Conciliacao!A214+1, df_extratos!G:G,"CREDITO")
+SUMIFS(df_extratos!I:I,df_extratos!F:F,"&gt;="&amp;Conciliacao!BF214,df_extratos!F:F,"&lt;"&amp;Conciliacao!BF214+1,df_extratos!G:G,"CREDITO")
+SUMIFS(df_extratos!I:I,df_extratos!F:F,"&gt;="&amp;Conciliacao!BG214,df_extratos!F:F,"&lt;"&amp;Conciliacao!BG214+1,df_extratos!G:G,"CREDITO")
+SUMIFS(df_extratos!I:I,df_extratos!F:F,"&gt;="&amp;Conciliacao!BH214,df_extratos!F:F,"&lt;"&amp;Conciliacao!BH214+1,df_extratos!G:G,"CREDITO")</f>
        <v/>
      </c>
      <c r="I214" s="9">
        <f>H214-SUM(B214:G214)</f>
        <v/>
      </c>
      <c r="J214" s="4">
        <f>SUMIFS(df_blueme_sem_parcelamento!E:E,df_blueme_sem_parcelamento!H:H,Conciliacao!A214)*(-1)</f>
        <v/>
      </c>
      <c r="K214" s="4">
        <f>SUMIFS(df_blueme_com_parcelamento!J:J,df_blueme_com_parcelamento!M:M,Conciliacao!A214)*(-1)</f>
        <v/>
      </c>
      <c r="L214" s="4">
        <f>SUMIFS(df_mutuos!N:N,df_mutuos!B:B,Conciliacao!A214)*(-1)</f>
        <v/>
      </c>
      <c r="M214" s="8">
        <f>SUMIFS(df_bloqueios_judiciais!G:G,df_bloqueios_judiciais!D:D,Conciliacao!A214,df_bloqueios_judiciais!G:G,"&lt;0")</f>
        <v/>
      </c>
      <c r="N214" s="10">
        <f>SUMIFS(df_extratos!I:I,df_extratos!F:F,"&gt;="&amp;Conciliacao!BE214,df_extratos!F:F,"&lt;"&amp;Conciliacao!BE214+1,df_extratos!G:G,"DEBITO")
+SUMIFS(df_extratos!I:I,df_extratos!F:F,"&gt;="&amp;Conciliacao!A214, df_extratos!F:F,"&lt;"&amp;Conciliacao!A214+1, df_extratos!G:G,"DEBITO")
+SUMIFS(df_extratos!I:I,df_extratos!F:F,"&gt;="&amp;Conciliacao!BF214,df_extratos!F:F,"&lt;"&amp;Conciliacao!BF214+1,df_extratos!G:G,"DEBITO")
+SUMIFS(df_extratos!I:I,df_extratos!F:F,"&gt;="&amp;Conciliacao!BG214,df_extratos!F:F,"&lt;"&amp;Conciliacao!BG214+1,df_extratos!G:G,"DEBITO")
+SUMIFS(df_extratos!I:I,df_extratos!F:F,"&gt;="&amp;Conciliacao!BH214,df_extratos!F:F,"&lt;"&amp;Conciliacao!BH214+1,df_extratos!G:G,"DEBITO")</f>
        <v/>
      </c>
      <c r="O214" s="11">
        <f>N214-SUM(J214:M214)</f>
        <v/>
      </c>
      <c r="P214" s="25">
        <f>SUMIFS(df_ajustes_conciliaco!D:D,df_ajustes_conciliaco!C:C,Conciliacao!A214)</f>
        <v/>
      </c>
      <c r="Q214" s="22">
        <f>O214+I214-P214</f>
        <v/>
      </c>
      <c r="BE214" s="20" t="n">
        <v>45870.5</v>
      </c>
      <c r="BF214" s="20" t="n">
        <v>45870.125</v>
      </c>
      <c r="BG214" s="20" t="n">
        <v>45870.54166666666</v>
      </c>
      <c r="BH214" s="20" t="n">
        <v>45870.625</v>
      </c>
    </row>
    <row r="215">
      <c r="A215" s="5">
        <f>A214+1</f>
        <v/>
      </c>
      <c r="B215" s="3">
        <f>-SUMIFS(df_extrato_zig!G:G,df_extrato_zig!E:E,Conciliacao!A215,df_extrato_zig!D:D,"Saque")-SUMIFS(df_extrato_zig!G:G,df_extrato_zig!E:E,Conciliacao!A215,df_extrato_zig!D:D,"Antecipação")</f>
        <v/>
      </c>
      <c r="C215" s="3">
        <f>SUMIFS(df_extrato_zig!E:E,df_extrato_zig!L:L,Conciliacao!A215,df_extrato_zig!F:F,"DINHEIRO")</f>
        <v/>
      </c>
      <c r="D215" s="3">
        <f>SUMIFS(view_parc_agrup!H:H,view_parc_agrup!G:G,Conciliacao!A215)</f>
        <v/>
      </c>
      <c r="E215" s="3">
        <f>SUMIFS(df_eventos!F:F,df_eventos!H:H,Conciliacao!A215)</f>
        <v/>
      </c>
      <c r="F215" s="3">
        <f>SUMIFS(df_mutuos!M:M,df_mutuos!B:B,Conciliacao!A215)</f>
        <v/>
      </c>
      <c r="G215" s="6">
        <f>SUMIFS(df_bloqueios_judiciais!G:G,df_bloqueios_judiciais!D:D,Conciliacao!A215,df_bloqueios_judiciais!G:G,"&gt;0")</f>
        <v/>
      </c>
      <c r="H215" s="7">
        <f>SUMIFS(df_extratos!I:I,df_extratos!F:F,"&gt;="&amp;Conciliacao!BE215,df_extratos!F:F,"&lt;"&amp;Conciliacao!BE215+1,df_extratos!G:G,"CREDITO")
+SUMIFS(df_extratos!I:I,df_extratos!F:F,"&gt;="&amp;Conciliacao!A215, df_extratos!F:F,"&lt;"&amp;Conciliacao!A215+1, df_extratos!G:G,"CREDITO")
+SUMIFS(df_extratos!I:I,df_extratos!F:F,"&gt;="&amp;Conciliacao!BF215,df_extratos!F:F,"&lt;"&amp;Conciliacao!BF215+1,df_extratos!G:G,"CREDITO")
+SUMIFS(df_extratos!I:I,df_extratos!F:F,"&gt;="&amp;Conciliacao!BG215,df_extratos!F:F,"&lt;"&amp;Conciliacao!BG215+1,df_extratos!G:G,"CREDITO")
+SUMIFS(df_extratos!I:I,df_extratos!F:F,"&gt;="&amp;Conciliacao!BH215,df_extratos!F:F,"&lt;"&amp;Conciliacao!BH215+1,df_extratos!G:G,"CREDITO")</f>
        <v/>
      </c>
      <c r="I215" s="9">
        <f>H215-SUM(B215:G215)</f>
        <v/>
      </c>
      <c r="J215" s="4">
        <f>SUMIFS(df_blueme_sem_parcelamento!E:E,df_blueme_sem_parcelamento!H:H,Conciliacao!A215)*(-1)</f>
        <v/>
      </c>
      <c r="K215" s="4">
        <f>SUMIFS(df_blueme_com_parcelamento!J:J,df_blueme_com_parcelamento!M:M,Conciliacao!A215)*(-1)</f>
        <v/>
      </c>
      <c r="L215" s="4">
        <f>SUMIFS(df_mutuos!N:N,df_mutuos!B:B,Conciliacao!A215)*(-1)</f>
        <v/>
      </c>
      <c r="M215" s="8">
        <f>SUMIFS(df_bloqueios_judiciais!G:G,df_bloqueios_judiciais!D:D,Conciliacao!A215,df_bloqueios_judiciais!G:G,"&lt;0")</f>
        <v/>
      </c>
      <c r="N215" s="10">
        <f>SUMIFS(df_extratos!I:I,df_extratos!F:F,"&gt;="&amp;Conciliacao!BE215,df_extratos!F:F,"&lt;"&amp;Conciliacao!BE215+1,df_extratos!G:G,"DEBITO")
+SUMIFS(df_extratos!I:I,df_extratos!F:F,"&gt;="&amp;Conciliacao!A215, df_extratos!F:F,"&lt;"&amp;Conciliacao!A215+1, df_extratos!G:G,"DEBITO")
+SUMIFS(df_extratos!I:I,df_extratos!F:F,"&gt;="&amp;Conciliacao!BF215,df_extratos!F:F,"&lt;"&amp;Conciliacao!BF215+1,df_extratos!G:G,"DEBITO")
+SUMIFS(df_extratos!I:I,df_extratos!F:F,"&gt;="&amp;Conciliacao!BG215,df_extratos!F:F,"&lt;"&amp;Conciliacao!BG215+1,df_extratos!G:G,"DEBITO")
+SUMIFS(df_extratos!I:I,df_extratos!F:F,"&gt;="&amp;Conciliacao!BH215,df_extratos!F:F,"&lt;"&amp;Conciliacao!BH215+1,df_extratos!G:G,"DEBITO")</f>
        <v/>
      </c>
      <c r="O215" s="11">
        <f>N215-SUM(J215:M215)</f>
        <v/>
      </c>
      <c r="P215" s="25">
        <f>SUMIFS(df_ajustes_conciliaco!D:D,df_ajustes_conciliaco!C:C,Conciliacao!A215)</f>
        <v/>
      </c>
      <c r="Q215" s="22">
        <f>O215+I215-P215</f>
        <v/>
      </c>
      <c r="BE215" s="20" t="n">
        <v>45871.5</v>
      </c>
      <c r="BF215" s="20" t="n">
        <v>45871.125</v>
      </c>
      <c r="BG215" s="20" t="n">
        <v>45871.54166666666</v>
      </c>
      <c r="BH215" s="20" t="n">
        <v>45871.625</v>
      </c>
    </row>
    <row r="216">
      <c r="A216" s="5">
        <f>A215+1</f>
        <v/>
      </c>
      <c r="B216" s="3">
        <f>-SUMIFS(df_extrato_zig!G:G,df_extrato_zig!E:E,Conciliacao!A216,df_extrato_zig!D:D,"Saque")-SUMIFS(df_extrato_zig!G:G,df_extrato_zig!E:E,Conciliacao!A216,df_extrato_zig!D:D,"Antecipação")</f>
        <v/>
      </c>
      <c r="C216" s="3">
        <f>SUMIFS(df_extrato_zig!E:E,df_extrato_zig!L:L,Conciliacao!A216,df_extrato_zig!F:F,"DINHEIRO")</f>
        <v/>
      </c>
      <c r="D216" s="3">
        <f>SUMIFS(view_parc_agrup!H:H,view_parc_agrup!G:G,Conciliacao!A216)</f>
        <v/>
      </c>
      <c r="E216" s="3">
        <f>SUMIFS(df_eventos!F:F,df_eventos!H:H,Conciliacao!A216)</f>
        <v/>
      </c>
      <c r="F216" s="3">
        <f>SUMIFS(df_mutuos!M:M,df_mutuos!B:B,Conciliacao!A216)</f>
        <v/>
      </c>
      <c r="G216" s="6">
        <f>SUMIFS(df_bloqueios_judiciais!G:G,df_bloqueios_judiciais!D:D,Conciliacao!A216,df_bloqueios_judiciais!G:G,"&gt;0")</f>
        <v/>
      </c>
      <c r="H216" s="7">
        <f>SUMIFS(df_extratos!I:I,df_extratos!F:F,"&gt;="&amp;Conciliacao!BE216,df_extratos!F:F,"&lt;"&amp;Conciliacao!BE216+1,df_extratos!G:G,"CREDITO")
+SUMIFS(df_extratos!I:I,df_extratos!F:F,"&gt;="&amp;Conciliacao!A216, df_extratos!F:F,"&lt;"&amp;Conciliacao!A216+1, df_extratos!G:G,"CREDITO")
+SUMIFS(df_extratos!I:I,df_extratos!F:F,"&gt;="&amp;Conciliacao!BF216,df_extratos!F:F,"&lt;"&amp;Conciliacao!BF216+1,df_extratos!G:G,"CREDITO")
+SUMIFS(df_extratos!I:I,df_extratos!F:F,"&gt;="&amp;Conciliacao!BG216,df_extratos!F:F,"&lt;"&amp;Conciliacao!BG216+1,df_extratos!G:G,"CREDITO")
+SUMIFS(df_extratos!I:I,df_extratos!F:F,"&gt;="&amp;Conciliacao!BH216,df_extratos!F:F,"&lt;"&amp;Conciliacao!BH216+1,df_extratos!G:G,"CREDITO")</f>
        <v/>
      </c>
      <c r="I216" s="9">
        <f>H216-SUM(B216:G216)</f>
        <v/>
      </c>
      <c r="J216" s="4">
        <f>SUMIFS(df_blueme_sem_parcelamento!E:E,df_blueme_sem_parcelamento!H:H,Conciliacao!A216)*(-1)</f>
        <v/>
      </c>
      <c r="K216" s="4">
        <f>SUMIFS(df_blueme_com_parcelamento!J:J,df_blueme_com_parcelamento!M:M,Conciliacao!A216)*(-1)</f>
        <v/>
      </c>
      <c r="L216" s="4">
        <f>SUMIFS(df_mutuos!N:N,df_mutuos!B:B,Conciliacao!A216)*(-1)</f>
        <v/>
      </c>
      <c r="M216" s="8">
        <f>SUMIFS(df_bloqueios_judiciais!G:G,df_bloqueios_judiciais!D:D,Conciliacao!A216,df_bloqueios_judiciais!G:G,"&lt;0")</f>
        <v/>
      </c>
      <c r="N216" s="10">
        <f>SUMIFS(df_extratos!I:I,df_extratos!F:F,"&gt;="&amp;Conciliacao!BE216,df_extratos!F:F,"&lt;"&amp;Conciliacao!BE216+1,df_extratos!G:G,"DEBITO")
+SUMIFS(df_extratos!I:I,df_extratos!F:F,"&gt;="&amp;Conciliacao!A216, df_extratos!F:F,"&lt;"&amp;Conciliacao!A216+1, df_extratos!G:G,"DEBITO")
+SUMIFS(df_extratos!I:I,df_extratos!F:F,"&gt;="&amp;Conciliacao!BF216,df_extratos!F:F,"&lt;"&amp;Conciliacao!BF216+1,df_extratos!G:G,"DEBITO")
+SUMIFS(df_extratos!I:I,df_extratos!F:F,"&gt;="&amp;Conciliacao!BG216,df_extratos!F:F,"&lt;"&amp;Conciliacao!BG216+1,df_extratos!G:G,"DEBITO")
+SUMIFS(df_extratos!I:I,df_extratos!F:F,"&gt;="&amp;Conciliacao!BH216,df_extratos!F:F,"&lt;"&amp;Conciliacao!BH216+1,df_extratos!G:G,"DEBITO")</f>
        <v/>
      </c>
      <c r="O216" s="11">
        <f>N216-SUM(J216:M216)</f>
        <v/>
      </c>
      <c r="P216" s="25">
        <f>SUMIFS(df_ajustes_conciliaco!D:D,df_ajustes_conciliaco!C:C,Conciliacao!A216)</f>
        <v/>
      </c>
      <c r="Q216" s="22">
        <f>O216+I216-P216</f>
        <v/>
      </c>
      <c r="BE216" s="20" t="n">
        <v>45872.5</v>
      </c>
      <c r="BF216" s="20" t="n">
        <v>45872.125</v>
      </c>
      <c r="BG216" s="20" t="n">
        <v>45872.54166666666</v>
      </c>
      <c r="BH216" s="20" t="n">
        <v>45872.625</v>
      </c>
    </row>
    <row r="217">
      <c r="A217" s="5">
        <f>A216+1</f>
        <v/>
      </c>
      <c r="B217" s="3">
        <f>-SUMIFS(df_extrato_zig!G:G,df_extrato_zig!E:E,Conciliacao!A217,df_extrato_zig!D:D,"Saque")-SUMIFS(df_extrato_zig!G:G,df_extrato_zig!E:E,Conciliacao!A217,df_extrato_zig!D:D,"Antecipação")</f>
        <v/>
      </c>
      <c r="C217" s="3">
        <f>SUMIFS(df_extrato_zig!E:E,df_extrato_zig!L:L,Conciliacao!A217,df_extrato_zig!F:F,"DINHEIRO")</f>
        <v/>
      </c>
      <c r="D217" s="3">
        <f>SUMIFS(view_parc_agrup!H:H,view_parc_agrup!G:G,Conciliacao!A217)</f>
        <v/>
      </c>
      <c r="E217" s="3">
        <f>SUMIFS(df_eventos!F:F,df_eventos!H:H,Conciliacao!A217)</f>
        <v/>
      </c>
      <c r="F217" s="3">
        <f>SUMIFS(df_mutuos!M:M,df_mutuos!B:B,Conciliacao!A217)</f>
        <v/>
      </c>
      <c r="G217" s="6">
        <f>SUMIFS(df_bloqueios_judiciais!G:G,df_bloqueios_judiciais!D:D,Conciliacao!A217,df_bloqueios_judiciais!G:G,"&gt;0")</f>
        <v/>
      </c>
      <c r="H217" s="7">
        <f>SUMIFS(df_extratos!I:I,df_extratos!F:F,"&gt;="&amp;Conciliacao!BE217,df_extratos!F:F,"&lt;"&amp;Conciliacao!BE217+1,df_extratos!G:G,"CREDITO")
+SUMIFS(df_extratos!I:I,df_extratos!F:F,"&gt;="&amp;Conciliacao!A217, df_extratos!F:F,"&lt;"&amp;Conciliacao!A217+1, df_extratos!G:G,"CREDITO")
+SUMIFS(df_extratos!I:I,df_extratos!F:F,"&gt;="&amp;Conciliacao!BF217,df_extratos!F:F,"&lt;"&amp;Conciliacao!BF217+1,df_extratos!G:G,"CREDITO")
+SUMIFS(df_extratos!I:I,df_extratos!F:F,"&gt;="&amp;Conciliacao!BG217,df_extratos!F:F,"&lt;"&amp;Conciliacao!BG217+1,df_extratos!G:G,"CREDITO")
+SUMIFS(df_extratos!I:I,df_extratos!F:F,"&gt;="&amp;Conciliacao!BH217,df_extratos!F:F,"&lt;"&amp;Conciliacao!BH217+1,df_extratos!G:G,"CREDITO")</f>
        <v/>
      </c>
      <c r="I217" s="9">
        <f>H217-SUM(B217:G217)</f>
        <v/>
      </c>
      <c r="J217" s="4">
        <f>SUMIFS(df_blueme_sem_parcelamento!E:E,df_blueme_sem_parcelamento!H:H,Conciliacao!A217)*(-1)</f>
        <v/>
      </c>
      <c r="K217" s="4">
        <f>SUMIFS(df_blueme_com_parcelamento!J:J,df_blueme_com_parcelamento!M:M,Conciliacao!A217)*(-1)</f>
        <v/>
      </c>
      <c r="L217" s="4">
        <f>SUMIFS(df_mutuos!N:N,df_mutuos!B:B,Conciliacao!A217)*(-1)</f>
        <v/>
      </c>
      <c r="M217" s="8">
        <f>SUMIFS(df_bloqueios_judiciais!G:G,df_bloqueios_judiciais!D:D,Conciliacao!A217,df_bloqueios_judiciais!G:G,"&lt;0")</f>
        <v/>
      </c>
      <c r="N217" s="10">
        <f>SUMIFS(df_extratos!I:I,df_extratos!F:F,"&gt;="&amp;Conciliacao!BE217,df_extratos!F:F,"&lt;"&amp;Conciliacao!BE217+1,df_extratos!G:G,"DEBITO")
+SUMIFS(df_extratos!I:I,df_extratos!F:F,"&gt;="&amp;Conciliacao!A217, df_extratos!F:F,"&lt;"&amp;Conciliacao!A217+1, df_extratos!G:G,"DEBITO")
+SUMIFS(df_extratos!I:I,df_extratos!F:F,"&gt;="&amp;Conciliacao!BF217,df_extratos!F:F,"&lt;"&amp;Conciliacao!BF217+1,df_extratos!G:G,"DEBITO")
+SUMIFS(df_extratos!I:I,df_extratos!F:F,"&gt;="&amp;Conciliacao!BG217,df_extratos!F:F,"&lt;"&amp;Conciliacao!BG217+1,df_extratos!G:G,"DEBITO")
+SUMIFS(df_extratos!I:I,df_extratos!F:F,"&gt;="&amp;Conciliacao!BH217,df_extratos!F:F,"&lt;"&amp;Conciliacao!BH217+1,df_extratos!G:G,"DEBITO")</f>
        <v/>
      </c>
      <c r="O217" s="11">
        <f>N217-SUM(J217:M217)</f>
        <v/>
      </c>
      <c r="P217" s="25">
        <f>SUMIFS(df_ajustes_conciliaco!D:D,df_ajustes_conciliaco!C:C,Conciliacao!A217)</f>
        <v/>
      </c>
      <c r="Q217" s="22">
        <f>O217+I217-P217</f>
        <v/>
      </c>
      <c r="BE217" s="20" t="n">
        <v>45873.5</v>
      </c>
      <c r="BF217" s="20" t="n">
        <v>45873.125</v>
      </c>
      <c r="BG217" s="20" t="n">
        <v>45873.54166666666</v>
      </c>
      <c r="BH217" s="20" t="n">
        <v>45873.625</v>
      </c>
    </row>
    <row r="218">
      <c r="A218" s="5">
        <f>A217+1</f>
        <v/>
      </c>
      <c r="B218" s="3">
        <f>-SUMIFS(df_extrato_zig!G:G,df_extrato_zig!E:E,Conciliacao!A218,df_extrato_zig!D:D,"Saque")-SUMIFS(df_extrato_zig!G:G,df_extrato_zig!E:E,Conciliacao!A218,df_extrato_zig!D:D,"Antecipação")</f>
        <v/>
      </c>
      <c r="C218" s="3">
        <f>SUMIFS(df_extrato_zig!E:E,df_extrato_zig!L:L,Conciliacao!A218,df_extrato_zig!F:F,"DINHEIRO")</f>
        <v/>
      </c>
      <c r="D218" s="3">
        <f>SUMIFS(view_parc_agrup!H:H,view_parc_agrup!G:G,Conciliacao!A218)</f>
        <v/>
      </c>
      <c r="E218" s="3">
        <f>SUMIFS(df_eventos!F:F,df_eventos!H:H,Conciliacao!A218)</f>
        <v/>
      </c>
      <c r="F218" s="3">
        <f>SUMIFS(df_mutuos!M:M,df_mutuos!B:B,Conciliacao!A218)</f>
        <v/>
      </c>
      <c r="G218" s="6">
        <f>SUMIFS(df_bloqueios_judiciais!G:G,df_bloqueios_judiciais!D:D,Conciliacao!A218,df_bloqueios_judiciais!G:G,"&gt;0")</f>
        <v/>
      </c>
      <c r="H218" s="7">
        <f>SUMIFS(df_extratos!I:I,df_extratos!F:F,"&gt;="&amp;Conciliacao!BE218,df_extratos!F:F,"&lt;"&amp;Conciliacao!BE218+1,df_extratos!G:G,"CREDITO")
+SUMIFS(df_extratos!I:I,df_extratos!F:F,"&gt;="&amp;Conciliacao!A218, df_extratos!F:F,"&lt;"&amp;Conciliacao!A218+1, df_extratos!G:G,"CREDITO")
+SUMIFS(df_extratos!I:I,df_extratos!F:F,"&gt;="&amp;Conciliacao!BF218,df_extratos!F:F,"&lt;"&amp;Conciliacao!BF218+1,df_extratos!G:G,"CREDITO")
+SUMIFS(df_extratos!I:I,df_extratos!F:F,"&gt;="&amp;Conciliacao!BG218,df_extratos!F:F,"&lt;"&amp;Conciliacao!BG218+1,df_extratos!G:G,"CREDITO")
+SUMIFS(df_extratos!I:I,df_extratos!F:F,"&gt;="&amp;Conciliacao!BH218,df_extratos!F:F,"&lt;"&amp;Conciliacao!BH218+1,df_extratos!G:G,"CREDITO")</f>
        <v/>
      </c>
      <c r="I218" s="9">
        <f>H218-SUM(B218:G218)</f>
        <v/>
      </c>
      <c r="J218" s="4">
        <f>SUMIFS(df_blueme_sem_parcelamento!E:E,df_blueme_sem_parcelamento!H:H,Conciliacao!A218)*(-1)</f>
        <v/>
      </c>
      <c r="K218" s="4">
        <f>SUMIFS(df_blueme_com_parcelamento!J:J,df_blueme_com_parcelamento!M:M,Conciliacao!A218)*(-1)</f>
        <v/>
      </c>
      <c r="L218" s="4">
        <f>SUMIFS(df_mutuos!N:N,df_mutuos!B:B,Conciliacao!A218)*(-1)</f>
        <v/>
      </c>
      <c r="M218" s="8">
        <f>SUMIFS(df_bloqueios_judiciais!G:G,df_bloqueios_judiciais!D:D,Conciliacao!A218,df_bloqueios_judiciais!G:G,"&lt;0")</f>
        <v/>
      </c>
      <c r="N218" s="10">
        <f>SUMIFS(df_extratos!I:I,df_extratos!F:F,"&gt;="&amp;Conciliacao!BE218,df_extratos!F:F,"&lt;"&amp;Conciliacao!BE218+1,df_extratos!G:G,"DEBITO")
+SUMIFS(df_extratos!I:I,df_extratos!F:F,"&gt;="&amp;Conciliacao!A218, df_extratos!F:F,"&lt;"&amp;Conciliacao!A218+1, df_extratos!G:G,"DEBITO")
+SUMIFS(df_extratos!I:I,df_extratos!F:F,"&gt;="&amp;Conciliacao!BF218,df_extratos!F:F,"&lt;"&amp;Conciliacao!BF218+1,df_extratos!G:G,"DEBITO")
+SUMIFS(df_extratos!I:I,df_extratos!F:F,"&gt;="&amp;Conciliacao!BG218,df_extratos!F:F,"&lt;"&amp;Conciliacao!BG218+1,df_extratos!G:G,"DEBITO")
+SUMIFS(df_extratos!I:I,df_extratos!F:F,"&gt;="&amp;Conciliacao!BH218,df_extratos!F:F,"&lt;"&amp;Conciliacao!BH218+1,df_extratos!G:G,"DEBITO")</f>
        <v/>
      </c>
      <c r="O218" s="11">
        <f>N218-SUM(J218:M218)</f>
        <v/>
      </c>
      <c r="P218" s="25">
        <f>SUMIFS(df_ajustes_conciliaco!D:D,df_ajustes_conciliaco!C:C,Conciliacao!A218)</f>
        <v/>
      </c>
      <c r="Q218" s="22">
        <f>O218+I218-P218</f>
        <v/>
      </c>
      <c r="BE218" s="20" t="n">
        <v>45874.5</v>
      </c>
      <c r="BF218" s="20" t="n">
        <v>45874.125</v>
      </c>
      <c r="BG218" s="20" t="n">
        <v>45874.54166666666</v>
      </c>
      <c r="BH218" s="20" t="n">
        <v>45874.625</v>
      </c>
    </row>
    <row r="219">
      <c r="A219" s="5">
        <f>A218+1</f>
        <v/>
      </c>
      <c r="B219" s="3">
        <f>-SUMIFS(df_extrato_zig!G:G,df_extrato_zig!E:E,Conciliacao!A219,df_extrato_zig!D:D,"Saque")-SUMIFS(df_extrato_zig!G:G,df_extrato_zig!E:E,Conciliacao!A219,df_extrato_zig!D:D,"Antecipação")</f>
        <v/>
      </c>
      <c r="C219" s="3">
        <f>SUMIFS(df_extrato_zig!E:E,df_extrato_zig!L:L,Conciliacao!A219,df_extrato_zig!F:F,"DINHEIRO")</f>
        <v/>
      </c>
      <c r="D219" s="3">
        <f>SUMIFS(view_parc_agrup!H:H,view_parc_agrup!G:G,Conciliacao!A219)</f>
        <v/>
      </c>
      <c r="E219" s="3">
        <f>SUMIFS(df_eventos!F:F,df_eventos!H:H,Conciliacao!A219)</f>
        <v/>
      </c>
      <c r="F219" s="3">
        <f>SUMIFS(df_mutuos!M:M,df_mutuos!B:B,Conciliacao!A219)</f>
        <v/>
      </c>
      <c r="G219" s="6">
        <f>SUMIFS(df_bloqueios_judiciais!G:G,df_bloqueios_judiciais!D:D,Conciliacao!A219,df_bloqueios_judiciais!G:G,"&gt;0")</f>
        <v/>
      </c>
      <c r="H219" s="7">
        <f>SUMIFS(df_extratos!I:I,df_extratos!F:F,"&gt;="&amp;Conciliacao!BE219,df_extratos!F:F,"&lt;"&amp;Conciliacao!BE219+1,df_extratos!G:G,"CREDITO")
+SUMIFS(df_extratos!I:I,df_extratos!F:F,"&gt;="&amp;Conciliacao!A219, df_extratos!F:F,"&lt;"&amp;Conciliacao!A219+1, df_extratos!G:G,"CREDITO")
+SUMIFS(df_extratos!I:I,df_extratos!F:F,"&gt;="&amp;Conciliacao!BF219,df_extratos!F:F,"&lt;"&amp;Conciliacao!BF219+1,df_extratos!G:G,"CREDITO")
+SUMIFS(df_extratos!I:I,df_extratos!F:F,"&gt;="&amp;Conciliacao!BG219,df_extratos!F:F,"&lt;"&amp;Conciliacao!BG219+1,df_extratos!G:G,"CREDITO")
+SUMIFS(df_extratos!I:I,df_extratos!F:F,"&gt;="&amp;Conciliacao!BH219,df_extratos!F:F,"&lt;"&amp;Conciliacao!BH219+1,df_extratos!G:G,"CREDITO")</f>
        <v/>
      </c>
      <c r="I219" s="9">
        <f>H219-SUM(B219:G219)</f>
        <v/>
      </c>
      <c r="J219" s="4">
        <f>SUMIFS(df_blueme_sem_parcelamento!E:E,df_blueme_sem_parcelamento!H:H,Conciliacao!A219)*(-1)</f>
        <v/>
      </c>
      <c r="K219" s="4">
        <f>SUMIFS(df_blueme_com_parcelamento!J:J,df_blueme_com_parcelamento!M:M,Conciliacao!A219)*(-1)</f>
        <v/>
      </c>
      <c r="L219" s="4">
        <f>SUMIFS(df_mutuos!N:N,df_mutuos!B:B,Conciliacao!A219)*(-1)</f>
        <v/>
      </c>
      <c r="M219" s="8">
        <f>SUMIFS(df_bloqueios_judiciais!G:G,df_bloqueios_judiciais!D:D,Conciliacao!A219,df_bloqueios_judiciais!G:G,"&lt;0")</f>
        <v/>
      </c>
      <c r="N219" s="10">
        <f>SUMIFS(df_extratos!I:I,df_extratos!F:F,"&gt;="&amp;Conciliacao!BE219,df_extratos!F:F,"&lt;"&amp;Conciliacao!BE219+1,df_extratos!G:G,"DEBITO")
+SUMIFS(df_extratos!I:I,df_extratos!F:F,"&gt;="&amp;Conciliacao!A219, df_extratos!F:F,"&lt;"&amp;Conciliacao!A219+1, df_extratos!G:G,"DEBITO")
+SUMIFS(df_extratos!I:I,df_extratos!F:F,"&gt;="&amp;Conciliacao!BF219,df_extratos!F:F,"&lt;"&amp;Conciliacao!BF219+1,df_extratos!G:G,"DEBITO")
+SUMIFS(df_extratos!I:I,df_extratos!F:F,"&gt;="&amp;Conciliacao!BG219,df_extratos!F:F,"&lt;"&amp;Conciliacao!BG219+1,df_extratos!G:G,"DEBITO")
+SUMIFS(df_extratos!I:I,df_extratos!F:F,"&gt;="&amp;Conciliacao!BH219,df_extratos!F:F,"&lt;"&amp;Conciliacao!BH219+1,df_extratos!G:G,"DEBITO")</f>
        <v/>
      </c>
      <c r="O219" s="11">
        <f>N219-SUM(J219:M219)</f>
        <v/>
      </c>
      <c r="P219" s="25">
        <f>SUMIFS(df_ajustes_conciliaco!D:D,df_ajustes_conciliaco!C:C,Conciliacao!A219)</f>
        <v/>
      </c>
      <c r="Q219" s="22">
        <f>O219+I219-P219</f>
        <v/>
      </c>
      <c r="BE219" s="20" t="n">
        <v>45875.5</v>
      </c>
      <c r="BF219" s="20" t="n">
        <v>45875.125</v>
      </c>
      <c r="BG219" s="20" t="n">
        <v>45875.54166666666</v>
      </c>
      <c r="BH219" s="20" t="n">
        <v>45875.625</v>
      </c>
    </row>
    <row r="220">
      <c r="A220" s="5">
        <f>A219+1</f>
        <v/>
      </c>
      <c r="B220" s="3">
        <f>-SUMIFS(df_extrato_zig!G:G,df_extrato_zig!E:E,Conciliacao!A220,df_extrato_zig!D:D,"Saque")-SUMIFS(df_extrato_zig!G:G,df_extrato_zig!E:E,Conciliacao!A220,df_extrato_zig!D:D,"Antecipação")</f>
        <v/>
      </c>
      <c r="C220" s="3">
        <f>SUMIFS(df_extrato_zig!E:E,df_extrato_zig!L:L,Conciliacao!A220,df_extrato_zig!F:F,"DINHEIRO")</f>
        <v/>
      </c>
      <c r="D220" s="3">
        <f>SUMIFS(view_parc_agrup!H:H,view_parc_agrup!G:G,Conciliacao!A220)</f>
        <v/>
      </c>
      <c r="E220" s="3">
        <f>SUMIFS(df_eventos!F:F,df_eventos!H:H,Conciliacao!A220)</f>
        <v/>
      </c>
      <c r="F220" s="3">
        <f>SUMIFS(df_mutuos!M:M,df_mutuos!B:B,Conciliacao!A220)</f>
        <v/>
      </c>
      <c r="G220" s="6">
        <f>SUMIFS(df_bloqueios_judiciais!G:G,df_bloqueios_judiciais!D:D,Conciliacao!A220,df_bloqueios_judiciais!G:G,"&gt;0")</f>
        <v/>
      </c>
      <c r="H220" s="7">
        <f>SUMIFS(df_extratos!I:I,df_extratos!F:F,"&gt;="&amp;Conciliacao!BE220,df_extratos!F:F,"&lt;"&amp;Conciliacao!BE220+1,df_extratos!G:G,"CREDITO")
+SUMIFS(df_extratos!I:I,df_extratos!F:F,"&gt;="&amp;Conciliacao!A220, df_extratos!F:F,"&lt;"&amp;Conciliacao!A220+1, df_extratos!G:G,"CREDITO")
+SUMIFS(df_extratos!I:I,df_extratos!F:F,"&gt;="&amp;Conciliacao!BF220,df_extratos!F:F,"&lt;"&amp;Conciliacao!BF220+1,df_extratos!G:G,"CREDITO")
+SUMIFS(df_extratos!I:I,df_extratos!F:F,"&gt;="&amp;Conciliacao!BG220,df_extratos!F:F,"&lt;"&amp;Conciliacao!BG220+1,df_extratos!G:G,"CREDITO")
+SUMIFS(df_extratos!I:I,df_extratos!F:F,"&gt;="&amp;Conciliacao!BH220,df_extratos!F:F,"&lt;"&amp;Conciliacao!BH220+1,df_extratos!G:G,"CREDITO")</f>
        <v/>
      </c>
      <c r="I220" s="9">
        <f>H220-SUM(B220:G220)</f>
        <v/>
      </c>
      <c r="J220" s="4">
        <f>SUMIFS(df_blueme_sem_parcelamento!E:E,df_blueme_sem_parcelamento!H:H,Conciliacao!A220)*(-1)</f>
        <v/>
      </c>
      <c r="K220" s="4">
        <f>SUMIFS(df_blueme_com_parcelamento!J:J,df_blueme_com_parcelamento!M:M,Conciliacao!A220)*(-1)</f>
        <v/>
      </c>
      <c r="L220" s="4">
        <f>SUMIFS(df_mutuos!N:N,df_mutuos!B:B,Conciliacao!A220)*(-1)</f>
        <v/>
      </c>
      <c r="M220" s="8">
        <f>SUMIFS(df_bloqueios_judiciais!G:G,df_bloqueios_judiciais!D:D,Conciliacao!A220,df_bloqueios_judiciais!G:G,"&lt;0")</f>
        <v/>
      </c>
      <c r="N220" s="10">
        <f>SUMIFS(df_extratos!I:I,df_extratos!F:F,"&gt;="&amp;Conciliacao!BE220,df_extratos!F:F,"&lt;"&amp;Conciliacao!BE220+1,df_extratos!G:G,"DEBITO")
+SUMIFS(df_extratos!I:I,df_extratos!F:F,"&gt;="&amp;Conciliacao!A220, df_extratos!F:F,"&lt;"&amp;Conciliacao!A220+1, df_extratos!G:G,"DEBITO")
+SUMIFS(df_extratos!I:I,df_extratos!F:F,"&gt;="&amp;Conciliacao!BF220,df_extratos!F:F,"&lt;"&amp;Conciliacao!BF220+1,df_extratos!G:G,"DEBITO")
+SUMIFS(df_extratos!I:I,df_extratos!F:F,"&gt;="&amp;Conciliacao!BG220,df_extratos!F:F,"&lt;"&amp;Conciliacao!BG220+1,df_extratos!G:G,"DEBITO")
+SUMIFS(df_extratos!I:I,df_extratos!F:F,"&gt;="&amp;Conciliacao!BH220,df_extratos!F:F,"&lt;"&amp;Conciliacao!BH220+1,df_extratos!G:G,"DEBITO")</f>
        <v/>
      </c>
      <c r="O220" s="11">
        <f>N220-SUM(J220:M220)</f>
        <v/>
      </c>
      <c r="P220" s="25">
        <f>SUMIFS(df_ajustes_conciliaco!D:D,df_ajustes_conciliaco!C:C,Conciliacao!A220)</f>
        <v/>
      </c>
      <c r="Q220" s="22">
        <f>O220+I220-P220</f>
        <v/>
      </c>
      <c r="BE220" s="20" t="n">
        <v>45876.5</v>
      </c>
      <c r="BF220" s="20" t="n">
        <v>45876.125</v>
      </c>
      <c r="BG220" s="20" t="n">
        <v>45876.54166666666</v>
      </c>
      <c r="BH220" s="20" t="n">
        <v>45876.625</v>
      </c>
    </row>
    <row r="221">
      <c r="A221" s="5">
        <f>A220+1</f>
        <v/>
      </c>
      <c r="B221" s="3">
        <f>-SUMIFS(df_extrato_zig!G:G,df_extrato_zig!E:E,Conciliacao!A221,df_extrato_zig!D:D,"Saque")-SUMIFS(df_extrato_zig!G:G,df_extrato_zig!E:E,Conciliacao!A221,df_extrato_zig!D:D,"Antecipação")</f>
        <v/>
      </c>
      <c r="C221" s="3">
        <f>SUMIFS(df_extrato_zig!E:E,df_extrato_zig!L:L,Conciliacao!A221,df_extrato_zig!F:F,"DINHEIRO")</f>
        <v/>
      </c>
      <c r="D221" s="3">
        <f>SUMIFS(view_parc_agrup!H:H,view_parc_agrup!G:G,Conciliacao!A221)</f>
        <v/>
      </c>
      <c r="E221" s="3">
        <f>SUMIFS(df_eventos!F:F,df_eventos!H:H,Conciliacao!A221)</f>
        <v/>
      </c>
      <c r="F221" s="3">
        <f>SUMIFS(df_mutuos!M:M,df_mutuos!B:B,Conciliacao!A221)</f>
        <v/>
      </c>
      <c r="G221" s="6">
        <f>SUMIFS(df_bloqueios_judiciais!G:G,df_bloqueios_judiciais!D:D,Conciliacao!A221,df_bloqueios_judiciais!G:G,"&gt;0")</f>
        <v/>
      </c>
      <c r="H221" s="7">
        <f>SUMIFS(df_extratos!I:I,df_extratos!F:F,"&gt;="&amp;Conciliacao!BE221,df_extratos!F:F,"&lt;"&amp;Conciliacao!BE221+1,df_extratos!G:G,"CREDITO")
+SUMIFS(df_extratos!I:I,df_extratos!F:F,"&gt;="&amp;Conciliacao!A221, df_extratos!F:F,"&lt;"&amp;Conciliacao!A221+1, df_extratos!G:G,"CREDITO")
+SUMIFS(df_extratos!I:I,df_extratos!F:F,"&gt;="&amp;Conciliacao!BF221,df_extratos!F:F,"&lt;"&amp;Conciliacao!BF221+1,df_extratos!G:G,"CREDITO")
+SUMIFS(df_extratos!I:I,df_extratos!F:F,"&gt;="&amp;Conciliacao!BG221,df_extratos!F:F,"&lt;"&amp;Conciliacao!BG221+1,df_extratos!G:G,"CREDITO")
+SUMIFS(df_extratos!I:I,df_extratos!F:F,"&gt;="&amp;Conciliacao!BH221,df_extratos!F:F,"&lt;"&amp;Conciliacao!BH221+1,df_extratos!G:G,"CREDITO")</f>
        <v/>
      </c>
      <c r="I221" s="9">
        <f>H221-SUM(B221:G221)</f>
        <v/>
      </c>
      <c r="J221" s="4">
        <f>SUMIFS(df_blueme_sem_parcelamento!E:E,df_blueme_sem_parcelamento!H:H,Conciliacao!A221)*(-1)</f>
        <v/>
      </c>
      <c r="K221" s="4">
        <f>SUMIFS(df_blueme_com_parcelamento!J:J,df_blueme_com_parcelamento!M:M,Conciliacao!A221)*(-1)</f>
        <v/>
      </c>
      <c r="L221" s="4">
        <f>SUMIFS(df_mutuos!N:N,df_mutuos!B:B,Conciliacao!A221)*(-1)</f>
        <v/>
      </c>
      <c r="M221" s="8">
        <f>SUMIFS(df_bloqueios_judiciais!G:G,df_bloqueios_judiciais!D:D,Conciliacao!A221,df_bloqueios_judiciais!G:G,"&lt;0")</f>
        <v/>
      </c>
      <c r="N221" s="10">
        <f>SUMIFS(df_extratos!I:I,df_extratos!F:F,"&gt;="&amp;Conciliacao!BE221,df_extratos!F:F,"&lt;"&amp;Conciliacao!BE221+1,df_extratos!G:G,"DEBITO")
+SUMIFS(df_extratos!I:I,df_extratos!F:F,"&gt;="&amp;Conciliacao!A221, df_extratos!F:F,"&lt;"&amp;Conciliacao!A221+1, df_extratos!G:G,"DEBITO")
+SUMIFS(df_extratos!I:I,df_extratos!F:F,"&gt;="&amp;Conciliacao!BF221,df_extratos!F:F,"&lt;"&amp;Conciliacao!BF221+1,df_extratos!G:G,"DEBITO")
+SUMIFS(df_extratos!I:I,df_extratos!F:F,"&gt;="&amp;Conciliacao!BG221,df_extratos!F:F,"&lt;"&amp;Conciliacao!BG221+1,df_extratos!G:G,"DEBITO")
+SUMIFS(df_extratos!I:I,df_extratos!F:F,"&gt;="&amp;Conciliacao!BH221,df_extratos!F:F,"&lt;"&amp;Conciliacao!BH221+1,df_extratos!G:G,"DEBITO")</f>
        <v/>
      </c>
      <c r="O221" s="11">
        <f>N221-SUM(J221:M221)</f>
        <v/>
      </c>
      <c r="P221" s="25">
        <f>SUMIFS(df_ajustes_conciliaco!D:D,df_ajustes_conciliaco!C:C,Conciliacao!A221)</f>
        <v/>
      </c>
      <c r="Q221" s="22">
        <f>O221+I221-P221</f>
        <v/>
      </c>
      <c r="BE221" s="20" t="n">
        <v>45877.5</v>
      </c>
      <c r="BF221" s="20" t="n">
        <v>45877.125</v>
      </c>
      <c r="BG221" s="20" t="n">
        <v>45877.54166666666</v>
      </c>
      <c r="BH221" s="20" t="n">
        <v>45877.625</v>
      </c>
    </row>
    <row r="222">
      <c r="A222" s="5">
        <f>A221+1</f>
        <v/>
      </c>
      <c r="B222" s="3">
        <f>-SUMIFS(df_extrato_zig!G:G,df_extrato_zig!E:E,Conciliacao!A222,df_extrato_zig!D:D,"Saque")-SUMIFS(df_extrato_zig!G:G,df_extrato_zig!E:E,Conciliacao!A222,df_extrato_zig!D:D,"Antecipação")</f>
        <v/>
      </c>
      <c r="C222" s="3">
        <f>SUMIFS(df_extrato_zig!E:E,df_extrato_zig!L:L,Conciliacao!A222,df_extrato_zig!F:F,"DINHEIRO")</f>
        <v/>
      </c>
      <c r="D222" s="3">
        <f>SUMIFS(view_parc_agrup!H:H,view_parc_agrup!G:G,Conciliacao!A222)</f>
        <v/>
      </c>
      <c r="E222" s="3">
        <f>SUMIFS(df_eventos!F:F,df_eventos!H:H,Conciliacao!A222)</f>
        <v/>
      </c>
      <c r="F222" s="3">
        <f>SUMIFS(df_mutuos!M:M,df_mutuos!B:B,Conciliacao!A222)</f>
        <v/>
      </c>
      <c r="G222" s="6">
        <f>SUMIFS(df_bloqueios_judiciais!G:G,df_bloqueios_judiciais!D:D,Conciliacao!A222,df_bloqueios_judiciais!G:G,"&gt;0")</f>
        <v/>
      </c>
      <c r="H222" s="7">
        <f>SUMIFS(df_extratos!I:I,df_extratos!F:F,"&gt;="&amp;Conciliacao!BE222,df_extratos!F:F,"&lt;"&amp;Conciliacao!BE222+1,df_extratos!G:G,"CREDITO")
+SUMIFS(df_extratos!I:I,df_extratos!F:F,"&gt;="&amp;Conciliacao!A222, df_extratos!F:F,"&lt;"&amp;Conciliacao!A222+1, df_extratos!G:G,"CREDITO")
+SUMIFS(df_extratos!I:I,df_extratos!F:F,"&gt;="&amp;Conciliacao!BF222,df_extratos!F:F,"&lt;"&amp;Conciliacao!BF222+1,df_extratos!G:G,"CREDITO")
+SUMIFS(df_extratos!I:I,df_extratos!F:F,"&gt;="&amp;Conciliacao!BG222,df_extratos!F:F,"&lt;"&amp;Conciliacao!BG222+1,df_extratos!G:G,"CREDITO")
+SUMIFS(df_extratos!I:I,df_extratos!F:F,"&gt;="&amp;Conciliacao!BH222,df_extratos!F:F,"&lt;"&amp;Conciliacao!BH222+1,df_extratos!G:G,"CREDITO")</f>
        <v/>
      </c>
      <c r="I222" s="9">
        <f>H222-SUM(B222:G222)</f>
        <v/>
      </c>
      <c r="J222" s="4">
        <f>SUMIFS(df_blueme_sem_parcelamento!E:E,df_blueme_sem_parcelamento!H:H,Conciliacao!A222)*(-1)</f>
        <v/>
      </c>
      <c r="K222" s="4">
        <f>SUMIFS(df_blueme_com_parcelamento!J:J,df_blueme_com_parcelamento!M:M,Conciliacao!A222)*(-1)</f>
        <v/>
      </c>
      <c r="L222" s="4">
        <f>SUMIFS(df_mutuos!N:N,df_mutuos!B:B,Conciliacao!A222)*(-1)</f>
        <v/>
      </c>
      <c r="M222" s="8">
        <f>SUMIFS(df_bloqueios_judiciais!G:G,df_bloqueios_judiciais!D:D,Conciliacao!A222,df_bloqueios_judiciais!G:G,"&lt;0")</f>
        <v/>
      </c>
      <c r="N222" s="10">
        <f>SUMIFS(df_extratos!I:I,df_extratos!F:F,"&gt;="&amp;Conciliacao!BE222,df_extratos!F:F,"&lt;"&amp;Conciliacao!BE222+1,df_extratos!G:G,"DEBITO")
+SUMIFS(df_extratos!I:I,df_extratos!F:F,"&gt;="&amp;Conciliacao!A222, df_extratos!F:F,"&lt;"&amp;Conciliacao!A222+1, df_extratos!G:G,"DEBITO")
+SUMIFS(df_extratos!I:I,df_extratos!F:F,"&gt;="&amp;Conciliacao!BF222,df_extratos!F:F,"&lt;"&amp;Conciliacao!BF222+1,df_extratos!G:G,"DEBITO")
+SUMIFS(df_extratos!I:I,df_extratos!F:F,"&gt;="&amp;Conciliacao!BG222,df_extratos!F:F,"&lt;"&amp;Conciliacao!BG222+1,df_extratos!G:G,"DEBITO")
+SUMIFS(df_extratos!I:I,df_extratos!F:F,"&gt;="&amp;Conciliacao!BH222,df_extratos!F:F,"&lt;"&amp;Conciliacao!BH222+1,df_extratos!G:G,"DEBITO")</f>
        <v/>
      </c>
      <c r="O222" s="11">
        <f>N222-SUM(J222:M222)</f>
        <v/>
      </c>
      <c r="P222" s="25">
        <f>SUMIFS(df_ajustes_conciliaco!D:D,df_ajustes_conciliaco!C:C,Conciliacao!A222)</f>
        <v/>
      </c>
      <c r="Q222" s="22">
        <f>O222+I222-P222</f>
        <v/>
      </c>
      <c r="BE222" s="20" t="n">
        <v>45878.5</v>
      </c>
      <c r="BF222" s="20" t="n">
        <v>45878.125</v>
      </c>
      <c r="BG222" s="20" t="n">
        <v>45878.54166666666</v>
      </c>
      <c r="BH222" s="20" t="n">
        <v>45878.625</v>
      </c>
    </row>
    <row r="223">
      <c r="A223" s="5">
        <f>A222+1</f>
        <v/>
      </c>
      <c r="B223" s="3">
        <f>-SUMIFS(df_extrato_zig!G:G,df_extrato_zig!E:E,Conciliacao!A223,df_extrato_zig!D:D,"Saque")-SUMIFS(df_extrato_zig!G:G,df_extrato_zig!E:E,Conciliacao!A223,df_extrato_zig!D:D,"Antecipação")</f>
        <v/>
      </c>
      <c r="C223" s="3">
        <f>SUMIFS(df_extrato_zig!E:E,df_extrato_zig!L:L,Conciliacao!A223,df_extrato_zig!F:F,"DINHEIRO")</f>
        <v/>
      </c>
      <c r="D223" s="3">
        <f>SUMIFS(view_parc_agrup!H:H,view_parc_agrup!G:G,Conciliacao!A223)</f>
        <v/>
      </c>
      <c r="E223" s="3">
        <f>SUMIFS(df_eventos!F:F,df_eventos!H:H,Conciliacao!A223)</f>
        <v/>
      </c>
      <c r="F223" s="3">
        <f>SUMIFS(df_mutuos!M:M,df_mutuos!B:B,Conciliacao!A223)</f>
        <v/>
      </c>
      <c r="G223" s="6">
        <f>SUMIFS(df_bloqueios_judiciais!G:G,df_bloqueios_judiciais!D:D,Conciliacao!A223,df_bloqueios_judiciais!G:G,"&gt;0")</f>
        <v/>
      </c>
      <c r="H223" s="7">
        <f>SUMIFS(df_extratos!I:I,df_extratos!F:F,"&gt;="&amp;Conciliacao!BE223,df_extratos!F:F,"&lt;"&amp;Conciliacao!BE223+1,df_extratos!G:G,"CREDITO")
+SUMIFS(df_extratos!I:I,df_extratos!F:F,"&gt;="&amp;Conciliacao!A223, df_extratos!F:F,"&lt;"&amp;Conciliacao!A223+1, df_extratos!G:G,"CREDITO")
+SUMIFS(df_extratos!I:I,df_extratos!F:F,"&gt;="&amp;Conciliacao!BF223,df_extratos!F:F,"&lt;"&amp;Conciliacao!BF223+1,df_extratos!G:G,"CREDITO")
+SUMIFS(df_extratos!I:I,df_extratos!F:F,"&gt;="&amp;Conciliacao!BG223,df_extratos!F:F,"&lt;"&amp;Conciliacao!BG223+1,df_extratos!G:G,"CREDITO")
+SUMIFS(df_extratos!I:I,df_extratos!F:F,"&gt;="&amp;Conciliacao!BH223,df_extratos!F:F,"&lt;"&amp;Conciliacao!BH223+1,df_extratos!G:G,"CREDITO")</f>
        <v/>
      </c>
      <c r="I223" s="9">
        <f>H223-SUM(B223:G223)</f>
        <v/>
      </c>
      <c r="J223" s="4">
        <f>SUMIFS(df_blueme_sem_parcelamento!E:E,df_blueme_sem_parcelamento!H:H,Conciliacao!A223)*(-1)</f>
        <v/>
      </c>
      <c r="K223" s="4">
        <f>SUMIFS(df_blueme_com_parcelamento!J:J,df_blueme_com_parcelamento!M:M,Conciliacao!A223)*(-1)</f>
        <v/>
      </c>
      <c r="L223" s="4">
        <f>SUMIFS(df_mutuos!N:N,df_mutuos!B:B,Conciliacao!A223)*(-1)</f>
        <v/>
      </c>
      <c r="M223" s="8">
        <f>SUMIFS(df_bloqueios_judiciais!G:G,df_bloqueios_judiciais!D:D,Conciliacao!A223,df_bloqueios_judiciais!G:G,"&lt;0")</f>
        <v/>
      </c>
      <c r="N223" s="10">
        <f>SUMIFS(df_extratos!I:I,df_extratos!F:F,"&gt;="&amp;Conciliacao!BE223,df_extratos!F:F,"&lt;"&amp;Conciliacao!BE223+1,df_extratos!G:G,"DEBITO")
+SUMIFS(df_extratos!I:I,df_extratos!F:F,"&gt;="&amp;Conciliacao!A223, df_extratos!F:F,"&lt;"&amp;Conciliacao!A223+1, df_extratos!G:G,"DEBITO")
+SUMIFS(df_extratos!I:I,df_extratos!F:F,"&gt;="&amp;Conciliacao!BF223,df_extratos!F:F,"&lt;"&amp;Conciliacao!BF223+1,df_extratos!G:G,"DEBITO")
+SUMIFS(df_extratos!I:I,df_extratos!F:F,"&gt;="&amp;Conciliacao!BG223,df_extratos!F:F,"&lt;"&amp;Conciliacao!BG223+1,df_extratos!G:G,"DEBITO")
+SUMIFS(df_extratos!I:I,df_extratos!F:F,"&gt;="&amp;Conciliacao!BH223,df_extratos!F:F,"&lt;"&amp;Conciliacao!BH223+1,df_extratos!G:G,"DEBITO")</f>
        <v/>
      </c>
      <c r="O223" s="11">
        <f>N223-SUM(J223:M223)</f>
        <v/>
      </c>
      <c r="P223" s="25">
        <f>SUMIFS(df_ajustes_conciliaco!D:D,df_ajustes_conciliaco!C:C,Conciliacao!A223)</f>
        <v/>
      </c>
      <c r="Q223" s="22">
        <f>O223+I223-P223</f>
        <v/>
      </c>
      <c r="BE223" s="20" t="n">
        <v>45879.5</v>
      </c>
      <c r="BF223" s="20" t="n">
        <v>45879.125</v>
      </c>
      <c r="BG223" s="20" t="n">
        <v>45879.54166666666</v>
      </c>
      <c r="BH223" s="20" t="n">
        <v>45879.625</v>
      </c>
    </row>
    <row r="224">
      <c r="A224" s="5">
        <f>A223+1</f>
        <v/>
      </c>
      <c r="B224" s="3">
        <f>-SUMIFS(df_extrato_zig!G:G,df_extrato_zig!E:E,Conciliacao!A224,df_extrato_zig!D:D,"Saque")-SUMIFS(df_extrato_zig!G:G,df_extrato_zig!E:E,Conciliacao!A224,df_extrato_zig!D:D,"Antecipação")</f>
        <v/>
      </c>
      <c r="C224" s="3">
        <f>SUMIFS(df_extrato_zig!E:E,df_extrato_zig!L:L,Conciliacao!A224,df_extrato_zig!F:F,"DINHEIRO")</f>
        <v/>
      </c>
      <c r="D224" s="3">
        <f>SUMIFS(view_parc_agrup!H:H,view_parc_agrup!G:G,Conciliacao!A224)</f>
        <v/>
      </c>
      <c r="E224" s="3">
        <f>SUMIFS(df_eventos!F:F,df_eventos!H:H,Conciliacao!A224)</f>
        <v/>
      </c>
      <c r="F224" s="3">
        <f>SUMIFS(df_mutuos!M:M,df_mutuos!B:B,Conciliacao!A224)</f>
        <v/>
      </c>
      <c r="G224" s="6">
        <f>SUMIFS(df_bloqueios_judiciais!G:G,df_bloqueios_judiciais!D:D,Conciliacao!A224,df_bloqueios_judiciais!G:G,"&gt;0")</f>
        <v/>
      </c>
      <c r="H224" s="7">
        <f>SUMIFS(df_extratos!I:I,df_extratos!F:F,"&gt;="&amp;Conciliacao!BE224,df_extratos!F:F,"&lt;"&amp;Conciliacao!BE224+1,df_extratos!G:G,"CREDITO")
+SUMIFS(df_extratos!I:I,df_extratos!F:F,"&gt;="&amp;Conciliacao!A224, df_extratos!F:F,"&lt;"&amp;Conciliacao!A224+1, df_extratos!G:G,"CREDITO")
+SUMIFS(df_extratos!I:I,df_extratos!F:F,"&gt;="&amp;Conciliacao!BF224,df_extratos!F:F,"&lt;"&amp;Conciliacao!BF224+1,df_extratos!G:G,"CREDITO")
+SUMIFS(df_extratos!I:I,df_extratos!F:F,"&gt;="&amp;Conciliacao!BG224,df_extratos!F:F,"&lt;"&amp;Conciliacao!BG224+1,df_extratos!G:G,"CREDITO")
+SUMIFS(df_extratos!I:I,df_extratos!F:F,"&gt;="&amp;Conciliacao!BH224,df_extratos!F:F,"&lt;"&amp;Conciliacao!BH224+1,df_extratos!G:G,"CREDITO")</f>
        <v/>
      </c>
      <c r="I224" s="9">
        <f>H224-SUM(B224:G224)</f>
        <v/>
      </c>
      <c r="J224" s="4">
        <f>SUMIFS(df_blueme_sem_parcelamento!E:E,df_blueme_sem_parcelamento!H:H,Conciliacao!A224)*(-1)</f>
        <v/>
      </c>
      <c r="K224" s="4">
        <f>SUMIFS(df_blueme_com_parcelamento!J:J,df_blueme_com_parcelamento!M:M,Conciliacao!A224)*(-1)</f>
        <v/>
      </c>
      <c r="L224" s="4">
        <f>SUMIFS(df_mutuos!N:N,df_mutuos!B:B,Conciliacao!A224)*(-1)</f>
        <v/>
      </c>
      <c r="M224" s="8">
        <f>SUMIFS(df_bloqueios_judiciais!G:G,df_bloqueios_judiciais!D:D,Conciliacao!A224,df_bloqueios_judiciais!G:G,"&lt;0")</f>
        <v/>
      </c>
      <c r="N224" s="10">
        <f>SUMIFS(df_extratos!I:I,df_extratos!F:F,"&gt;="&amp;Conciliacao!BE224,df_extratos!F:F,"&lt;"&amp;Conciliacao!BE224+1,df_extratos!G:G,"DEBITO")
+SUMIFS(df_extratos!I:I,df_extratos!F:F,"&gt;="&amp;Conciliacao!A224, df_extratos!F:F,"&lt;"&amp;Conciliacao!A224+1, df_extratos!G:G,"DEBITO")
+SUMIFS(df_extratos!I:I,df_extratos!F:F,"&gt;="&amp;Conciliacao!BF224,df_extratos!F:F,"&lt;"&amp;Conciliacao!BF224+1,df_extratos!G:G,"DEBITO")
+SUMIFS(df_extratos!I:I,df_extratos!F:F,"&gt;="&amp;Conciliacao!BG224,df_extratos!F:F,"&lt;"&amp;Conciliacao!BG224+1,df_extratos!G:G,"DEBITO")
+SUMIFS(df_extratos!I:I,df_extratos!F:F,"&gt;="&amp;Conciliacao!BH224,df_extratos!F:F,"&lt;"&amp;Conciliacao!BH224+1,df_extratos!G:G,"DEBITO")</f>
        <v/>
      </c>
      <c r="O224" s="11">
        <f>N224-SUM(J224:M224)</f>
        <v/>
      </c>
      <c r="P224" s="25">
        <f>SUMIFS(df_ajustes_conciliaco!D:D,df_ajustes_conciliaco!C:C,Conciliacao!A224)</f>
        <v/>
      </c>
      <c r="Q224" s="22">
        <f>O224+I224-P224</f>
        <v/>
      </c>
      <c r="BE224" s="20" t="n">
        <v>45880.5</v>
      </c>
      <c r="BF224" s="20" t="n">
        <v>45880.125</v>
      </c>
      <c r="BG224" s="20" t="n">
        <v>45880.54166666666</v>
      </c>
      <c r="BH224" s="20" t="n">
        <v>45880.625</v>
      </c>
    </row>
    <row r="225">
      <c r="A225" s="5">
        <f>A224+1</f>
        <v/>
      </c>
      <c r="B225" s="3">
        <f>-SUMIFS(df_extrato_zig!G:G,df_extrato_zig!E:E,Conciliacao!A225,df_extrato_zig!D:D,"Saque")-SUMIFS(df_extrato_zig!G:G,df_extrato_zig!E:E,Conciliacao!A225,df_extrato_zig!D:D,"Antecipação")</f>
        <v/>
      </c>
      <c r="C225" s="3">
        <f>SUMIFS(df_extrato_zig!E:E,df_extrato_zig!L:L,Conciliacao!A225,df_extrato_zig!F:F,"DINHEIRO")</f>
        <v/>
      </c>
      <c r="D225" s="3">
        <f>SUMIFS(view_parc_agrup!H:H,view_parc_agrup!G:G,Conciliacao!A225)</f>
        <v/>
      </c>
      <c r="E225" s="3">
        <f>SUMIFS(df_eventos!F:F,df_eventos!H:H,Conciliacao!A225)</f>
        <v/>
      </c>
      <c r="F225" s="3">
        <f>SUMIFS(df_mutuos!M:M,df_mutuos!B:B,Conciliacao!A225)</f>
        <v/>
      </c>
      <c r="G225" s="6">
        <f>SUMIFS(df_bloqueios_judiciais!G:G,df_bloqueios_judiciais!D:D,Conciliacao!A225,df_bloqueios_judiciais!G:G,"&gt;0")</f>
        <v/>
      </c>
      <c r="H225" s="7">
        <f>SUMIFS(df_extratos!I:I,df_extratos!F:F,"&gt;="&amp;Conciliacao!BE225,df_extratos!F:F,"&lt;"&amp;Conciliacao!BE225+1,df_extratos!G:G,"CREDITO")
+SUMIFS(df_extratos!I:I,df_extratos!F:F,"&gt;="&amp;Conciliacao!A225, df_extratos!F:F,"&lt;"&amp;Conciliacao!A225+1, df_extratos!G:G,"CREDITO")
+SUMIFS(df_extratos!I:I,df_extratos!F:F,"&gt;="&amp;Conciliacao!BF225,df_extratos!F:F,"&lt;"&amp;Conciliacao!BF225+1,df_extratos!G:G,"CREDITO")
+SUMIFS(df_extratos!I:I,df_extratos!F:F,"&gt;="&amp;Conciliacao!BG225,df_extratos!F:F,"&lt;"&amp;Conciliacao!BG225+1,df_extratos!G:G,"CREDITO")
+SUMIFS(df_extratos!I:I,df_extratos!F:F,"&gt;="&amp;Conciliacao!BH225,df_extratos!F:F,"&lt;"&amp;Conciliacao!BH225+1,df_extratos!G:G,"CREDITO")</f>
        <v/>
      </c>
      <c r="I225" s="9">
        <f>H225-SUM(B225:G225)</f>
        <v/>
      </c>
      <c r="J225" s="4">
        <f>SUMIFS(df_blueme_sem_parcelamento!E:E,df_blueme_sem_parcelamento!H:H,Conciliacao!A225)*(-1)</f>
        <v/>
      </c>
      <c r="K225" s="4">
        <f>SUMIFS(df_blueme_com_parcelamento!J:J,df_blueme_com_parcelamento!M:M,Conciliacao!A225)*(-1)</f>
        <v/>
      </c>
      <c r="L225" s="4">
        <f>SUMIFS(df_mutuos!N:N,df_mutuos!B:B,Conciliacao!A225)*(-1)</f>
        <v/>
      </c>
      <c r="M225" s="8">
        <f>SUMIFS(df_bloqueios_judiciais!G:G,df_bloqueios_judiciais!D:D,Conciliacao!A225,df_bloqueios_judiciais!G:G,"&lt;0")</f>
        <v/>
      </c>
      <c r="N225" s="10">
        <f>SUMIFS(df_extratos!I:I,df_extratos!F:F,"&gt;="&amp;Conciliacao!BE225,df_extratos!F:F,"&lt;"&amp;Conciliacao!BE225+1,df_extratos!G:G,"DEBITO")
+SUMIFS(df_extratos!I:I,df_extratos!F:F,"&gt;="&amp;Conciliacao!A225, df_extratos!F:F,"&lt;"&amp;Conciliacao!A225+1, df_extratos!G:G,"DEBITO")
+SUMIFS(df_extratos!I:I,df_extratos!F:F,"&gt;="&amp;Conciliacao!BF225,df_extratos!F:F,"&lt;"&amp;Conciliacao!BF225+1,df_extratos!G:G,"DEBITO")
+SUMIFS(df_extratos!I:I,df_extratos!F:F,"&gt;="&amp;Conciliacao!BG225,df_extratos!F:F,"&lt;"&amp;Conciliacao!BG225+1,df_extratos!G:G,"DEBITO")
+SUMIFS(df_extratos!I:I,df_extratos!F:F,"&gt;="&amp;Conciliacao!BH225,df_extratos!F:F,"&lt;"&amp;Conciliacao!BH225+1,df_extratos!G:G,"DEBITO")</f>
        <v/>
      </c>
      <c r="O225" s="11">
        <f>N225-SUM(J225:M225)</f>
        <v/>
      </c>
      <c r="P225" s="25">
        <f>SUMIFS(df_ajustes_conciliaco!D:D,df_ajustes_conciliaco!C:C,Conciliacao!A225)</f>
        <v/>
      </c>
      <c r="Q225" s="22">
        <f>O225+I225-P225</f>
        <v/>
      </c>
      <c r="BE225" s="20" t="n">
        <v>45881.5</v>
      </c>
      <c r="BF225" s="20" t="n">
        <v>45881.125</v>
      </c>
      <c r="BG225" s="20" t="n">
        <v>45881.54166666666</v>
      </c>
      <c r="BH225" s="20" t="n">
        <v>45881.625</v>
      </c>
    </row>
    <row r="226">
      <c r="A226" s="5">
        <f>A225+1</f>
        <v/>
      </c>
      <c r="B226" s="3">
        <f>-SUMIFS(df_extrato_zig!G:G,df_extrato_zig!E:E,Conciliacao!A226,df_extrato_zig!D:D,"Saque")-SUMIFS(df_extrato_zig!G:G,df_extrato_zig!E:E,Conciliacao!A226,df_extrato_zig!D:D,"Antecipação")</f>
        <v/>
      </c>
      <c r="C226" s="3">
        <f>SUMIFS(df_extrato_zig!E:E,df_extrato_zig!L:L,Conciliacao!A226,df_extrato_zig!F:F,"DINHEIRO")</f>
        <v/>
      </c>
      <c r="D226" s="3">
        <f>SUMIFS(view_parc_agrup!H:H,view_parc_agrup!G:G,Conciliacao!A226)</f>
        <v/>
      </c>
      <c r="E226" s="3">
        <f>SUMIFS(df_eventos!F:F,df_eventos!H:H,Conciliacao!A226)</f>
        <v/>
      </c>
      <c r="F226" s="3">
        <f>SUMIFS(df_mutuos!M:M,df_mutuos!B:B,Conciliacao!A226)</f>
        <v/>
      </c>
      <c r="G226" s="6">
        <f>SUMIFS(df_bloqueios_judiciais!G:G,df_bloqueios_judiciais!D:D,Conciliacao!A226,df_bloqueios_judiciais!G:G,"&gt;0")</f>
        <v/>
      </c>
      <c r="H226" s="7">
        <f>SUMIFS(df_extratos!I:I,df_extratos!F:F,"&gt;="&amp;Conciliacao!BE226,df_extratos!F:F,"&lt;"&amp;Conciliacao!BE226+1,df_extratos!G:G,"CREDITO")
+SUMIFS(df_extratos!I:I,df_extratos!F:F,"&gt;="&amp;Conciliacao!A226, df_extratos!F:F,"&lt;"&amp;Conciliacao!A226+1, df_extratos!G:G,"CREDITO")
+SUMIFS(df_extratos!I:I,df_extratos!F:F,"&gt;="&amp;Conciliacao!BF226,df_extratos!F:F,"&lt;"&amp;Conciliacao!BF226+1,df_extratos!G:G,"CREDITO")
+SUMIFS(df_extratos!I:I,df_extratos!F:F,"&gt;="&amp;Conciliacao!BG226,df_extratos!F:F,"&lt;"&amp;Conciliacao!BG226+1,df_extratos!G:G,"CREDITO")
+SUMIFS(df_extratos!I:I,df_extratos!F:F,"&gt;="&amp;Conciliacao!BH226,df_extratos!F:F,"&lt;"&amp;Conciliacao!BH226+1,df_extratos!G:G,"CREDITO")</f>
        <v/>
      </c>
      <c r="I226" s="9">
        <f>H226-SUM(B226:G226)</f>
        <v/>
      </c>
      <c r="J226" s="4">
        <f>SUMIFS(df_blueme_sem_parcelamento!E:E,df_blueme_sem_parcelamento!H:H,Conciliacao!A226)*(-1)</f>
        <v/>
      </c>
      <c r="K226" s="4">
        <f>SUMIFS(df_blueme_com_parcelamento!J:J,df_blueme_com_parcelamento!M:M,Conciliacao!A226)*(-1)</f>
        <v/>
      </c>
      <c r="L226" s="4">
        <f>SUMIFS(df_mutuos!N:N,df_mutuos!B:B,Conciliacao!A226)*(-1)</f>
        <v/>
      </c>
      <c r="M226" s="8">
        <f>SUMIFS(df_bloqueios_judiciais!G:G,df_bloqueios_judiciais!D:D,Conciliacao!A226,df_bloqueios_judiciais!G:G,"&lt;0")</f>
        <v/>
      </c>
      <c r="N226" s="10">
        <f>SUMIFS(df_extratos!I:I,df_extratos!F:F,"&gt;="&amp;Conciliacao!BE226,df_extratos!F:F,"&lt;"&amp;Conciliacao!BE226+1,df_extratos!G:G,"DEBITO")
+SUMIFS(df_extratos!I:I,df_extratos!F:F,"&gt;="&amp;Conciliacao!A226, df_extratos!F:F,"&lt;"&amp;Conciliacao!A226+1, df_extratos!G:G,"DEBITO")
+SUMIFS(df_extratos!I:I,df_extratos!F:F,"&gt;="&amp;Conciliacao!BF226,df_extratos!F:F,"&lt;"&amp;Conciliacao!BF226+1,df_extratos!G:G,"DEBITO")
+SUMIFS(df_extratos!I:I,df_extratos!F:F,"&gt;="&amp;Conciliacao!BG226,df_extratos!F:F,"&lt;"&amp;Conciliacao!BG226+1,df_extratos!G:G,"DEBITO")
+SUMIFS(df_extratos!I:I,df_extratos!F:F,"&gt;="&amp;Conciliacao!BH226,df_extratos!F:F,"&lt;"&amp;Conciliacao!BH226+1,df_extratos!G:G,"DEBITO")</f>
        <v/>
      </c>
      <c r="O226" s="11">
        <f>N226-SUM(J226:M226)</f>
        <v/>
      </c>
      <c r="P226" s="25">
        <f>SUMIFS(df_ajustes_conciliaco!D:D,df_ajustes_conciliaco!C:C,Conciliacao!A226)</f>
        <v/>
      </c>
      <c r="Q226" s="22">
        <f>O226+I226-P226</f>
        <v/>
      </c>
      <c r="BE226" s="20" t="n">
        <v>45882.5</v>
      </c>
      <c r="BF226" s="20" t="n">
        <v>45882.125</v>
      </c>
      <c r="BG226" s="20" t="n">
        <v>45882.54166666666</v>
      </c>
      <c r="BH226" s="20" t="n">
        <v>45882.625</v>
      </c>
    </row>
    <row r="227">
      <c r="A227" s="5">
        <f>A226+1</f>
        <v/>
      </c>
      <c r="B227" s="3">
        <f>-SUMIFS(df_extrato_zig!G:G,df_extrato_zig!E:E,Conciliacao!A227,df_extrato_zig!D:D,"Saque")-SUMIFS(df_extrato_zig!G:G,df_extrato_zig!E:E,Conciliacao!A227,df_extrato_zig!D:D,"Antecipação")</f>
        <v/>
      </c>
      <c r="C227" s="3">
        <f>SUMIFS(df_extrato_zig!E:E,df_extrato_zig!L:L,Conciliacao!A227,df_extrato_zig!F:F,"DINHEIRO")</f>
        <v/>
      </c>
      <c r="D227" s="3">
        <f>SUMIFS(view_parc_agrup!H:H,view_parc_agrup!G:G,Conciliacao!A227)</f>
        <v/>
      </c>
      <c r="E227" s="3">
        <f>SUMIFS(df_eventos!F:F,df_eventos!H:H,Conciliacao!A227)</f>
        <v/>
      </c>
      <c r="F227" s="3">
        <f>SUMIFS(df_mutuos!M:M,df_mutuos!B:B,Conciliacao!A227)</f>
        <v/>
      </c>
      <c r="G227" s="6">
        <f>SUMIFS(df_bloqueios_judiciais!G:G,df_bloqueios_judiciais!D:D,Conciliacao!A227,df_bloqueios_judiciais!G:G,"&gt;0")</f>
        <v/>
      </c>
      <c r="H227" s="7">
        <f>SUMIFS(df_extratos!I:I,df_extratos!F:F,"&gt;="&amp;Conciliacao!BE227,df_extratos!F:F,"&lt;"&amp;Conciliacao!BE227+1,df_extratos!G:G,"CREDITO")
+SUMIFS(df_extratos!I:I,df_extratos!F:F,"&gt;="&amp;Conciliacao!A227, df_extratos!F:F,"&lt;"&amp;Conciliacao!A227+1, df_extratos!G:G,"CREDITO")
+SUMIFS(df_extratos!I:I,df_extratos!F:F,"&gt;="&amp;Conciliacao!BF227,df_extratos!F:F,"&lt;"&amp;Conciliacao!BF227+1,df_extratos!G:G,"CREDITO")
+SUMIFS(df_extratos!I:I,df_extratos!F:F,"&gt;="&amp;Conciliacao!BG227,df_extratos!F:F,"&lt;"&amp;Conciliacao!BG227+1,df_extratos!G:G,"CREDITO")
+SUMIFS(df_extratos!I:I,df_extratos!F:F,"&gt;="&amp;Conciliacao!BH227,df_extratos!F:F,"&lt;"&amp;Conciliacao!BH227+1,df_extratos!G:G,"CREDITO")</f>
        <v/>
      </c>
      <c r="I227" s="9">
        <f>H227-SUM(B227:G227)</f>
        <v/>
      </c>
      <c r="J227" s="4">
        <f>SUMIFS(df_blueme_sem_parcelamento!E:E,df_blueme_sem_parcelamento!H:H,Conciliacao!A227)*(-1)</f>
        <v/>
      </c>
      <c r="K227" s="4">
        <f>SUMIFS(df_blueme_com_parcelamento!J:J,df_blueme_com_parcelamento!M:M,Conciliacao!A227)*(-1)</f>
        <v/>
      </c>
      <c r="L227" s="4">
        <f>SUMIFS(df_mutuos!N:N,df_mutuos!B:B,Conciliacao!A227)*(-1)</f>
        <v/>
      </c>
      <c r="M227" s="8">
        <f>SUMIFS(df_bloqueios_judiciais!G:G,df_bloqueios_judiciais!D:D,Conciliacao!A227,df_bloqueios_judiciais!G:G,"&lt;0")</f>
        <v/>
      </c>
      <c r="N227" s="10">
        <f>SUMIFS(df_extratos!I:I,df_extratos!F:F,"&gt;="&amp;Conciliacao!BE227,df_extratos!F:F,"&lt;"&amp;Conciliacao!BE227+1,df_extratos!G:G,"DEBITO")
+SUMIFS(df_extratos!I:I,df_extratos!F:F,"&gt;="&amp;Conciliacao!A227, df_extratos!F:F,"&lt;"&amp;Conciliacao!A227+1, df_extratos!G:G,"DEBITO")
+SUMIFS(df_extratos!I:I,df_extratos!F:F,"&gt;="&amp;Conciliacao!BF227,df_extratos!F:F,"&lt;"&amp;Conciliacao!BF227+1,df_extratos!G:G,"DEBITO")
+SUMIFS(df_extratos!I:I,df_extratos!F:F,"&gt;="&amp;Conciliacao!BG227,df_extratos!F:F,"&lt;"&amp;Conciliacao!BG227+1,df_extratos!G:G,"DEBITO")
+SUMIFS(df_extratos!I:I,df_extratos!F:F,"&gt;="&amp;Conciliacao!BH227,df_extratos!F:F,"&lt;"&amp;Conciliacao!BH227+1,df_extratos!G:G,"DEBITO")</f>
        <v/>
      </c>
      <c r="O227" s="11">
        <f>N227-SUM(J227:M227)</f>
        <v/>
      </c>
      <c r="P227" s="25">
        <f>SUMIFS(df_ajustes_conciliaco!D:D,df_ajustes_conciliaco!C:C,Conciliacao!A227)</f>
        <v/>
      </c>
      <c r="Q227" s="22">
        <f>O227+I227-P227</f>
        <v/>
      </c>
      <c r="BE227" s="20" t="n">
        <v>45883.5</v>
      </c>
      <c r="BF227" s="20" t="n">
        <v>45883.125</v>
      </c>
      <c r="BG227" s="20" t="n">
        <v>45883.54166666666</v>
      </c>
      <c r="BH227" s="20" t="n">
        <v>45883.625</v>
      </c>
    </row>
    <row r="228">
      <c r="A228" s="5">
        <f>A227+1</f>
        <v/>
      </c>
      <c r="B228" s="3">
        <f>-SUMIFS(df_extrato_zig!G:G,df_extrato_zig!E:E,Conciliacao!A228,df_extrato_zig!D:D,"Saque")-SUMIFS(df_extrato_zig!G:G,df_extrato_zig!E:E,Conciliacao!A228,df_extrato_zig!D:D,"Antecipação")</f>
        <v/>
      </c>
      <c r="C228" s="3">
        <f>SUMIFS(df_extrato_zig!E:E,df_extrato_zig!L:L,Conciliacao!A228,df_extrato_zig!F:F,"DINHEIRO")</f>
        <v/>
      </c>
      <c r="D228" s="3">
        <f>SUMIFS(view_parc_agrup!H:H,view_parc_agrup!G:G,Conciliacao!A228)</f>
        <v/>
      </c>
      <c r="E228" s="3">
        <f>SUMIFS(df_eventos!F:F,df_eventos!H:H,Conciliacao!A228)</f>
        <v/>
      </c>
      <c r="F228" s="3">
        <f>SUMIFS(df_mutuos!M:M,df_mutuos!B:B,Conciliacao!A228)</f>
        <v/>
      </c>
      <c r="G228" s="6">
        <f>SUMIFS(df_bloqueios_judiciais!G:G,df_bloqueios_judiciais!D:D,Conciliacao!A228,df_bloqueios_judiciais!G:G,"&gt;0")</f>
        <v/>
      </c>
      <c r="H228" s="7">
        <f>SUMIFS(df_extratos!I:I,df_extratos!F:F,"&gt;="&amp;Conciliacao!BE228,df_extratos!F:F,"&lt;"&amp;Conciliacao!BE228+1,df_extratos!G:G,"CREDITO")
+SUMIFS(df_extratos!I:I,df_extratos!F:F,"&gt;="&amp;Conciliacao!A228, df_extratos!F:F,"&lt;"&amp;Conciliacao!A228+1, df_extratos!G:G,"CREDITO")
+SUMIFS(df_extratos!I:I,df_extratos!F:F,"&gt;="&amp;Conciliacao!BF228,df_extratos!F:F,"&lt;"&amp;Conciliacao!BF228+1,df_extratos!G:G,"CREDITO")
+SUMIFS(df_extratos!I:I,df_extratos!F:F,"&gt;="&amp;Conciliacao!BG228,df_extratos!F:F,"&lt;"&amp;Conciliacao!BG228+1,df_extratos!G:G,"CREDITO")
+SUMIFS(df_extratos!I:I,df_extratos!F:F,"&gt;="&amp;Conciliacao!BH228,df_extratos!F:F,"&lt;"&amp;Conciliacao!BH228+1,df_extratos!G:G,"CREDITO")</f>
        <v/>
      </c>
      <c r="I228" s="9">
        <f>H228-SUM(B228:G228)</f>
        <v/>
      </c>
      <c r="J228" s="4">
        <f>SUMIFS(df_blueme_sem_parcelamento!E:E,df_blueme_sem_parcelamento!H:H,Conciliacao!A228)*(-1)</f>
        <v/>
      </c>
      <c r="K228" s="4">
        <f>SUMIFS(df_blueme_com_parcelamento!J:J,df_blueme_com_parcelamento!M:M,Conciliacao!A228)*(-1)</f>
        <v/>
      </c>
      <c r="L228" s="4">
        <f>SUMIFS(df_mutuos!N:N,df_mutuos!B:B,Conciliacao!A228)*(-1)</f>
        <v/>
      </c>
      <c r="M228" s="8">
        <f>SUMIFS(df_bloqueios_judiciais!G:G,df_bloqueios_judiciais!D:D,Conciliacao!A228,df_bloqueios_judiciais!G:G,"&lt;0")</f>
        <v/>
      </c>
      <c r="N228" s="10">
        <f>SUMIFS(df_extratos!I:I,df_extratos!F:F,"&gt;="&amp;Conciliacao!BE228,df_extratos!F:F,"&lt;"&amp;Conciliacao!BE228+1,df_extratos!G:G,"DEBITO")
+SUMIFS(df_extratos!I:I,df_extratos!F:F,"&gt;="&amp;Conciliacao!A228, df_extratos!F:F,"&lt;"&amp;Conciliacao!A228+1, df_extratos!G:G,"DEBITO")
+SUMIFS(df_extratos!I:I,df_extratos!F:F,"&gt;="&amp;Conciliacao!BF228,df_extratos!F:F,"&lt;"&amp;Conciliacao!BF228+1,df_extratos!G:G,"DEBITO")
+SUMIFS(df_extratos!I:I,df_extratos!F:F,"&gt;="&amp;Conciliacao!BG228,df_extratos!F:F,"&lt;"&amp;Conciliacao!BG228+1,df_extratos!G:G,"DEBITO")
+SUMIFS(df_extratos!I:I,df_extratos!F:F,"&gt;="&amp;Conciliacao!BH228,df_extratos!F:F,"&lt;"&amp;Conciliacao!BH228+1,df_extratos!G:G,"DEBITO")</f>
        <v/>
      </c>
      <c r="O228" s="11">
        <f>N228-SUM(J228:M228)</f>
        <v/>
      </c>
      <c r="P228" s="25">
        <f>SUMIFS(df_ajustes_conciliaco!D:D,df_ajustes_conciliaco!C:C,Conciliacao!A228)</f>
        <v/>
      </c>
      <c r="Q228" s="22">
        <f>O228+I228-P228</f>
        <v/>
      </c>
      <c r="BE228" s="20" t="n">
        <v>45884.5</v>
      </c>
      <c r="BF228" s="20" t="n">
        <v>45884.125</v>
      </c>
      <c r="BG228" s="20" t="n">
        <v>45884.54166666666</v>
      </c>
      <c r="BH228" s="20" t="n">
        <v>45884.625</v>
      </c>
    </row>
    <row r="229">
      <c r="A229" s="5">
        <f>A228+1</f>
        <v/>
      </c>
      <c r="B229" s="3">
        <f>-SUMIFS(df_extrato_zig!G:G,df_extrato_zig!E:E,Conciliacao!A229,df_extrato_zig!D:D,"Saque")-SUMIFS(df_extrato_zig!G:G,df_extrato_zig!E:E,Conciliacao!A229,df_extrato_zig!D:D,"Antecipação")</f>
        <v/>
      </c>
      <c r="C229" s="3">
        <f>SUMIFS(df_extrato_zig!E:E,df_extrato_zig!L:L,Conciliacao!A229,df_extrato_zig!F:F,"DINHEIRO")</f>
        <v/>
      </c>
      <c r="D229" s="3">
        <f>SUMIFS(view_parc_agrup!H:H,view_parc_agrup!G:G,Conciliacao!A229)</f>
        <v/>
      </c>
      <c r="E229" s="3">
        <f>SUMIFS(df_eventos!F:F,df_eventos!H:H,Conciliacao!A229)</f>
        <v/>
      </c>
      <c r="F229" s="3">
        <f>SUMIFS(df_mutuos!M:M,df_mutuos!B:B,Conciliacao!A229)</f>
        <v/>
      </c>
      <c r="G229" s="6">
        <f>SUMIFS(df_bloqueios_judiciais!G:G,df_bloqueios_judiciais!D:D,Conciliacao!A229,df_bloqueios_judiciais!G:G,"&gt;0")</f>
        <v/>
      </c>
      <c r="H229" s="7">
        <f>SUMIFS(df_extratos!I:I,df_extratos!F:F,"&gt;="&amp;Conciliacao!BE229,df_extratos!F:F,"&lt;"&amp;Conciliacao!BE229+1,df_extratos!G:G,"CREDITO")
+SUMIFS(df_extratos!I:I,df_extratos!F:F,"&gt;="&amp;Conciliacao!A229, df_extratos!F:F,"&lt;"&amp;Conciliacao!A229+1, df_extratos!G:G,"CREDITO")
+SUMIFS(df_extratos!I:I,df_extratos!F:F,"&gt;="&amp;Conciliacao!BF229,df_extratos!F:F,"&lt;"&amp;Conciliacao!BF229+1,df_extratos!G:G,"CREDITO")
+SUMIFS(df_extratos!I:I,df_extratos!F:F,"&gt;="&amp;Conciliacao!BG229,df_extratos!F:F,"&lt;"&amp;Conciliacao!BG229+1,df_extratos!G:G,"CREDITO")
+SUMIFS(df_extratos!I:I,df_extratos!F:F,"&gt;="&amp;Conciliacao!BH229,df_extratos!F:F,"&lt;"&amp;Conciliacao!BH229+1,df_extratos!G:G,"CREDITO")</f>
        <v/>
      </c>
      <c r="I229" s="9">
        <f>H229-SUM(B229:G229)</f>
        <v/>
      </c>
      <c r="J229" s="4">
        <f>SUMIFS(df_blueme_sem_parcelamento!E:E,df_blueme_sem_parcelamento!H:H,Conciliacao!A229)*(-1)</f>
        <v/>
      </c>
      <c r="K229" s="4">
        <f>SUMIFS(df_blueme_com_parcelamento!J:J,df_blueme_com_parcelamento!M:M,Conciliacao!A229)*(-1)</f>
        <v/>
      </c>
      <c r="L229" s="4">
        <f>SUMIFS(df_mutuos!N:N,df_mutuos!B:B,Conciliacao!A229)*(-1)</f>
        <v/>
      </c>
      <c r="M229" s="8">
        <f>SUMIFS(df_bloqueios_judiciais!G:G,df_bloqueios_judiciais!D:D,Conciliacao!A229,df_bloqueios_judiciais!G:G,"&lt;0")</f>
        <v/>
      </c>
      <c r="N229" s="10">
        <f>SUMIFS(df_extratos!I:I,df_extratos!F:F,"&gt;="&amp;Conciliacao!BE229,df_extratos!F:F,"&lt;"&amp;Conciliacao!BE229+1,df_extratos!G:G,"DEBITO")
+SUMIFS(df_extratos!I:I,df_extratos!F:F,"&gt;="&amp;Conciliacao!A229, df_extratos!F:F,"&lt;"&amp;Conciliacao!A229+1, df_extratos!G:G,"DEBITO")
+SUMIFS(df_extratos!I:I,df_extratos!F:F,"&gt;="&amp;Conciliacao!BF229,df_extratos!F:F,"&lt;"&amp;Conciliacao!BF229+1,df_extratos!G:G,"DEBITO")
+SUMIFS(df_extratos!I:I,df_extratos!F:F,"&gt;="&amp;Conciliacao!BG229,df_extratos!F:F,"&lt;"&amp;Conciliacao!BG229+1,df_extratos!G:G,"DEBITO")
+SUMIFS(df_extratos!I:I,df_extratos!F:F,"&gt;="&amp;Conciliacao!BH229,df_extratos!F:F,"&lt;"&amp;Conciliacao!BH229+1,df_extratos!G:G,"DEBITO")</f>
        <v/>
      </c>
      <c r="O229" s="11">
        <f>N229-SUM(J229:M229)</f>
        <v/>
      </c>
      <c r="P229" s="25">
        <f>SUMIFS(df_ajustes_conciliaco!D:D,df_ajustes_conciliaco!C:C,Conciliacao!A229)</f>
        <v/>
      </c>
      <c r="Q229" s="22">
        <f>O229+I229-P229</f>
        <v/>
      </c>
      <c r="BE229" s="20" t="n">
        <v>45885.5</v>
      </c>
      <c r="BF229" s="20" t="n">
        <v>45885.125</v>
      </c>
      <c r="BG229" s="20" t="n">
        <v>45885.54166666666</v>
      </c>
      <c r="BH229" s="20" t="n">
        <v>45885.625</v>
      </c>
    </row>
    <row r="230">
      <c r="A230" s="5">
        <f>A229+1</f>
        <v/>
      </c>
      <c r="B230" s="3">
        <f>-SUMIFS(df_extrato_zig!G:G,df_extrato_zig!E:E,Conciliacao!A230,df_extrato_zig!D:D,"Saque")-SUMIFS(df_extrato_zig!G:G,df_extrato_zig!E:E,Conciliacao!A230,df_extrato_zig!D:D,"Antecipação")</f>
        <v/>
      </c>
      <c r="C230" s="3">
        <f>SUMIFS(df_extrato_zig!E:E,df_extrato_zig!L:L,Conciliacao!A230,df_extrato_zig!F:F,"DINHEIRO")</f>
        <v/>
      </c>
      <c r="D230" s="3">
        <f>SUMIFS(view_parc_agrup!H:H,view_parc_agrup!G:G,Conciliacao!A230)</f>
        <v/>
      </c>
      <c r="E230" s="3">
        <f>SUMIFS(df_eventos!F:F,df_eventos!H:H,Conciliacao!A230)</f>
        <v/>
      </c>
      <c r="F230" s="3">
        <f>SUMIFS(df_mutuos!M:M,df_mutuos!B:B,Conciliacao!A230)</f>
        <v/>
      </c>
      <c r="G230" s="6">
        <f>SUMIFS(df_bloqueios_judiciais!G:G,df_bloqueios_judiciais!D:D,Conciliacao!A230,df_bloqueios_judiciais!G:G,"&gt;0")</f>
        <v/>
      </c>
      <c r="H230" s="7">
        <f>SUMIFS(df_extratos!I:I,df_extratos!F:F,"&gt;="&amp;Conciliacao!BE230,df_extratos!F:F,"&lt;"&amp;Conciliacao!BE230+1,df_extratos!G:G,"CREDITO")
+SUMIFS(df_extratos!I:I,df_extratos!F:F,"&gt;="&amp;Conciliacao!A230, df_extratos!F:F,"&lt;"&amp;Conciliacao!A230+1, df_extratos!G:G,"CREDITO")
+SUMIFS(df_extratos!I:I,df_extratos!F:F,"&gt;="&amp;Conciliacao!BF230,df_extratos!F:F,"&lt;"&amp;Conciliacao!BF230+1,df_extratos!G:G,"CREDITO")
+SUMIFS(df_extratos!I:I,df_extratos!F:F,"&gt;="&amp;Conciliacao!BG230,df_extratos!F:F,"&lt;"&amp;Conciliacao!BG230+1,df_extratos!G:G,"CREDITO")
+SUMIFS(df_extratos!I:I,df_extratos!F:F,"&gt;="&amp;Conciliacao!BH230,df_extratos!F:F,"&lt;"&amp;Conciliacao!BH230+1,df_extratos!G:G,"CREDITO")</f>
        <v/>
      </c>
      <c r="I230" s="9">
        <f>H230-SUM(B230:G230)</f>
        <v/>
      </c>
      <c r="J230" s="4">
        <f>SUMIFS(df_blueme_sem_parcelamento!E:E,df_blueme_sem_parcelamento!H:H,Conciliacao!A230)*(-1)</f>
        <v/>
      </c>
      <c r="K230" s="4">
        <f>SUMIFS(df_blueme_com_parcelamento!J:J,df_blueme_com_parcelamento!M:M,Conciliacao!A230)*(-1)</f>
        <v/>
      </c>
      <c r="L230" s="4">
        <f>SUMIFS(df_mutuos!N:N,df_mutuos!B:B,Conciliacao!A230)*(-1)</f>
        <v/>
      </c>
      <c r="M230" s="8">
        <f>SUMIFS(df_bloqueios_judiciais!G:G,df_bloqueios_judiciais!D:D,Conciliacao!A230,df_bloqueios_judiciais!G:G,"&lt;0")</f>
        <v/>
      </c>
      <c r="N230" s="10">
        <f>SUMIFS(df_extratos!I:I,df_extratos!F:F,"&gt;="&amp;Conciliacao!BE230,df_extratos!F:F,"&lt;"&amp;Conciliacao!BE230+1,df_extratos!G:G,"DEBITO")
+SUMIFS(df_extratos!I:I,df_extratos!F:F,"&gt;="&amp;Conciliacao!A230, df_extratos!F:F,"&lt;"&amp;Conciliacao!A230+1, df_extratos!G:G,"DEBITO")
+SUMIFS(df_extratos!I:I,df_extratos!F:F,"&gt;="&amp;Conciliacao!BF230,df_extratos!F:F,"&lt;"&amp;Conciliacao!BF230+1,df_extratos!G:G,"DEBITO")
+SUMIFS(df_extratos!I:I,df_extratos!F:F,"&gt;="&amp;Conciliacao!BG230,df_extratos!F:F,"&lt;"&amp;Conciliacao!BG230+1,df_extratos!G:G,"DEBITO")
+SUMIFS(df_extratos!I:I,df_extratos!F:F,"&gt;="&amp;Conciliacao!BH230,df_extratos!F:F,"&lt;"&amp;Conciliacao!BH230+1,df_extratos!G:G,"DEBITO")</f>
        <v/>
      </c>
      <c r="O230" s="11">
        <f>N230-SUM(J230:M230)</f>
        <v/>
      </c>
      <c r="P230" s="25">
        <f>SUMIFS(df_ajustes_conciliaco!D:D,df_ajustes_conciliaco!C:C,Conciliacao!A230)</f>
        <v/>
      </c>
      <c r="Q230" s="22">
        <f>O230+I230-P230</f>
        <v/>
      </c>
      <c r="BE230" s="20" t="n">
        <v>45886.5</v>
      </c>
      <c r="BF230" s="20" t="n">
        <v>45886.125</v>
      </c>
      <c r="BG230" s="20" t="n">
        <v>45886.54166666666</v>
      </c>
      <c r="BH230" s="20" t="n">
        <v>45886.625</v>
      </c>
    </row>
    <row r="231">
      <c r="A231" s="5">
        <f>A230+1</f>
        <v/>
      </c>
      <c r="B231" s="3">
        <f>-SUMIFS(df_extrato_zig!G:G,df_extrato_zig!E:E,Conciliacao!A231,df_extrato_zig!D:D,"Saque")-SUMIFS(df_extrato_zig!G:G,df_extrato_zig!E:E,Conciliacao!A231,df_extrato_zig!D:D,"Antecipação")</f>
        <v/>
      </c>
      <c r="C231" s="3">
        <f>SUMIFS(df_extrato_zig!E:E,df_extrato_zig!L:L,Conciliacao!A231,df_extrato_zig!F:F,"DINHEIRO")</f>
        <v/>
      </c>
      <c r="D231" s="3">
        <f>SUMIFS(view_parc_agrup!H:H,view_parc_agrup!G:G,Conciliacao!A231)</f>
        <v/>
      </c>
      <c r="E231" s="3">
        <f>SUMIFS(df_eventos!F:F,df_eventos!H:H,Conciliacao!A231)</f>
        <v/>
      </c>
      <c r="F231" s="3">
        <f>SUMIFS(df_mutuos!M:M,df_mutuos!B:B,Conciliacao!A231)</f>
        <v/>
      </c>
      <c r="G231" s="6">
        <f>SUMIFS(df_bloqueios_judiciais!G:G,df_bloqueios_judiciais!D:D,Conciliacao!A231,df_bloqueios_judiciais!G:G,"&gt;0")</f>
        <v/>
      </c>
      <c r="H231" s="7">
        <f>SUMIFS(df_extratos!I:I,df_extratos!F:F,"&gt;="&amp;Conciliacao!BE231,df_extratos!F:F,"&lt;"&amp;Conciliacao!BE231+1,df_extratos!G:G,"CREDITO")
+SUMIFS(df_extratos!I:I,df_extratos!F:F,"&gt;="&amp;Conciliacao!A231, df_extratos!F:F,"&lt;"&amp;Conciliacao!A231+1, df_extratos!G:G,"CREDITO")
+SUMIFS(df_extratos!I:I,df_extratos!F:F,"&gt;="&amp;Conciliacao!BF231,df_extratos!F:F,"&lt;"&amp;Conciliacao!BF231+1,df_extratos!G:G,"CREDITO")
+SUMIFS(df_extratos!I:I,df_extratos!F:F,"&gt;="&amp;Conciliacao!BG231,df_extratos!F:F,"&lt;"&amp;Conciliacao!BG231+1,df_extratos!G:G,"CREDITO")
+SUMIFS(df_extratos!I:I,df_extratos!F:F,"&gt;="&amp;Conciliacao!BH231,df_extratos!F:F,"&lt;"&amp;Conciliacao!BH231+1,df_extratos!G:G,"CREDITO")</f>
        <v/>
      </c>
      <c r="I231" s="9">
        <f>H231-SUM(B231:G231)</f>
        <v/>
      </c>
      <c r="J231" s="4">
        <f>SUMIFS(df_blueme_sem_parcelamento!E:E,df_blueme_sem_parcelamento!H:H,Conciliacao!A231)*(-1)</f>
        <v/>
      </c>
      <c r="K231" s="4">
        <f>SUMIFS(df_blueme_com_parcelamento!J:J,df_blueme_com_parcelamento!M:M,Conciliacao!A231)*(-1)</f>
        <v/>
      </c>
      <c r="L231" s="4">
        <f>SUMIFS(df_mutuos!N:N,df_mutuos!B:B,Conciliacao!A231)*(-1)</f>
        <v/>
      </c>
      <c r="M231" s="8">
        <f>SUMIFS(df_bloqueios_judiciais!G:G,df_bloqueios_judiciais!D:D,Conciliacao!A231,df_bloqueios_judiciais!G:G,"&lt;0")</f>
        <v/>
      </c>
      <c r="N231" s="10">
        <f>SUMIFS(df_extratos!I:I,df_extratos!F:F,"&gt;="&amp;Conciliacao!BE231,df_extratos!F:F,"&lt;"&amp;Conciliacao!BE231+1,df_extratos!G:G,"DEBITO")
+SUMIFS(df_extratos!I:I,df_extratos!F:F,"&gt;="&amp;Conciliacao!A231, df_extratos!F:F,"&lt;"&amp;Conciliacao!A231+1, df_extratos!G:G,"DEBITO")
+SUMIFS(df_extratos!I:I,df_extratos!F:F,"&gt;="&amp;Conciliacao!BF231,df_extratos!F:F,"&lt;"&amp;Conciliacao!BF231+1,df_extratos!G:G,"DEBITO")
+SUMIFS(df_extratos!I:I,df_extratos!F:F,"&gt;="&amp;Conciliacao!BG231,df_extratos!F:F,"&lt;"&amp;Conciliacao!BG231+1,df_extratos!G:G,"DEBITO")
+SUMIFS(df_extratos!I:I,df_extratos!F:F,"&gt;="&amp;Conciliacao!BH231,df_extratos!F:F,"&lt;"&amp;Conciliacao!BH231+1,df_extratos!G:G,"DEBITO")</f>
        <v/>
      </c>
      <c r="O231" s="11">
        <f>N231-SUM(J231:M231)</f>
        <v/>
      </c>
      <c r="P231" s="25">
        <f>SUMIFS(df_ajustes_conciliaco!D:D,df_ajustes_conciliaco!C:C,Conciliacao!A231)</f>
        <v/>
      </c>
      <c r="Q231" s="22">
        <f>O231+I231-P231</f>
        <v/>
      </c>
      <c r="BE231" s="20" t="n">
        <v>45887.5</v>
      </c>
      <c r="BF231" s="20" t="n">
        <v>45887.125</v>
      </c>
      <c r="BG231" s="20" t="n">
        <v>45887.54166666666</v>
      </c>
      <c r="BH231" s="20" t="n">
        <v>45887.625</v>
      </c>
    </row>
    <row r="232">
      <c r="A232" s="5">
        <f>A231+1</f>
        <v/>
      </c>
      <c r="B232" s="3">
        <f>-SUMIFS(df_extrato_zig!G:G,df_extrato_zig!E:E,Conciliacao!A232,df_extrato_zig!D:D,"Saque")-SUMIFS(df_extrato_zig!G:G,df_extrato_zig!E:E,Conciliacao!A232,df_extrato_zig!D:D,"Antecipação")</f>
        <v/>
      </c>
      <c r="C232" s="3">
        <f>SUMIFS(df_extrato_zig!E:E,df_extrato_zig!L:L,Conciliacao!A232,df_extrato_zig!F:F,"DINHEIRO")</f>
        <v/>
      </c>
      <c r="D232" s="3">
        <f>SUMIFS(view_parc_agrup!H:H,view_parc_agrup!G:G,Conciliacao!A232)</f>
        <v/>
      </c>
      <c r="E232" s="3">
        <f>SUMIFS(df_eventos!F:F,df_eventos!H:H,Conciliacao!A232)</f>
        <v/>
      </c>
      <c r="F232" s="3">
        <f>SUMIFS(df_mutuos!M:M,df_mutuos!B:B,Conciliacao!A232)</f>
        <v/>
      </c>
      <c r="G232" s="6">
        <f>SUMIFS(df_bloqueios_judiciais!G:G,df_bloqueios_judiciais!D:D,Conciliacao!A232,df_bloqueios_judiciais!G:G,"&gt;0")</f>
        <v/>
      </c>
      <c r="H232" s="7">
        <f>SUMIFS(df_extratos!I:I,df_extratos!F:F,"&gt;="&amp;Conciliacao!BE232,df_extratos!F:F,"&lt;"&amp;Conciliacao!BE232+1,df_extratos!G:G,"CREDITO")
+SUMIFS(df_extratos!I:I,df_extratos!F:F,"&gt;="&amp;Conciliacao!A232, df_extratos!F:F,"&lt;"&amp;Conciliacao!A232+1, df_extratos!G:G,"CREDITO")
+SUMIFS(df_extratos!I:I,df_extratos!F:F,"&gt;="&amp;Conciliacao!BF232,df_extratos!F:F,"&lt;"&amp;Conciliacao!BF232+1,df_extratos!G:G,"CREDITO")
+SUMIFS(df_extratos!I:I,df_extratos!F:F,"&gt;="&amp;Conciliacao!BG232,df_extratos!F:F,"&lt;"&amp;Conciliacao!BG232+1,df_extratos!G:G,"CREDITO")
+SUMIFS(df_extratos!I:I,df_extratos!F:F,"&gt;="&amp;Conciliacao!BH232,df_extratos!F:F,"&lt;"&amp;Conciliacao!BH232+1,df_extratos!G:G,"CREDITO")</f>
        <v/>
      </c>
      <c r="I232" s="9">
        <f>H232-SUM(B232:G232)</f>
        <v/>
      </c>
      <c r="J232" s="4">
        <f>SUMIFS(df_blueme_sem_parcelamento!E:E,df_blueme_sem_parcelamento!H:H,Conciliacao!A232)*(-1)</f>
        <v/>
      </c>
      <c r="K232" s="4">
        <f>SUMIFS(df_blueme_com_parcelamento!J:J,df_blueme_com_parcelamento!M:M,Conciliacao!A232)*(-1)</f>
        <v/>
      </c>
      <c r="L232" s="4">
        <f>SUMIFS(df_mutuos!N:N,df_mutuos!B:B,Conciliacao!A232)*(-1)</f>
        <v/>
      </c>
      <c r="M232" s="8">
        <f>SUMIFS(df_bloqueios_judiciais!G:G,df_bloqueios_judiciais!D:D,Conciliacao!A232,df_bloqueios_judiciais!G:G,"&lt;0")</f>
        <v/>
      </c>
      <c r="N232" s="10">
        <f>SUMIFS(df_extratos!I:I,df_extratos!F:F,"&gt;="&amp;Conciliacao!BE232,df_extratos!F:F,"&lt;"&amp;Conciliacao!BE232+1,df_extratos!G:G,"DEBITO")
+SUMIFS(df_extratos!I:I,df_extratos!F:F,"&gt;="&amp;Conciliacao!A232, df_extratos!F:F,"&lt;"&amp;Conciliacao!A232+1, df_extratos!G:G,"DEBITO")
+SUMIFS(df_extratos!I:I,df_extratos!F:F,"&gt;="&amp;Conciliacao!BF232,df_extratos!F:F,"&lt;"&amp;Conciliacao!BF232+1,df_extratos!G:G,"DEBITO")
+SUMIFS(df_extratos!I:I,df_extratos!F:F,"&gt;="&amp;Conciliacao!BG232,df_extratos!F:F,"&lt;"&amp;Conciliacao!BG232+1,df_extratos!G:G,"DEBITO")
+SUMIFS(df_extratos!I:I,df_extratos!F:F,"&gt;="&amp;Conciliacao!BH232,df_extratos!F:F,"&lt;"&amp;Conciliacao!BH232+1,df_extratos!G:G,"DEBITO")</f>
        <v/>
      </c>
      <c r="O232" s="11">
        <f>N232-SUM(J232:M232)</f>
        <v/>
      </c>
      <c r="P232" s="25">
        <f>SUMIFS(df_ajustes_conciliaco!D:D,df_ajustes_conciliaco!C:C,Conciliacao!A232)</f>
        <v/>
      </c>
      <c r="Q232" s="22">
        <f>O232+I232-P232</f>
        <v/>
      </c>
      <c r="BE232" s="20" t="n">
        <v>45888.5</v>
      </c>
      <c r="BF232" s="20" t="n">
        <v>45888.125</v>
      </c>
      <c r="BG232" s="20" t="n">
        <v>45888.54166666666</v>
      </c>
      <c r="BH232" s="20" t="n">
        <v>45888.625</v>
      </c>
    </row>
    <row r="233">
      <c r="A233" s="5">
        <f>A232+1</f>
        <v/>
      </c>
      <c r="B233" s="3">
        <f>-SUMIFS(df_extrato_zig!G:G,df_extrato_zig!E:E,Conciliacao!A233,df_extrato_zig!D:D,"Saque")-SUMIFS(df_extrato_zig!G:G,df_extrato_zig!E:E,Conciliacao!A233,df_extrato_zig!D:D,"Antecipação")</f>
        <v/>
      </c>
      <c r="C233" s="3">
        <f>SUMIFS(df_extrato_zig!E:E,df_extrato_zig!L:L,Conciliacao!A233,df_extrato_zig!F:F,"DINHEIRO")</f>
        <v/>
      </c>
      <c r="D233" s="3">
        <f>SUMIFS(view_parc_agrup!H:H,view_parc_agrup!G:G,Conciliacao!A233)</f>
        <v/>
      </c>
      <c r="E233" s="3">
        <f>SUMIFS(df_eventos!F:F,df_eventos!H:H,Conciliacao!A233)</f>
        <v/>
      </c>
      <c r="F233" s="3">
        <f>SUMIFS(df_mutuos!M:M,df_mutuos!B:B,Conciliacao!A233)</f>
        <v/>
      </c>
      <c r="G233" s="6">
        <f>SUMIFS(df_bloqueios_judiciais!G:G,df_bloqueios_judiciais!D:D,Conciliacao!A233,df_bloqueios_judiciais!G:G,"&gt;0")</f>
        <v/>
      </c>
      <c r="H233" s="7">
        <f>SUMIFS(df_extratos!I:I,df_extratos!F:F,"&gt;="&amp;Conciliacao!BE233,df_extratos!F:F,"&lt;"&amp;Conciliacao!BE233+1,df_extratos!G:G,"CREDITO")
+SUMIFS(df_extratos!I:I,df_extratos!F:F,"&gt;="&amp;Conciliacao!A233, df_extratos!F:F,"&lt;"&amp;Conciliacao!A233+1, df_extratos!G:G,"CREDITO")
+SUMIFS(df_extratos!I:I,df_extratos!F:F,"&gt;="&amp;Conciliacao!BF233,df_extratos!F:F,"&lt;"&amp;Conciliacao!BF233+1,df_extratos!G:G,"CREDITO")
+SUMIFS(df_extratos!I:I,df_extratos!F:F,"&gt;="&amp;Conciliacao!BG233,df_extratos!F:F,"&lt;"&amp;Conciliacao!BG233+1,df_extratos!G:G,"CREDITO")
+SUMIFS(df_extratos!I:I,df_extratos!F:F,"&gt;="&amp;Conciliacao!BH233,df_extratos!F:F,"&lt;"&amp;Conciliacao!BH233+1,df_extratos!G:G,"CREDITO")</f>
        <v/>
      </c>
      <c r="I233" s="9">
        <f>H233-SUM(B233:G233)</f>
        <v/>
      </c>
      <c r="J233" s="4">
        <f>SUMIFS(df_blueme_sem_parcelamento!E:E,df_blueme_sem_parcelamento!H:H,Conciliacao!A233)*(-1)</f>
        <v/>
      </c>
      <c r="K233" s="4">
        <f>SUMIFS(df_blueme_com_parcelamento!J:J,df_blueme_com_parcelamento!M:M,Conciliacao!A233)*(-1)</f>
        <v/>
      </c>
      <c r="L233" s="4">
        <f>SUMIFS(df_mutuos!N:N,df_mutuos!B:B,Conciliacao!A233)*(-1)</f>
        <v/>
      </c>
      <c r="M233" s="8">
        <f>SUMIFS(df_bloqueios_judiciais!G:G,df_bloqueios_judiciais!D:D,Conciliacao!A233,df_bloqueios_judiciais!G:G,"&lt;0")</f>
        <v/>
      </c>
      <c r="N233" s="10">
        <f>SUMIFS(df_extratos!I:I,df_extratos!F:F,"&gt;="&amp;Conciliacao!BE233,df_extratos!F:F,"&lt;"&amp;Conciliacao!BE233+1,df_extratos!G:G,"DEBITO")
+SUMIFS(df_extratos!I:I,df_extratos!F:F,"&gt;="&amp;Conciliacao!A233, df_extratos!F:F,"&lt;"&amp;Conciliacao!A233+1, df_extratos!G:G,"DEBITO")
+SUMIFS(df_extratos!I:I,df_extratos!F:F,"&gt;="&amp;Conciliacao!BF233,df_extratos!F:F,"&lt;"&amp;Conciliacao!BF233+1,df_extratos!G:G,"DEBITO")
+SUMIFS(df_extratos!I:I,df_extratos!F:F,"&gt;="&amp;Conciliacao!BG233,df_extratos!F:F,"&lt;"&amp;Conciliacao!BG233+1,df_extratos!G:G,"DEBITO")
+SUMIFS(df_extratos!I:I,df_extratos!F:F,"&gt;="&amp;Conciliacao!BH233,df_extratos!F:F,"&lt;"&amp;Conciliacao!BH233+1,df_extratos!G:G,"DEBITO")</f>
        <v/>
      </c>
      <c r="O233" s="11">
        <f>N233-SUM(J233:M233)</f>
        <v/>
      </c>
      <c r="P233" s="25">
        <f>SUMIFS(df_ajustes_conciliaco!D:D,df_ajustes_conciliaco!C:C,Conciliacao!A233)</f>
        <v/>
      </c>
      <c r="Q233" s="22">
        <f>O233+I233-P233</f>
        <v/>
      </c>
      <c r="BE233" s="20" t="n">
        <v>45889.5</v>
      </c>
      <c r="BF233" s="20" t="n">
        <v>45889.125</v>
      </c>
      <c r="BG233" s="20" t="n">
        <v>45889.54166666666</v>
      </c>
      <c r="BH233" s="20" t="n">
        <v>45889.625</v>
      </c>
    </row>
    <row r="234">
      <c r="A234" s="5">
        <f>A233+1</f>
        <v/>
      </c>
      <c r="B234" s="3">
        <f>-SUMIFS(df_extrato_zig!G:G,df_extrato_zig!E:E,Conciliacao!A234,df_extrato_zig!D:D,"Saque")-SUMIFS(df_extrato_zig!G:G,df_extrato_zig!E:E,Conciliacao!A234,df_extrato_zig!D:D,"Antecipação")</f>
        <v/>
      </c>
      <c r="C234" s="3">
        <f>SUMIFS(df_extrato_zig!E:E,df_extrato_zig!L:L,Conciliacao!A234,df_extrato_zig!F:F,"DINHEIRO")</f>
        <v/>
      </c>
      <c r="D234" s="3">
        <f>SUMIFS(view_parc_agrup!H:H,view_parc_agrup!G:G,Conciliacao!A234)</f>
        <v/>
      </c>
      <c r="E234" s="3">
        <f>SUMIFS(df_eventos!F:F,df_eventos!H:H,Conciliacao!A234)</f>
        <v/>
      </c>
      <c r="F234" s="3">
        <f>SUMIFS(df_mutuos!M:M,df_mutuos!B:B,Conciliacao!A234)</f>
        <v/>
      </c>
      <c r="G234" s="6">
        <f>SUMIFS(df_bloqueios_judiciais!G:G,df_bloqueios_judiciais!D:D,Conciliacao!A234,df_bloqueios_judiciais!G:G,"&gt;0")</f>
        <v/>
      </c>
      <c r="H234" s="7">
        <f>SUMIFS(df_extratos!I:I,df_extratos!F:F,"&gt;="&amp;Conciliacao!BE234,df_extratos!F:F,"&lt;"&amp;Conciliacao!BE234+1,df_extratos!G:G,"CREDITO")
+SUMIFS(df_extratos!I:I,df_extratos!F:F,"&gt;="&amp;Conciliacao!A234, df_extratos!F:F,"&lt;"&amp;Conciliacao!A234+1, df_extratos!G:G,"CREDITO")
+SUMIFS(df_extratos!I:I,df_extratos!F:F,"&gt;="&amp;Conciliacao!BF234,df_extratos!F:F,"&lt;"&amp;Conciliacao!BF234+1,df_extratos!G:G,"CREDITO")
+SUMIFS(df_extratos!I:I,df_extratos!F:F,"&gt;="&amp;Conciliacao!BG234,df_extratos!F:F,"&lt;"&amp;Conciliacao!BG234+1,df_extratos!G:G,"CREDITO")
+SUMIFS(df_extratos!I:I,df_extratos!F:F,"&gt;="&amp;Conciliacao!BH234,df_extratos!F:F,"&lt;"&amp;Conciliacao!BH234+1,df_extratos!G:G,"CREDITO")</f>
        <v/>
      </c>
      <c r="I234" s="9">
        <f>H234-SUM(B234:G234)</f>
        <v/>
      </c>
      <c r="J234" s="4">
        <f>SUMIFS(df_blueme_sem_parcelamento!E:E,df_blueme_sem_parcelamento!H:H,Conciliacao!A234)*(-1)</f>
        <v/>
      </c>
      <c r="K234" s="4">
        <f>SUMIFS(df_blueme_com_parcelamento!J:J,df_blueme_com_parcelamento!M:M,Conciliacao!A234)*(-1)</f>
        <v/>
      </c>
      <c r="L234" s="4">
        <f>SUMIFS(df_mutuos!N:N,df_mutuos!B:B,Conciliacao!A234)*(-1)</f>
        <v/>
      </c>
      <c r="M234" s="8">
        <f>SUMIFS(df_bloqueios_judiciais!G:G,df_bloqueios_judiciais!D:D,Conciliacao!A234,df_bloqueios_judiciais!G:G,"&lt;0")</f>
        <v/>
      </c>
      <c r="N234" s="10">
        <f>SUMIFS(df_extratos!I:I,df_extratos!F:F,"&gt;="&amp;Conciliacao!BE234,df_extratos!F:F,"&lt;"&amp;Conciliacao!BE234+1,df_extratos!G:G,"DEBITO")
+SUMIFS(df_extratos!I:I,df_extratos!F:F,"&gt;="&amp;Conciliacao!A234, df_extratos!F:F,"&lt;"&amp;Conciliacao!A234+1, df_extratos!G:G,"DEBITO")
+SUMIFS(df_extratos!I:I,df_extratos!F:F,"&gt;="&amp;Conciliacao!BF234,df_extratos!F:F,"&lt;"&amp;Conciliacao!BF234+1,df_extratos!G:G,"DEBITO")
+SUMIFS(df_extratos!I:I,df_extratos!F:F,"&gt;="&amp;Conciliacao!BG234,df_extratos!F:F,"&lt;"&amp;Conciliacao!BG234+1,df_extratos!G:G,"DEBITO")
+SUMIFS(df_extratos!I:I,df_extratos!F:F,"&gt;="&amp;Conciliacao!BH234,df_extratos!F:F,"&lt;"&amp;Conciliacao!BH234+1,df_extratos!G:G,"DEBITO")</f>
        <v/>
      </c>
      <c r="O234" s="11">
        <f>N234-SUM(J234:M234)</f>
        <v/>
      </c>
      <c r="P234" s="25">
        <f>SUMIFS(df_ajustes_conciliaco!D:D,df_ajustes_conciliaco!C:C,Conciliacao!A234)</f>
        <v/>
      </c>
      <c r="Q234" s="22">
        <f>O234+I234-P234</f>
        <v/>
      </c>
      <c r="BE234" s="20" t="n">
        <v>45890.5</v>
      </c>
      <c r="BF234" s="20" t="n">
        <v>45890.125</v>
      </c>
      <c r="BG234" s="20" t="n">
        <v>45890.54166666666</v>
      </c>
      <c r="BH234" s="20" t="n">
        <v>45890.625</v>
      </c>
    </row>
    <row r="235">
      <c r="A235" s="5">
        <f>A234+1</f>
        <v/>
      </c>
      <c r="B235" s="3">
        <f>-SUMIFS(df_extrato_zig!G:G,df_extrato_zig!E:E,Conciliacao!A235,df_extrato_zig!D:D,"Saque")-SUMIFS(df_extrato_zig!G:G,df_extrato_zig!E:E,Conciliacao!A235,df_extrato_zig!D:D,"Antecipação")</f>
        <v/>
      </c>
      <c r="C235" s="3">
        <f>SUMIFS(df_extrato_zig!E:E,df_extrato_zig!L:L,Conciliacao!A235,df_extrato_zig!F:F,"DINHEIRO")</f>
        <v/>
      </c>
      <c r="D235" s="3">
        <f>SUMIFS(view_parc_agrup!H:H,view_parc_agrup!G:G,Conciliacao!A235)</f>
        <v/>
      </c>
      <c r="E235" s="3">
        <f>SUMIFS(df_eventos!F:F,df_eventos!H:H,Conciliacao!A235)</f>
        <v/>
      </c>
      <c r="F235" s="3">
        <f>SUMIFS(df_mutuos!M:M,df_mutuos!B:B,Conciliacao!A235)</f>
        <v/>
      </c>
      <c r="G235" s="6">
        <f>SUMIFS(df_bloqueios_judiciais!G:G,df_bloqueios_judiciais!D:D,Conciliacao!A235,df_bloqueios_judiciais!G:G,"&gt;0")</f>
        <v/>
      </c>
      <c r="H235" s="7">
        <f>SUMIFS(df_extratos!I:I,df_extratos!F:F,"&gt;="&amp;Conciliacao!BE235,df_extratos!F:F,"&lt;"&amp;Conciliacao!BE235+1,df_extratos!G:G,"CREDITO")
+SUMIFS(df_extratos!I:I,df_extratos!F:F,"&gt;="&amp;Conciliacao!A235, df_extratos!F:F,"&lt;"&amp;Conciliacao!A235+1, df_extratos!G:G,"CREDITO")
+SUMIFS(df_extratos!I:I,df_extratos!F:F,"&gt;="&amp;Conciliacao!BF235,df_extratos!F:F,"&lt;"&amp;Conciliacao!BF235+1,df_extratos!G:G,"CREDITO")
+SUMIFS(df_extratos!I:I,df_extratos!F:F,"&gt;="&amp;Conciliacao!BG235,df_extratos!F:F,"&lt;"&amp;Conciliacao!BG235+1,df_extratos!G:G,"CREDITO")
+SUMIFS(df_extratos!I:I,df_extratos!F:F,"&gt;="&amp;Conciliacao!BH235,df_extratos!F:F,"&lt;"&amp;Conciliacao!BH235+1,df_extratos!G:G,"CREDITO")</f>
        <v/>
      </c>
      <c r="I235" s="9">
        <f>H235-SUM(B235:G235)</f>
        <v/>
      </c>
      <c r="J235" s="4">
        <f>SUMIFS(df_blueme_sem_parcelamento!E:E,df_blueme_sem_parcelamento!H:H,Conciliacao!A235)*(-1)</f>
        <v/>
      </c>
      <c r="K235" s="4">
        <f>SUMIFS(df_blueme_com_parcelamento!J:J,df_blueme_com_parcelamento!M:M,Conciliacao!A235)*(-1)</f>
        <v/>
      </c>
      <c r="L235" s="4">
        <f>SUMIFS(df_mutuos!N:N,df_mutuos!B:B,Conciliacao!A235)*(-1)</f>
        <v/>
      </c>
      <c r="M235" s="8">
        <f>SUMIFS(df_bloqueios_judiciais!G:G,df_bloqueios_judiciais!D:D,Conciliacao!A235,df_bloqueios_judiciais!G:G,"&lt;0")</f>
        <v/>
      </c>
      <c r="N235" s="10">
        <f>SUMIFS(df_extratos!I:I,df_extratos!F:F,"&gt;="&amp;Conciliacao!BE235,df_extratos!F:F,"&lt;"&amp;Conciliacao!BE235+1,df_extratos!G:G,"DEBITO")
+SUMIFS(df_extratos!I:I,df_extratos!F:F,"&gt;="&amp;Conciliacao!A235, df_extratos!F:F,"&lt;"&amp;Conciliacao!A235+1, df_extratos!G:G,"DEBITO")
+SUMIFS(df_extratos!I:I,df_extratos!F:F,"&gt;="&amp;Conciliacao!BF235,df_extratos!F:F,"&lt;"&amp;Conciliacao!BF235+1,df_extratos!G:G,"DEBITO")
+SUMIFS(df_extratos!I:I,df_extratos!F:F,"&gt;="&amp;Conciliacao!BG235,df_extratos!F:F,"&lt;"&amp;Conciliacao!BG235+1,df_extratos!G:G,"DEBITO")
+SUMIFS(df_extratos!I:I,df_extratos!F:F,"&gt;="&amp;Conciliacao!BH235,df_extratos!F:F,"&lt;"&amp;Conciliacao!BH235+1,df_extratos!G:G,"DEBITO")</f>
        <v/>
      </c>
      <c r="O235" s="11">
        <f>N235-SUM(J235:M235)</f>
        <v/>
      </c>
      <c r="P235" s="25">
        <f>SUMIFS(df_ajustes_conciliaco!D:D,df_ajustes_conciliaco!C:C,Conciliacao!A235)</f>
        <v/>
      </c>
      <c r="Q235" s="22">
        <f>O235+I235-P235</f>
        <v/>
      </c>
      <c r="BE235" s="20" t="n">
        <v>45891.5</v>
      </c>
      <c r="BF235" s="20" t="n">
        <v>45891.125</v>
      </c>
      <c r="BG235" s="20" t="n">
        <v>45891.54166666666</v>
      </c>
      <c r="BH235" s="20" t="n">
        <v>45891.625</v>
      </c>
    </row>
    <row r="236">
      <c r="A236" s="5">
        <f>A235+1</f>
        <v/>
      </c>
      <c r="B236" s="3">
        <f>-SUMIFS(df_extrato_zig!G:G,df_extrato_zig!E:E,Conciliacao!A236,df_extrato_zig!D:D,"Saque")-SUMIFS(df_extrato_zig!G:G,df_extrato_zig!E:E,Conciliacao!A236,df_extrato_zig!D:D,"Antecipação")</f>
        <v/>
      </c>
      <c r="C236" s="3">
        <f>SUMIFS(df_extrato_zig!E:E,df_extrato_zig!L:L,Conciliacao!A236,df_extrato_zig!F:F,"DINHEIRO")</f>
        <v/>
      </c>
      <c r="D236" s="3">
        <f>SUMIFS(view_parc_agrup!H:H,view_parc_agrup!G:G,Conciliacao!A236)</f>
        <v/>
      </c>
      <c r="E236" s="3">
        <f>SUMIFS(df_eventos!F:F,df_eventos!H:H,Conciliacao!A236)</f>
        <v/>
      </c>
      <c r="F236" s="3">
        <f>SUMIFS(df_mutuos!M:M,df_mutuos!B:B,Conciliacao!A236)</f>
        <v/>
      </c>
      <c r="G236" s="6">
        <f>SUMIFS(df_bloqueios_judiciais!G:G,df_bloqueios_judiciais!D:D,Conciliacao!A236,df_bloqueios_judiciais!G:G,"&gt;0")</f>
        <v/>
      </c>
      <c r="H236" s="7">
        <f>SUMIFS(df_extratos!I:I,df_extratos!F:F,"&gt;="&amp;Conciliacao!BE236,df_extratos!F:F,"&lt;"&amp;Conciliacao!BE236+1,df_extratos!G:G,"CREDITO")
+SUMIFS(df_extratos!I:I,df_extratos!F:F,"&gt;="&amp;Conciliacao!A236, df_extratos!F:F,"&lt;"&amp;Conciliacao!A236+1, df_extratos!G:G,"CREDITO")
+SUMIFS(df_extratos!I:I,df_extratos!F:F,"&gt;="&amp;Conciliacao!BF236,df_extratos!F:F,"&lt;"&amp;Conciliacao!BF236+1,df_extratos!G:G,"CREDITO")
+SUMIFS(df_extratos!I:I,df_extratos!F:F,"&gt;="&amp;Conciliacao!BG236,df_extratos!F:F,"&lt;"&amp;Conciliacao!BG236+1,df_extratos!G:G,"CREDITO")
+SUMIFS(df_extratos!I:I,df_extratos!F:F,"&gt;="&amp;Conciliacao!BH236,df_extratos!F:F,"&lt;"&amp;Conciliacao!BH236+1,df_extratos!G:G,"CREDITO")</f>
        <v/>
      </c>
      <c r="I236" s="9">
        <f>H236-SUM(B236:G236)</f>
        <v/>
      </c>
      <c r="J236" s="4">
        <f>SUMIFS(df_blueme_sem_parcelamento!E:E,df_blueme_sem_parcelamento!H:H,Conciliacao!A236)*(-1)</f>
        <v/>
      </c>
      <c r="K236" s="4">
        <f>SUMIFS(df_blueme_com_parcelamento!J:J,df_blueme_com_parcelamento!M:M,Conciliacao!A236)*(-1)</f>
        <v/>
      </c>
      <c r="L236" s="4">
        <f>SUMIFS(df_mutuos!N:N,df_mutuos!B:B,Conciliacao!A236)*(-1)</f>
        <v/>
      </c>
      <c r="M236" s="8">
        <f>SUMIFS(df_bloqueios_judiciais!G:G,df_bloqueios_judiciais!D:D,Conciliacao!A236,df_bloqueios_judiciais!G:G,"&lt;0")</f>
        <v/>
      </c>
      <c r="N236" s="10">
        <f>SUMIFS(df_extratos!I:I,df_extratos!F:F,"&gt;="&amp;Conciliacao!BE236,df_extratos!F:F,"&lt;"&amp;Conciliacao!BE236+1,df_extratos!G:G,"DEBITO")
+SUMIFS(df_extratos!I:I,df_extratos!F:F,"&gt;="&amp;Conciliacao!A236, df_extratos!F:F,"&lt;"&amp;Conciliacao!A236+1, df_extratos!G:G,"DEBITO")
+SUMIFS(df_extratos!I:I,df_extratos!F:F,"&gt;="&amp;Conciliacao!BF236,df_extratos!F:F,"&lt;"&amp;Conciliacao!BF236+1,df_extratos!G:G,"DEBITO")
+SUMIFS(df_extratos!I:I,df_extratos!F:F,"&gt;="&amp;Conciliacao!BG236,df_extratos!F:F,"&lt;"&amp;Conciliacao!BG236+1,df_extratos!G:G,"DEBITO")
+SUMIFS(df_extratos!I:I,df_extratos!F:F,"&gt;="&amp;Conciliacao!BH236,df_extratos!F:F,"&lt;"&amp;Conciliacao!BH236+1,df_extratos!G:G,"DEBITO")</f>
        <v/>
      </c>
      <c r="O236" s="11">
        <f>N236-SUM(J236:M236)</f>
        <v/>
      </c>
      <c r="P236" s="25">
        <f>SUMIFS(df_ajustes_conciliaco!D:D,df_ajustes_conciliaco!C:C,Conciliacao!A236)</f>
        <v/>
      </c>
      <c r="Q236" s="22">
        <f>O236+I236-P236</f>
        <v/>
      </c>
      <c r="BE236" s="20" t="n">
        <v>45892.5</v>
      </c>
      <c r="BF236" s="20" t="n">
        <v>45892.125</v>
      </c>
      <c r="BG236" s="20" t="n">
        <v>45892.54166666666</v>
      </c>
      <c r="BH236" s="20" t="n">
        <v>45892.625</v>
      </c>
    </row>
    <row r="237">
      <c r="A237" s="5">
        <f>A236+1</f>
        <v/>
      </c>
      <c r="B237" s="3">
        <f>-SUMIFS(df_extrato_zig!G:G,df_extrato_zig!E:E,Conciliacao!A237,df_extrato_zig!D:D,"Saque")-SUMIFS(df_extrato_zig!G:G,df_extrato_zig!E:E,Conciliacao!A237,df_extrato_zig!D:D,"Antecipação")</f>
        <v/>
      </c>
      <c r="C237" s="3">
        <f>SUMIFS(df_extrato_zig!E:E,df_extrato_zig!L:L,Conciliacao!A237,df_extrato_zig!F:F,"DINHEIRO")</f>
        <v/>
      </c>
      <c r="D237" s="3">
        <f>SUMIFS(view_parc_agrup!H:H,view_parc_agrup!G:G,Conciliacao!A237)</f>
        <v/>
      </c>
      <c r="E237" s="3">
        <f>SUMIFS(df_eventos!F:F,df_eventos!H:H,Conciliacao!A237)</f>
        <v/>
      </c>
      <c r="F237" s="3">
        <f>SUMIFS(df_mutuos!M:M,df_mutuos!B:B,Conciliacao!A237)</f>
        <v/>
      </c>
      <c r="G237" s="6">
        <f>SUMIFS(df_bloqueios_judiciais!G:G,df_bloqueios_judiciais!D:D,Conciliacao!A237,df_bloqueios_judiciais!G:G,"&gt;0")</f>
        <v/>
      </c>
      <c r="H237" s="7">
        <f>SUMIFS(df_extratos!I:I,df_extratos!F:F,"&gt;="&amp;Conciliacao!BE237,df_extratos!F:F,"&lt;"&amp;Conciliacao!BE237+1,df_extratos!G:G,"CREDITO")
+SUMIFS(df_extratos!I:I,df_extratos!F:F,"&gt;="&amp;Conciliacao!A237, df_extratos!F:F,"&lt;"&amp;Conciliacao!A237+1, df_extratos!G:G,"CREDITO")
+SUMIFS(df_extratos!I:I,df_extratos!F:F,"&gt;="&amp;Conciliacao!BF237,df_extratos!F:F,"&lt;"&amp;Conciliacao!BF237+1,df_extratos!G:G,"CREDITO")
+SUMIFS(df_extratos!I:I,df_extratos!F:F,"&gt;="&amp;Conciliacao!BG237,df_extratos!F:F,"&lt;"&amp;Conciliacao!BG237+1,df_extratos!G:G,"CREDITO")
+SUMIFS(df_extratos!I:I,df_extratos!F:F,"&gt;="&amp;Conciliacao!BH237,df_extratos!F:F,"&lt;"&amp;Conciliacao!BH237+1,df_extratos!G:G,"CREDITO")</f>
        <v/>
      </c>
      <c r="I237" s="9">
        <f>H237-SUM(B237:G237)</f>
        <v/>
      </c>
      <c r="J237" s="4">
        <f>SUMIFS(df_blueme_sem_parcelamento!E:E,df_blueme_sem_parcelamento!H:H,Conciliacao!A237)*(-1)</f>
        <v/>
      </c>
      <c r="K237" s="4">
        <f>SUMIFS(df_blueme_com_parcelamento!J:J,df_blueme_com_parcelamento!M:M,Conciliacao!A237)*(-1)</f>
        <v/>
      </c>
      <c r="L237" s="4">
        <f>SUMIFS(df_mutuos!N:N,df_mutuos!B:B,Conciliacao!A237)*(-1)</f>
        <v/>
      </c>
      <c r="M237" s="8">
        <f>SUMIFS(df_bloqueios_judiciais!G:G,df_bloqueios_judiciais!D:D,Conciliacao!A237,df_bloqueios_judiciais!G:G,"&lt;0")</f>
        <v/>
      </c>
      <c r="N237" s="10">
        <f>SUMIFS(df_extratos!I:I,df_extratos!F:F,"&gt;="&amp;Conciliacao!BE237,df_extratos!F:F,"&lt;"&amp;Conciliacao!BE237+1,df_extratos!G:G,"DEBITO")
+SUMIFS(df_extratos!I:I,df_extratos!F:F,"&gt;="&amp;Conciliacao!A237, df_extratos!F:F,"&lt;"&amp;Conciliacao!A237+1, df_extratos!G:G,"DEBITO")
+SUMIFS(df_extratos!I:I,df_extratos!F:F,"&gt;="&amp;Conciliacao!BF237,df_extratos!F:F,"&lt;"&amp;Conciliacao!BF237+1,df_extratos!G:G,"DEBITO")
+SUMIFS(df_extratos!I:I,df_extratos!F:F,"&gt;="&amp;Conciliacao!BG237,df_extratos!F:F,"&lt;"&amp;Conciliacao!BG237+1,df_extratos!G:G,"DEBITO")
+SUMIFS(df_extratos!I:I,df_extratos!F:F,"&gt;="&amp;Conciliacao!BH237,df_extratos!F:F,"&lt;"&amp;Conciliacao!BH237+1,df_extratos!G:G,"DEBITO")</f>
        <v/>
      </c>
      <c r="O237" s="11">
        <f>N237-SUM(J237:M237)</f>
        <v/>
      </c>
      <c r="P237" s="25">
        <f>SUMIFS(df_ajustes_conciliaco!D:D,df_ajustes_conciliaco!C:C,Conciliacao!A237)</f>
        <v/>
      </c>
      <c r="Q237" s="22">
        <f>O237+I237-P237</f>
        <v/>
      </c>
      <c r="BE237" s="20" t="n">
        <v>45893.5</v>
      </c>
      <c r="BF237" s="20" t="n">
        <v>45893.125</v>
      </c>
      <c r="BG237" s="20" t="n">
        <v>45893.54166666666</v>
      </c>
      <c r="BH237" s="20" t="n">
        <v>45893.625</v>
      </c>
    </row>
    <row r="238">
      <c r="A238" s="5">
        <f>A237+1</f>
        <v/>
      </c>
      <c r="B238" s="3">
        <f>-SUMIFS(df_extrato_zig!G:G,df_extrato_zig!E:E,Conciliacao!A238,df_extrato_zig!D:D,"Saque")-SUMIFS(df_extrato_zig!G:G,df_extrato_zig!E:E,Conciliacao!A238,df_extrato_zig!D:D,"Antecipação")</f>
        <v/>
      </c>
      <c r="C238" s="3">
        <f>SUMIFS(df_extrato_zig!E:E,df_extrato_zig!L:L,Conciliacao!A238,df_extrato_zig!F:F,"DINHEIRO")</f>
        <v/>
      </c>
      <c r="D238" s="3">
        <f>SUMIFS(view_parc_agrup!H:H,view_parc_agrup!G:G,Conciliacao!A238)</f>
        <v/>
      </c>
      <c r="E238" s="3">
        <f>SUMIFS(df_eventos!F:F,df_eventos!H:H,Conciliacao!A238)</f>
        <v/>
      </c>
      <c r="F238" s="3">
        <f>SUMIFS(df_mutuos!M:M,df_mutuos!B:B,Conciliacao!A238)</f>
        <v/>
      </c>
      <c r="G238" s="6">
        <f>SUMIFS(df_bloqueios_judiciais!G:G,df_bloqueios_judiciais!D:D,Conciliacao!A238,df_bloqueios_judiciais!G:G,"&gt;0")</f>
        <v/>
      </c>
      <c r="H238" s="7">
        <f>SUMIFS(df_extratos!I:I,df_extratos!F:F,"&gt;="&amp;Conciliacao!BE238,df_extratos!F:F,"&lt;"&amp;Conciliacao!BE238+1,df_extratos!G:G,"CREDITO")
+SUMIFS(df_extratos!I:I,df_extratos!F:F,"&gt;="&amp;Conciliacao!A238, df_extratos!F:F,"&lt;"&amp;Conciliacao!A238+1, df_extratos!G:G,"CREDITO")
+SUMIFS(df_extratos!I:I,df_extratos!F:F,"&gt;="&amp;Conciliacao!BF238,df_extratos!F:F,"&lt;"&amp;Conciliacao!BF238+1,df_extratos!G:G,"CREDITO")
+SUMIFS(df_extratos!I:I,df_extratos!F:F,"&gt;="&amp;Conciliacao!BG238,df_extratos!F:F,"&lt;"&amp;Conciliacao!BG238+1,df_extratos!G:G,"CREDITO")
+SUMIFS(df_extratos!I:I,df_extratos!F:F,"&gt;="&amp;Conciliacao!BH238,df_extratos!F:F,"&lt;"&amp;Conciliacao!BH238+1,df_extratos!G:G,"CREDITO")</f>
        <v/>
      </c>
      <c r="I238" s="9">
        <f>H238-SUM(B238:G238)</f>
        <v/>
      </c>
      <c r="J238" s="4">
        <f>SUMIFS(df_blueme_sem_parcelamento!E:E,df_blueme_sem_parcelamento!H:H,Conciliacao!A238)*(-1)</f>
        <v/>
      </c>
      <c r="K238" s="4">
        <f>SUMIFS(df_blueme_com_parcelamento!J:J,df_blueme_com_parcelamento!M:M,Conciliacao!A238)*(-1)</f>
        <v/>
      </c>
      <c r="L238" s="4">
        <f>SUMIFS(df_mutuos!N:N,df_mutuos!B:B,Conciliacao!A238)*(-1)</f>
        <v/>
      </c>
      <c r="M238" s="8">
        <f>SUMIFS(df_bloqueios_judiciais!G:G,df_bloqueios_judiciais!D:D,Conciliacao!A238,df_bloqueios_judiciais!G:G,"&lt;0")</f>
        <v/>
      </c>
      <c r="N238" s="10">
        <f>SUMIFS(df_extratos!I:I,df_extratos!F:F,"&gt;="&amp;Conciliacao!BE238,df_extratos!F:F,"&lt;"&amp;Conciliacao!BE238+1,df_extratos!G:G,"DEBITO")
+SUMIFS(df_extratos!I:I,df_extratos!F:F,"&gt;="&amp;Conciliacao!A238, df_extratos!F:F,"&lt;"&amp;Conciliacao!A238+1, df_extratos!G:G,"DEBITO")
+SUMIFS(df_extratos!I:I,df_extratos!F:F,"&gt;="&amp;Conciliacao!BF238,df_extratos!F:F,"&lt;"&amp;Conciliacao!BF238+1,df_extratos!G:G,"DEBITO")
+SUMIFS(df_extratos!I:I,df_extratos!F:F,"&gt;="&amp;Conciliacao!BG238,df_extratos!F:F,"&lt;"&amp;Conciliacao!BG238+1,df_extratos!G:G,"DEBITO")
+SUMIFS(df_extratos!I:I,df_extratos!F:F,"&gt;="&amp;Conciliacao!BH238,df_extratos!F:F,"&lt;"&amp;Conciliacao!BH238+1,df_extratos!G:G,"DEBITO")</f>
        <v/>
      </c>
      <c r="O238" s="11">
        <f>N238-SUM(J238:M238)</f>
        <v/>
      </c>
      <c r="P238" s="25">
        <f>SUMIFS(df_ajustes_conciliaco!D:D,df_ajustes_conciliaco!C:C,Conciliacao!A238)</f>
        <v/>
      </c>
      <c r="Q238" s="22">
        <f>O238+I238-P238</f>
        <v/>
      </c>
      <c r="BE238" s="20" t="n">
        <v>45894.5</v>
      </c>
      <c r="BF238" s="20" t="n">
        <v>45894.125</v>
      </c>
      <c r="BG238" s="20" t="n">
        <v>45894.54166666666</v>
      </c>
      <c r="BH238" s="20" t="n">
        <v>45894.625</v>
      </c>
    </row>
    <row r="239">
      <c r="A239" s="5">
        <f>A238+1</f>
        <v/>
      </c>
      <c r="B239" s="3">
        <f>-SUMIFS(df_extrato_zig!G:G,df_extrato_zig!E:E,Conciliacao!A239,df_extrato_zig!D:D,"Saque")-SUMIFS(df_extrato_zig!G:G,df_extrato_zig!E:E,Conciliacao!A239,df_extrato_zig!D:D,"Antecipação")</f>
        <v/>
      </c>
      <c r="C239" s="3">
        <f>SUMIFS(df_extrato_zig!E:E,df_extrato_zig!L:L,Conciliacao!A239,df_extrato_zig!F:F,"DINHEIRO")</f>
        <v/>
      </c>
      <c r="D239" s="3">
        <f>SUMIFS(view_parc_agrup!H:H,view_parc_agrup!G:G,Conciliacao!A239)</f>
        <v/>
      </c>
      <c r="E239" s="3">
        <f>SUMIFS(df_eventos!F:F,df_eventos!H:H,Conciliacao!A239)</f>
        <v/>
      </c>
      <c r="F239" s="3">
        <f>SUMIFS(df_mutuos!M:M,df_mutuos!B:B,Conciliacao!A239)</f>
        <v/>
      </c>
      <c r="G239" s="6">
        <f>SUMIFS(df_bloqueios_judiciais!G:G,df_bloqueios_judiciais!D:D,Conciliacao!A239,df_bloqueios_judiciais!G:G,"&gt;0")</f>
        <v/>
      </c>
      <c r="H239" s="7">
        <f>SUMIFS(df_extratos!I:I,df_extratos!F:F,"&gt;="&amp;Conciliacao!BE239,df_extratos!F:F,"&lt;"&amp;Conciliacao!BE239+1,df_extratos!G:G,"CREDITO")
+SUMIFS(df_extratos!I:I,df_extratos!F:F,"&gt;="&amp;Conciliacao!A239, df_extratos!F:F,"&lt;"&amp;Conciliacao!A239+1, df_extratos!G:G,"CREDITO")
+SUMIFS(df_extratos!I:I,df_extratos!F:F,"&gt;="&amp;Conciliacao!BF239,df_extratos!F:F,"&lt;"&amp;Conciliacao!BF239+1,df_extratos!G:G,"CREDITO")
+SUMIFS(df_extratos!I:I,df_extratos!F:F,"&gt;="&amp;Conciliacao!BG239,df_extratos!F:F,"&lt;"&amp;Conciliacao!BG239+1,df_extratos!G:G,"CREDITO")
+SUMIFS(df_extratos!I:I,df_extratos!F:F,"&gt;="&amp;Conciliacao!BH239,df_extratos!F:F,"&lt;"&amp;Conciliacao!BH239+1,df_extratos!G:G,"CREDITO")</f>
        <v/>
      </c>
      <c r="I239" s="9">
        <f>H239-SUM(B239:G239)</f>
        <v/>
      </c>
      <c r="J239" s="4">
        <f>SUMIFS(df_blueme_sem_parcelamento!E:E,df_blueme_sem_parcelamento!H:H,Conciliacao!A239)*(-1)</f>
        <v/>
      </c>
      <c r="K239" s="4">
        <f>SUMIFS(df_blueme_com_parcelamento!J:J,df_blueme_com_parcelamento!M:M,Conciliacao!A239)*(-1)</f>
        <v/>
      </c>
      <c r="L239" s="4">
        <f>SUMIFS(df_mutuos!N:N,df_mutuos!B:B,Conciliacao!A239)*(-1)</f>
        <v/>
      </c>
      <c r="M239" s="8">
        <f>SUMIFS(df_bloqueios_judiciais!G:G,df_bloqueios_judiciais!D:D,Conciliacao!A239,df_bloqueios_judiciais!G:G,"&lt;0")</f>
        <v/>
      </c>
      <c r="N239" s="10">
        <f>SUMIFS(df_extratos!I:I,df_extratos!F:F,"&gt;="&amp;Conciliacao!BE239,df_extratos!F:F,"&lt;"&amp;Conciliacao!BE239+1,df_extratos!G:G,"DEBITO")
+SUMIFS(df_extratos!I:I,df_extratos!F:F,"&gt;="&amp;Conciliacao!A239, df_extratos!F:F,"&lt;"&amp;Conciliacao!A239+1, df_extratos!G:G,"DEBITO")
+SUMIFS(df_extratos!I:I,df_extratos!F:F,"&gt;="&amp;Conciliacao!BF239,df_extratos!F:F,"&lt;"&amp;Conciliacao!BF239+1,df_extratos!G:G,"DEBITO")
+SUMIFS(df_extratos!I:I,df_extratos!F:F,"&gt;="&amp;Conciliacao!BG239,df_extratos!F:F,"&lt;"&amp;Conciliacao!BG239+1,df_extratos!G:G,"DEBITO")
+SUMIFS(df_extratos!I:I,df_extratos!F:F,"&gt;="&amp;Conciliacao!BH239,df_extratos!F:F,"&lt;"&amp;Conciliacao!BH239+1,df_extratos!G:G,"DEBITO")</f>
        <v/>
      </c>
      <c r="O239" s="11">
        <f>N239-SUM(J239:M239)</f>
        <v/>
      </c>
      <c r="P239" s="25">
        <f>SUMIFS(df_ajustes_conciliaco!D:D,df_ajustes_conciliaco!C:C,Conciliacao!A239)</f>
        <v/>
      </c>
      <c r="Q239" s="22">
        <f>O239+I239-P239</f>
        <v/>
      </c>
      <c r="BE239" s="20" t="n">
        <v>45895.5</v>
      </c>
      <c r="BF239" s="20" t="n">
        <v>45895.125</v>
      </c>
      <c r="BG239" s="20" t="n">
        <v>45895.54166666666</v>
      </c>
      <c r="BH239" s="20" t="n">
        <v>45895.625</v>
      </c>
    </row>
    <row r="240">
      <c r="A240" s="5">
        <f>A239+1</f>
        <v/>
      </c>
      <c r="B240" s="3">
        <f>-SUMIFS(df_extrato_zig!G:G,df_extrato_zig!E:E,Conciliacao!A240,df_extrato_zig!D:D,"Saque")-SUMIFS(df_extrato_zig!G:G,df_extrato_zig!E:E,Conciliacao!A240,df_extrato_zig!D:D,"Antecipação")</f>
        <v/>
      </c>
      <c r="C240" s="3">
        <f>SUMIFS(df_extrato_zig!E:E,df_extrato_zig!L:L,Conciliacao!A240,df_extrato_zig!F:F,"DINHEIRO")</f>
        <v/>
      </c>
      <c r="D240" s="3">
        <f>SUMIFS(view_parc_agrup!H:H,view_parc_agrup!G:G,Conciliacao!A240)</f>
        <v/>
      </c>
      <c r="E240" s="3">
        <f>SUMIFS(df_eventos!F:F,df_eventos!H:H,Conciliacao!A240)</f>
        <v/>
      </c>
      <c r="F240" s="3">
        <f>SUMIFS(df_mutuos!M:M,df_mutuos!B:B,Conciliacao!A240)</f>
        <v/>
      </c>
      <c r="G240" s="6">
        <f>SUMIFS(df_bloqueios_judiciais!G:G,df_bloqueios_judiciais!D:D,Conciliacao!A240,df_bloqueios_judiciais!G:G,"&gt;0")</f>
        <v/>
      </c>
      <c r="H240" s="7">
        <f>SUMIFS(df_extratos!I:I,df_extratos!F:F,"&gt;="&amp;Conciliacao!BE240,df_extratos!F:F,"&lt;"&amp;Conciliacao!BE240+1,df_extratos!G:G,"CREDITO")
+SUMIFS(df_extratos!I:I,df_extratos!F:F,"&gt;="&amp;Conciliacao!A240, df_extratos!F:F,"&lt;"&amp;Conciliacao!A240+1, df_extratos!G:G,"CREDITO")
+SUMIFS(df_extratos!I:I,df_extratos!F:F,"&gt;="&amp;Conciliacao!BF240,df_extratos!F:F,"&lt;"&amp;Conciliacao!BF240+1,df_extratos!G:G,"CREDITO")
+SUMIFS(df_extratos!I:I,df_extratos!F:F,"&gt;="&amp;Conciliacao!BG240,df_extratos!F:F,"&lt;"&amp;Conciliacao!BG240+1,df_extratos!G:G,"CREDITO")
+SUMIFS(df_extratos!I:I,df_extratos!F:F,"&gt;="&amp;Conciliacao!BH240,df_extratos!F:F,"&lt;"&amp;Conciliacao!BH240+1,df_extratos!G:G,"CREDITO")</f>
        <v/>
      </c>
      <c r="I240" s="9">
        <f>H240-SUM(B240:G240)</f>
        <v/>
      </c>
      <c r="J240" s="4">
        <f>SUMIFS(df_blueme_sem_parcelamento!E:E,df_blueme_sem_parcelamento!H:H,Conciliacao!A240)*(-1)</f>
        <v/>
      </c>
      <c r="K240" s="4">
        <f>SUMIFS(df_blueme_com_parcelamento!J:J,df_blueme_com_parcelamento!M:M,Conciliacao!A240)*(-1)</f>
        <v/>
      </c>
      <c r="L240" s="4">
        <f>SUMIFS(df_mutuos!N:N,df_mutuos!B:B,Conciliacao!A240)*(-1)</f>
        <v/>
      </c>
      <c r="M240" s="8">
        <f>SUMIFS(df_bloqueios_judiciais!G:G,df_bloqueios_judiciais!D:D,Conciliacao!A240,df_bloqueios_judiciais!G:G,"&lt;0")</f>
        <v/>
      </c>
      <c r="N240" s="10">
        <f>SUMIFS(df_extratos!I:I,df_extratos!F:F,"&gt;="&amp;Conciliacao!BE240,df_extratos!F:F,"&lt;"&amp;Conciliacao!BE240+1,df_extratos!G:G,"DEBITO")
+SUMIFS(df_extratos!I:I,df_extratos!F:F,"&gt;="&amp;Conciliacao!A240, df_extratos!F:F,"&lt;"&amp;Conciliacao!A240+1, df_extratos!G:G,"DEBITO")
+SUMIFS(df_extratos!I:I,df_extratos!F:F,"&gt;="&amp;Conciliacao!BF240,df_extratos!F:F,"&lt;"&amp;Conciliacao!BF240+1,df_extratos!G:G,"DEBITO")
+SUMIFS(df_extratos!I:I,df_extratos!F:F,"&gt;="&amp;Conciliacao!BG240,df_extratos!F:F,"&lt;"&amp;Conciliacao!BG240+1,df_extratos!G:G,"DEBITO")
+SUMIFS(df_extratos!I:I,df_extratos!F:F,"&gt;="&amp;Conciliacao!BH240,df_extratos!F:F,"&lt;"&amp;Conciliacao!BH240+1,df_extratos!G:G,"DEBITO")</f>
        <v/>
      </c>
      <c r="O240" s="11">
        <f>N240-SUM(J240:M240)</f>
        <v/>
      </c>
      <c r="P240" s="25">
        <f>SUMIFS(df_ajustes_conciliaco!D:D,df_ajustes_conciliaco!C:C,Conciliacao!A240)</f>
        <v/>
      </c>
      <c r="Q240" s="22">
        <f>O240+I240-P240</f>
        <v/>
      </c>
      <c r="BE240" s="20" t="n">
        <v>45896.5</v>
      </c>
      <c r="BF240" s="20" t="n">
        <v>45896.125</v>
      </c>
      <c r="BG240" s="20" t="n">
        <v>45896.54166666666</v>
      </c>
      <c r="BH240" s="20" t="n">
        <v>45896.625</v>
      </c>
    </row>
    <row r="241">
      <c r="A241" s="5">
        <f>A240+1</f>
        <v/>
      </c>
      <c r="B241" s="3">
        <f>-SUMIFS(df_extrato_zig!G:G,df_extrato_zig!E:E,Conciliacao!A241,df_extrato_zig!D:D,"Saque")-SUMIFS(df_extrato_zig!G:G,df_extrato_zig!E:E,Conciliacao!A241,df_extrato_zig!D:D,"Antecipação")</f>
        <v/>
      </c>
      <c r="C241" s="3">
        <f>SUMIFS(df_extrato_zig!E:E,df_extrato_zig!L:L,Conciliacao!A241,df_extrato_zig!F:F,"DINHEIRO")</f>
        <v/>
      </c>
      <c r="D241" s="3">
        <f>SUMIFS(view_parc_agrup!H:H,view_parc_agrup!G:G,Conciliacao!A241)</f>
        <v/>
      </c>
      <c r="E241" s="3">
        <f>SUMIFS(df_eventos!F:F,df_eventos!H:H,Conciliacao!A241)</f>
        <v/>
      </c>
      <c r="F241" s="3">
        <f>SUMIFS(df_mutuos!M:M,df_mutuos!B:B,Conciliacao!A241)</f>
        <v/>
      </c>
      <c r="G241" s="6">
        <f>SUMIFS(df_bloqueios_judiciais!G:G,df_bloqueios_judiciais!D:D,Conciliacao!A241,df_bloqueios_judiciais!G:G,"&gt;0")</f>
        <v/>
      </c>
      <c r="H241" s="7">
        <f>SUMIFS(df_extratos!I:I,df_extratos!F:F,"&gt;="&amp;Conciliacao!BE241,df_extratos!F:F,"&lt;"&amp;Conciliacao!BE241+1,df_extratos!G:G,"CREDITO")
+SUMIFS(df_extratos!I:I,df_extratos!F:F,"&gt;="&amp;Conciliacao!A241, df_extratos!F:F,"&lt;"&amp;Conciliacao!A241+1, df_extratos!G:G,"CREDITO")
+SUMIFS(df_extratos!I:I,df_extratos!F:F,"&gt;="&amp;Conciliacao!BF241,df_extratos!F:F,"&lt;"&amp;Conciliacao!BF241+1,df_extratos!G:G,"CREDITO")
+SUMIFS(df_extratos!I:I,df_extratos!F:F,"&gt;="&amp;Conciliacao!BG241,df_extratos!F:F,"&lt;"&amp;Conciliacao!BG241+1,df_extratos!G:G,"CREDITO")
+SUMIFS(df_extratos!I:I,df_extratos!F:F,"&gt;="&amp;Conciliacao!BH241,df_extratos!F:F,"&lt;"&amp;Conciliacao!BH241+1,df_extratos!G:G,"CREDITO")</f>
        <v/>
      </c>
      <c r="I241" s="9">
        <f>H241-SUM(B241:G241)</f>
        <v/>
      </c>
      <c r="J241" s="4">
        <f>SUMIFS(df_blueme_sem_parcelamento!E:E,df_blueme_sem_parcelamento!H:H,Conciliacao!A241)*(-1)</f>
        <v/>
      </c>
      <c r="K241" s="4">
        <f>SUMIFS(df_blueme_com_parcelamento!J:J,df_blueme_com_parcelamento!M:M,Conciliacao!A241)*(-1)</f>
        <v/>
      </c>
      <c r="L241" s="4">
        <f>SUMIFS(df_mutuos!N:N,df_mutuos!B:B,Conciliacao!A241)*(-1)</f>
        <v/>
      </c>
      <c r="M241" s="8">
        <f>SUMIFS(df_bloqueios_judiciais!G:G,df_bloqueios_judiciais!D:D,Conciliacao!A241,df_bloqueios_judiciais!G:G,"&lt;0")</f>
        <v/>
      </c>
      <c r="N241" s="10">
        <f>SUMIFS(df_extratos!I:I,df_extratos!F:F,"&gt;="&amp;Conciliacao!BE241,df_extratos!F:F,"&lt;"&amp;Conciliacao!BE241+1,df_extratos!G:G,"DEBITO")
+SUMIFS(df_extratos!I:I,df_extratos!F:F,"&gt;="&amp;Conciliacao!A241, df_extratos!F:F,"&lt;"&amp;Conciliacao!A241+1, df_extratos!G:G,"DEBITO")
+SUMIFS(df_extratos!I:I,df_extratos!F:F,"&gt;="&amp;Conciliacao!BF241,df_extratos!F:F,"&lt;"&amp;Conciliacao!BF241+1,df_extratos!G:G,"DEBITO")
+SUMIFS(df_extratos!I:I,df_extratos!F:F,"&gt;="&amp;Conciliacao!BG241,df_extratos!F:F,"&lt;"&amp;Conciliacao!BG241+1,df_extratos!G:G,"DEBITO")
+SUMIFS(df_extratos!I:I,df_extratos!F:F,"&gt;="&amp;Conciliacao!BH241,df_extratos!F:F,"&lt;"&amp;Conciliacao!BH241+1,df_extratos!G:G,"DEBITO")</f>
        <v/>
      </c>
      <c r="O241" s="11">
        <f>N241-SUM(J241:M241)</f>
        <v/>
      </c>
      <c r="P241" s="25">
        <f>SUMIFS(df_ajustes_conciliaco!D:D,df_ajustes_conciliaco!C:C,Conciliacao!A241)</f>
        <v/>
      </c>
      <c r="Q241" s="22">
        <f>O241+I241-P241</f>
        <v/>
      </c>
      <c r="BE241" s="20" t="n">
        <v>45897.5</v>
      </c>
      <c r="BF241" s="20" t="n">
        <v>45897.125</v>
      </c>
      <c r="BG241" s="20" t="n">
        <v>45897.54166666666</v>
      </c>
      <c r="BH241" s="20" t="n">
        <v>45897.625</v>
      </c>
    </row>
    <row r="242">
      <c r="A242" s="5">
        <f>A241+1</f>
        <v/>
      </c>
      <c r="B242" s="3">
        <f>-SUMIFS(df_extrato_zig!G:G,df_extrato_zig!E:E,Conciliacao!A242,df_extrato_zig!D:D,"Saque")-SUMIFS(df_extrato_zig!G:G,df_extrato_zig!E:E,Conciliacao!A242,df_extrato_zig!D:D,"Antecipação")</f>
        <v/>
      </c>
      <c r="C242" s="3">
        <f>SUMIFS(df_extrato_zig!E:E,df_extrato_zig!L:L,Conciliacao!A242,df_extrato_zig!F:F,"DINHEIRO")</f>
        <v/>
      </c>
      <c r="D242" s="3">
        <f>SUMIFS(view_parc_agrup!H:H,view_parc_agrup!G:G,Conciliacao!A242)</f>
        <v/>
      </c>
      <c r="E242" s="3">
        <f>SUMIFS(df_eventos!F:F,df_eventos!H:H,Conciliacao!A242)</f>
        <v/>
      </c>
      <c r="F242" s="3">
        <f>SUMIFS(df_mutuos!M:M,df_mutuos!B:B,Conciliacao!A242)</f>
        <v/>
      </c>
      <c r="G242" s="6">
        <f>SUMIFS(df_bloqueios_judiciais!G:G,df_bloqueios_judiciais!D:D,Conciliacao!A242,df_bloqueios_judiciais!G:G,"&gt;0")</f>
        <v/>
      </c>
      <c r="H242" s="7">
        <f>SUMIFS(df_extratos!I:I,df_extratos!F:F,"&gt;="&amp;Conciliacao!BE242,df_extratos!F:F,"&lt;"&amp;Conciliacao!BE242+1,df_extratos!G:G,"CREDITO")
+SUMIFS(df_extratos!I:I,df_extratos!F:F,"&gt;="&amp;Conciliacao!A242, df_extratos!F:F,"&lt;"&amp;Conciliacao!A242+1, df_extratos!G:G,"CREDITO")
+SUMIFS(df_extratos!I:I,df_extratos!F:F,"&gt;="&amp;Conciliacao!BF242,df_extratos!F:F,"&lt;"&amp;Conciliacao!BF242+1,df_extratos!G:G,"CREDITO")
+SUMIFS(df_extratos!I:I,df_extratos!F:F,"&gt;="&amp;Conciliacao!BG242,df_extratos!F:F,"&lt;"&amp;Conciliacao!BG242+1,df_extratos!G:G,"CREDITO")
+SUMIFS(df_extratos!I:I,df_extratos!F:F,"&gt;="&amp;Conciliacao!BH242,df_extratos!F:F,"&lt;"&amp;Conciliacao!BH242+1,df_extratos!G:G,"CREDITO")</f>
        <v/>
      </c>
      <c r="I242" s="9">
        <f>H242-SUM(B242:G242)</f>
        <v/>
      </c>
      <c r="J242" s="4">
        <f>SUMIFS(df_blueme_sem_parcelamento!E:E,df_blueme_sem_parcelamento!H:H,Conciliacao!A242)*(-1)</f>
        <v/>
      </c>
      <c r="K242" s="4">
        <f>SUMIFS(df_blueme_com_parcelamento!J:J,df_blueme_com_parcelamento!M:M,Conciliacao!A242)*(-1)</f>
        <v/>
      </c>
      <c r="L242" s="4">
        <f>SUMIFS(df_mutuos!N:N,df_mutuos!B:B,Conciliacao!A242)*(-1)</f>
        <v/>
      </c>
      <c r="M242" s="8">
        <f>SUMIFS(df_bloqueios_judiciais!G:G,df_bloqueios_judiciais!D:D,Conciliacao!A242,df_bloqueios_judiciais!G:G,"&lt;0")</f>
        <v/>
      </c>
      <c r="N242" s="10">
        <f>SUMIFS(df_extratos!I:I,df_extratos!F:F,"&gt;="&amp;Conciliacao!BE242,df_extratos!F:F,"&lt;"&amp;Conciliacao!BE242+1,df_extratos!G:G,"DEBITO")
+SUMIFS(df_extratos!I:I,df_extratos!F:F,"&gt;="&amp;Conciliacao!A242, df_extratos!F:F,"&lt;"&amp;Conciliacao!A242+1, df_extratos!G:G,"DEBITO")
+SUMIFS(df_extratos!I:I,df_extratos!F:F,"&gt;="&amp;Conciliacao!BF242,df_extratos!F:F,"&lt;"&amp;Conciliacao!BF242+1,df_extratos!G:G,"DEBITO")
+SUMIFS(df_extratos!I:I,df_extratos!F:F,"&gt;="&amp;Conciliacao!BG242,df_extratos!F:F,"&lt;"&amp;Conciliacao!BG242+1,df_extratos!G:G,"DEBITO")
+SUMIFS(df_extratos!I:I,df_extratos!F:F,"&gt;="&amp;Conciliacao!BH242,df_extratos!F:F,"&lt;"&amp;Conciliacao!BH242+1,df_extratos!G:G,"DEBITO")</f>
        <v/>
      </c>
      <c r="O242" s="11">
        <f>N242-SUM(J242:M242)</f>
        <v/>
      </c>
      <c r="P242" s="25">
        <f>SUMIFS(df_ajustes_conciliaco!D:D,df_ajustes_conciliaco!C:C,Conciliacao!A242)</f>
        <v/>
      </c>
      <c r="Q242" s="22">
        <f>O242+I242-P242</f>
        <v/>
      </c>
      <c r="BE242" s="20" t="n">
        <v>45898.5</v>
      </c>
      <c r="BF242" s="20" t="n">
        <v>45898.125</v>
      </c>
      <c r="BG242" s="20" t="n">
        <v>45898.54166666666</v>
      </c>
      <c r="BH242" s="20" t="n">
        <v>45898.625</v>
      </c>
    </row>
    <row r="243">
      <c r="A243" s="5">
        <f>A242+1</f>
        <v/>
      </c>
      <c r="B243" s="3">
        <f>-SUMIFS(df_extrato_zig!G:G,df_extrato_zig!E:E,Conciliacao!A243,df_extrato_zig!D:D,"Saque")-SUMIFS(df_extrato_zig!G:G,df_extrato_zig!E:E,Conciliacao!A243,df_extrato_zig!D:D,"Antecipação")</f>
        <v/>
      </c>
      <c r="C243" s="3">
        <f>SUMIFS(df_extrato_zig!E:E,df_extrato_zig!L:L,Conciliacao!A243,df_extrato_zig!F:F,"DINHEIRO")</f>
        <v/>
      </c>
      <c r="D243" s="3">
        <f>SUMIFS(view_parc_agrup!H:H,view_parc_agrup!G:G,Conciliacao!A243)</f>
        <v/>
      </c>
      <c r="E243" s="3">
        <f>SUMIFS(df_eventos!F:F,df_eventos!H:H,Conciliacao!A243)</f>
        <v/>
      </c>
      <c r="F243" s="3">
        <f>SUMIFS(df_mutuos!M:M,df_mutuos!B:B,Conciliacao!A243)</f>
        <v/>
      </c>
      <c r="G243" s="6">
        <f>SUMIFS(df_bloqueios_judiciais!G:G,df_bloqueios_judiciais!D:D,Conciliacao!A243,df_bloqueios_judiciais!G:G,"&gt;0")</f>
        <v/>
      </c>
      <c r="H243" s="7">
        <f>SUMIFS(df_extratos!I:I,df_extratos!F:F,"&gt;="&amp;Conciliacao!BE243,df_extratos!F:F,"&lt;"&amp;Conciliacao!BE243+1,df_extratos!G:G,"CREDITO")
+SUMIFS(df_extratos!I:I,df_extratos!F:F,"&gt;="&amp;Conciliacao!A243, df_extratos!F:F,"&lt;"&amp;Conciliacao!A243+1, df_extratos!G:G,"CREDITO")
+SUMIFS(df_extratos!I:I,df_extratos!F:F,"&gt;="&amp;Conciliacao!BF243,df_extratos!F:F,"&lt;"&amp;Conciliacao!BF243+1,df_extratos!G:G,"CREDITO")
+SUMIFS(df_extratos!I:I,df_extratos!F:F,"&gt;="&amp;Conciliacao!BG243,df_extratos!F:F,"&lt;"&amp;Conciliacao!BG243+1,df_extratos!G:G,"CREDITO")
+SUMIFS(df_extratos!I:I,df_extratos!F:F,"&gt;="&amp;Conciliacao!BH243,df_extratos!F:F,"&lt;"&amp;Conciliacao!BH243+1,df_extratos!G:G,"CREDITO")</f>
        <v/>
      </c>
      <c r="I243" s="9">
        <f>H243-SUM(B243:G243)</f>
        <v/>
      </c>
      <c r="J243" s="4">
        <f>SUMIFS(df_blueme_sem_parcelamento!E:E,df_blueme_sem_parcelamento!H:H,Conciliacao!A243)*(-1)</f>
        <v/>
      </c>
      <c r="K243" s="4">
        <f>SUMIFS(df_blueme_com_parcelamento!J:J,df_blueme_com_parcelamento!M:M,Conciliacao!A243)*(-1)</f>
        <v/>
      </c>
      <c r="L243" s="4">
        <f>SUMIFS(df_mutuos!N:N,df_mutuos!B:B,Conciliacao!A243)*(-1)</f>
        <v/>
      </c>
      <c r="M243" s="8">
        <f>SUMIFS(df_bloqueios_judiciais!G:G,df_bloqueios_judiciais!D:D,Conciliacao!A243,df_bloqueios_judiciais!G:G,"&lt;0")</f>
        <v/>
      </c>
      <c r="N243" s="10">
        <f>SUMIFS(df_extratos!I:I,df_extratos!F:F,"&gt;="&amp;Conciliacao!BE243,df_extratos!F:F,"&lt;"&amp;Conciliacao!BE243+1,df_extratos!G:G,"DEBITO")
+SUMIFS(df_extratos!I:I,df_extratos!F:F,"&gt;="&amp;Conciliacao!A243, df_extratos!F:F,"&lt;"&amp;Conciliacao!A243+1, df_extratos!G:G,"DEBITO")
+SUMIFS(df_extratos!I:I,df_extratos!F:F,"&gt;="&amp;Conciliacao!BF243,df_extratos!F:F,"&lt;"&amp;Conciliacao!BF243+1,df_extratos!G:G,"DEBITO")
+SUMIFS(df_extratos!I:I,df_extratos!F:F,"&gt;="&amp;Conciliacao!BG243,df_extratos!F:F,"&lt;"&amp;Conciliacao!BG243+1,df_extratos!G:G,"DEBITO")
+SUMIFS(df_extratos!I:I,df_extratos!F:F,"&gt;="&amp;Conciliacao!BH243,df_extratos!F:F,"&lt;"&amp;Conciliacao!BH243+1,df_extratos!G:G,"DEBITO")</f>
        <v/>
      </c>
      <c r="O243" s="11">
        <f>N243-SUM(J243:M243)</f>
        <v/>
      </c>
      <c r="P243" s="25">
        <f>SUMIFS(df_ajustes_conciliaco!D:D,df_ajustes_conciliaco!C:C,Conciliacao!A243)</f>
        <v/>
      </c>
      <c r="Q243" s="22">
        <f>O243+I243-P243</f>
        <v/>
      </c>
      <c r="BE243" s="20" t="n">
        <v>45899.5</v>
      </c>
      <c r="BF243" s="20" t="n">
        <v>45899.125</v>
      </c>
      <c r="BG243" s="20" t="n">
        <v>45899.54166666666</v>
      </c>
      <c r="BH243" s="20" t="n">
        <v>45899.625</v>
      </c>
    </row>
    <row r="244">
      <c r="A244" s="5">
        <f>A243+1</f>
        <v/>
      </c>
      <c r="B244" s="3">
        <f>-SUMIFS(df_extrato_zig!G:G,df_extrato_zig!E:E,Conciliacao!A244,df_extrato_zig!D:D,"Saque")-SUMIFS(df_extrato_zig!G:G,df_extrato_zig!E:E,Conciliacao!A244,df_extrato_zig!D:D,"Antecipação")</f>
        <v/>
      </c>
      <c r="C244" s="3">
        <f>SUMIFS(df_extrato_zig!E:E,df_extrato_zig!L:L,Conciliacao!A244,df_extrato_zig!F:F,"DINHEIRO")</f>
        <v/>
      </c>
      <c r="D244" s="3">
        <f>SUMIFS(view_parc_agrup!H:H,view_parc_agrup!G:G,Conciliacao!A244)</f>
        <v/>
      </c>
      <c r="E244" s="3">
        <f>SUMIFS(df_eventos!F:F,df_eventos!H:H,Conciliacao!A244)</f>
        <v/>
      </c>
      <c r="F244" s="3">
        <f>SUMIFS(df_mutuos!M:M,df_mutuos!B:B,Conciliacao!A244)</f>
        <v/>
      </c>
      <c r="G244" s="6">
        <f>SUMIFS(df_bloqueios_judiciais!G:G,df_bloqueios_judiciais!D:D,Conciliacao!A244,df_bloqueios_judiciais!G:G,"&gt;0")</f>
        <v/>
      </c>
      <c r="H244" s="7">
        <f>SUMIFS(df_extratos!I:I,df_extratos!F:F,"&gt;="&amp;Conciliacao!BE244,df_extratos!F:F,"&lt;"&amp;Conciliacao!BE244+1,df_extratos!G:G,"CREDITO")
+SUMIFS(df_extratos!I:I,df_extratos!F:F,"&gt;="&amp;Conciliacao!A244, df_extratos!F:F,"&lt;"&amp;Conciliacao!A244+1, df_extratos!G:G,"CREDITO")
+SUMIFS(df_extratos!I:I,df_extratos!F:F,"&gt;="&amp;Conciliacao!BF244,df_extratos!F:F,"&lt;"&amp;Conciliacao!BF244+1,df_extratos!G:G,"CREDITO")
+SUMIFS(df_extratos!I:I,df_extratos!F:F,"&gt;="&amp;Conciliacao!BG244,df_extratos!F:F,"&lt;"&amp;Conciliacao!BG244+1,df_extratos!G:G,"CREDITO")
+SUMIFS(df_extratos!I:I,df_extratos!F:F,"&gt;="&amp;Conciliacao!BH244,df_extratos!F:F,"&lt;"&amp;Conciliacao!BH244+1,df_extratos!G:G,"CREDITO")</f>
        <v/>
      </c>
      <c r="I244" s="9">
        <f>H244-SUM(B244:G244)</f>
        <v/>
      </c>
      <c r="J244" s="4">
        <f>SUMIFS(df_blueme_sem_parcelamento!E:E,df_blueme_sem_parcelamento!H:H,Conciliacao!A244)*(-1)</f>
        <v/>
      </c>
      <c r="K244" s="4">
        <f>SUMIFS(df_blueme_com_parcelamento!J:J,df_blueme_com_parcelamento!M:M,Conciliacao!A244)*(-1)</f>
        <v/>
      </c>
      <c r="L244" s="4">
        <f>SUMIFS(df_mutuos!N:N,df_mutuos!B:B,Conciliacao!A244)*(-1)</f>
        <v/>
      </c>
      <c r="M244" s="8">
        <f>SUMIFS(df_bloqueios_judiciais!G:G,df_bloqueios_judiciais!D:D,Conciliacao!A244,df_bloqueios_judiciais!G:G,"&lt;0")</f>
        <v/>
      </c>
      <c r="N244" s="10">
        <f>SUMIFS(df_extratos!I:I,df_extratos!F:F,"&gt;="&amp;Conciliacao!BE244,df_extratos!F:F,"&lt;"&amp;Conciliacao!BE244+1,df_extratos!G:G,"DEBITO")
+SUMIFS(df_extratos!I:I,df_extratos!F:F,"&gt;="&amp;Conciliacao!A244, df_extratos!F:F,"&lt;"&amp;Conciliacao!A244+1, df_extratos!G:G,"DEBITO")
+SUMIFS(df_extratos!I:I,df_extratos!F:F,"&gt;="&amp;Conciliacao!BF244,df_extratos!F:F,"&lt;"&amp;Conciliacao!BF244+1,df_extratos!G:G,"DEBITO")
+SUMIFS(df_extratos!I:I,df_extratos!F:F,"&gt;="&amp;Conciliacao!BG244,df_extratos!F:F,"&lt;"&amp;Conciliacao!BG244+1,df_extratos!G:G,"DEBITO")
+SUMIFS(df_extratos!I:I,df_extratos!F:F,"&gt;="&amp;Conciliacao!BH244,df_extratos!F:F,"&lt;"&amp;Conciliacao!BH244+1,df_extratos!G:G,"DEBITO")</f>
        <v/>
      </c>
      <c r="O244" s="11">
        <f>N244-SUM(J244:M244)</f>
        <v/>
      </c>
      <c r="P244" s="25">
        <f>SUMIFS(df_ajustes_conciliaco!D:D,df_ajustes_conciliaco!C:C,Conciliacao!A244)</f>
        <v/>
      </c>
      <c r="Q244" s="22">
        <f>O244+I244-P244</f>
        <v/>
      </c>
      <c r="BE244" s="20" t="n">
        <v>45900.5</v>
      </c>
      <c r="BF244" s="20" t="n">
        <v>45900.125</v>
      </c>
      <c r="BG244" s="20" t="n">
        <v>45900.54166666666</v>
      </c>
      <c r="BH244" s="20" t="n">
        <v>45900.625</v>
      </c>
    </row>
    <row r="245">
      <c r="A245" s="5">
        <f>A244+1</f>
        <v/>
      </c>
      <c r="B245" s="3">
        <f>-SUMIFS(df_extrato_zig!G:G,df_extrato_zig!E:E,Conciliacao!A245,df_extrato_zig!D:D,"Saque")-SUMIFS(df_extrato_zig!G:G,df_extrato_zig!E:E,Conciliacao!A245,df_extrato_zig!D:D,"Antecipação")</f>
        <v/>
      </c>
      <c r="C245" s="3">
        <f>SUMIFS(df_extrato_zig!E:E,df_extrato_zig!L:L,Conciliacao!A245,df_extrato_zig!F:F,"DINHEIRO")</f>
        <v/>
      </c>
      <c r="D245" s="3">
        <f>SUMIFS(view_parc_agrup!H:H,view_parc_agrup!G:G,Conciliacao!A245)</f>
        <v/>
      </c>
      <c r="E245" s="3">
        <f>SUMIFS(df_eventos!F:F,df_eventos!H:H,Conciliacao!A245)</f>
        <v/>
      </c>
      <c r="F245" s="3">
        <f>SUMIFS(df_mutuos!M:M,df_mutuos!B:B,Conciliacao!A245)</f>
        <v/>
      </c>
      <c r="G245" s="6">
        <f>SUMIFS(df_bloqueios_judiciais!G:G,df_bloqueios_judiciais!D:D,Conciliacao!A245,df_bloqueios_judiciais!G:G,"&gt;0")</f>
        <v/>
      </c>
      <c r="H245" s="7">
        <f>SUMIFS(df_extratos!I:I,df_extratos!F:F,"&gt;="&amp;Conciliacao!BE245,df_extratos!F:F,"&lt;"&amp;Conciliacao!BE245+1,df_extratos!G:G,"CREDITO")
+SUMIFS(df_extratos!I:I,df_extratos!F:F,"&gt;="&amp;Conciliacao!A245, df_extratos!F:F,"&lt;"&amp;Conciliacao!A245+1, df_extratos!G:G,"CREDITO")
+SUMIFS(df_extratos!I:I,df_extratos!F:F,"&gt;="&amp;Conciliacao!BF245,df_extratos!F:F,"&lt;"&amp;Conciliacao!BF245+1,df_extratos!G:G,"CREDITO")
+SUMIFS(df_extratos!I:I,df_extratos!F:F,"&gt;="&amp;Conciliacao!BG245,df_extratos!F:F,"&lt;"&amp;Conciliacao!BG245+1,df_extratos!G:G,"CREDITO")
+SUMIFS(df_extratos!I:I,df_extratos!F:F,"&gt;="&amp;Conciliacao!BH245,df_extratos!F:F,"&lt;"&amp;Conciliacao!BH245+1,df_extratos!G:G,"CREDITO")</f>
        <v/>
      </c>
      <c r="I245" s="9">
        <f>H245-SUM(B245:G245)</f>
        <v/>
      </c>
      <c r="J245" s="4">
        <f>SUMIFS(df_blueme_sem_parcelamento!E:E,df_blueme_sem_parcelamento!H:H,Conciliacao!A245)*(-1)</f>
        <v/>
      </c>
      <c r="K245" s="4">
        <f>SUMIFS(df_blueme_com_parcelamento!J:J,df_blueme_com_parcelamento!M:M,Conciliacao!A245)*(-1)</f>
        <v/>
      </c>
      <c r="L245" s="4">
        <f>SUMIFS(df_mutuos!N:N,df_mutuos!B:B,Conciliacao!A245)*(-1)</f>
        <v/>
      </c>
      <c r="M245" s="8">
        <f>SUMIFS(df_bloqueios_judiciais!G:G,df_bloqueios_judiciais!D:D,Conciliacao!A245,df_bloqueios_judiciais!G:G,"&lt;0")</f>
        <v/>
      </c>
      <c r="N245" s="10">
        <f>SUMIFS(df_extratos!I:I,df_extratos!F:F,"&gt;="&amp;Conciliacao!BE245,df_extratos!F:F,"&lt;"&amp;Conciliacao!BE245+1,df_extratos!G:G,"DEBITO")
+SUMIFS(df_extratos!I:I,df_extratos!F:F,"&gt;="&amp;Conciliacao!A245, df_extratos!F:F,"&lt;"&amp;Conciliacao!A245+1, df_extratos!G:G,"DEBITO")
+SUMIFS(df_extratos!I:I,df_extratos!F:F,"&gt;="&amp;Conciliacao!BF245,df_extratos!F:F,"&lt;"&amp;Conciliacao!BF245+1,df_extratos!G:G,"DEBITO")
+SUMIFS(df_extratos!I:I,df_extratos!F:F,"&gt;="&amp;Conciliacao!BG245,df_extratos!F:F,"&lt;"&amp;Conciliacao!BG245+1,df_extratos!G:G,"DEBITO")
+SUMIFS(df_extratos!I:I,df_extratos!F:F,"&gt;="&amp;Conciliacao!BH245,df_extratos!F:F,"&lt;"&amp;Conciliacao!BH245+1,df_extratos!G:G,"DEBITO")</f>
        <v/>
      </c>
      <c r="O245" s="11">
        <f>N245-SUM(J245:M245)</f>
        <v/>
      </c>
      <c r="P245" s="25">
        <f>SUMIFS(df_ajustes_conciliaco!D:D,df_ajustes_conciliaco!C:C,Conciliacao!A245)</f>
        <v/>
      </c>
      <c r="Q245" s="22">
        <f>O245+I245-P245</f>
        <v/>
      </c>
      <c r="BE245" s="20" t="n">
        <v>45901.5</v>
      </c>
      <c r="BF245" s="20" t="n">
        <v>45901.125</v>
      </c>
      <c r="BG245" s="20" t="n">
        <v>45901.54166666666</v>
      </c>
      <c r="BH245" s="20" t="n">
        <v>45901.625</v>
      </c>
    </row>
    <row r="246">
      <c r="A246" s="5">
        <f>A245+1</f>
        <v/>
      </c>
      <c r="B246" s="3">
        <f>-SUMIFS(df_extrato_zig!G:G,df_extrato_zig!E:E,Conciliacao!A246,df_extrato_zig!D:D,"Saque")-SUMIFS(df_extrato_zig!G:G,df_extrato_zig!E:E,Conciliacao!A246,df_extrato_zig!D:D,"Antecipação")</f>
        <v/>
      </c>
      <c r="C246" s="3">
        <f>SUMIFS(df_extrato_zig!E:E,df_extrato_zig!L:L,Conciliacao!A246,df_extrato_zig!F:F,"DINHEIRO")</f>
        <v/>
      </c>
      <c r="D246" s="3">
        <f>SUMIFS(view_parc_agrup!H:H,view_parc_agrup!G:G,Conciliacao!A246)</f>
        <v/>
      </c>
      <c r="E246" s="3">
        <f>SUMIFS(df_eventos!F:F,df_eventos!H:H,Conciliacao!A246)</f>
        <v/>
      </c>
      <c r="F246" s="3">
        <f>SUMIFS(df_mutuos!M:M,df_mutuos!B:B,Conciliacao!A246)</f>
        <v/>
      </c>
      <c r="G246" s="6">
        <f>SUMIFS(df_bloqueios_judiciais!G:G,df_bloqueios_judiciais!D:D,Conciliacao!A246,df_bloqueios_judiciais!G:G,"&gt;0")</f>
        <v/>
      </c>
      <c r="H246" s="7">
        <f>SUMIFS(df_extratos!I:I,df_extratos!F:F,"&gt;="&amp;Conciliacao!BE246,df_extratos!F:F,"&lt;"&amp;Conciliacao!BE246+1,df_extratos!G:G,"CREDITO")
+SUMIFS(df_extratos!I:I,df_extratos!F:F,"&gt;="&amp;Conciliacao!A246, df_extratos!F:F,"&lt;"&amp;Conciliacao!A246+1, df_extratos!G:G,"CREDITO")
+SUMIFS(df_extratos!I:I,df_extratos!F:F,"&gt;="&amp;Conciliacao!BF246,df_extratos!F:F,"&lt;"&amp;Conciliacao!BF246+1,df_extratos!G:G,"CREDITO")
+SUMIFS(df_extratos!I:I,df_extratos!F:F,"&gt;="&amp;Conciliacao!BG246,df_extratos!F:F,"&lt;"&amp;Conciliacao!BG246+1,df_extratos!G:G,"CREDITO")
+SUMIFS(df_extratos!I:I,df_extratos!F:F,"&gt;="&amp;Conciliacao!BH246,df_extratos!F:F,"&lt;"&amp;Conciliacao!BH246+1,df_extratos!G:G,"CREDITO")</f>
        <v/>
      </c>
      <c r="I246" s="9">
        <f>H246-SUM(B246:G246)</f>
        <v/>
      </c>
      <c r="J246" s="4">
        <f>SUMIFS(df_blueme_sem_parcelamento!E:E,df_blueme_sem_parcelamento!H:H,Conciliacao!A246)*(-1)</f>
        <v/>
      </c>
      <c r="K246" s="4">
        <f>SUMIFS(df_blueme_com_parcelamento!J:J,df_blueme_com_parcelamento!M:M,Conciliacao!A246)*(-1)</f>
        <v/>
      </c>
      <c r="L246" s="4">
        <f>SUMIFS(df_mutuos!N:N,df_mutuos!B:B,Conciliacao!A246)*(-1)</f>
        <v/>
      </c>
      <c r="M246" s="8">
        <f>SUMIFS(df_bloqueios_judiciais!G:G,df_bloqueios_judiciais!D:D,Conciliacao!A246,df_bloqueios_judiciais!G:G,"&lt;0")</f>
        <v/>
      </c>
      <c r="N246" s="10">
        <f>SUMIFS(df_extratos!I:I,df_extratos!F:F,"&gt;="&amp;Conciliacao!BE246,df_extratos!F:F,"&lt;"&amp;Conciliacao!BE246+1,df_extratos!G:G,"DEBITO")
+SUMIFS(df_extratos!I:I,df_extratos!F:F,"&gt;="&amp;Conciliacao!A246, df_extratos!F:F,"&lt;"&amp;Conciliacao!A246+1, df_extratos!G:G,"DEBITO")
+SUMIFS(df_extratos!I:I,df_extratos!F:F,"&gt;="&amp;Conciliacao!BF246,df_extratos!F:F,"&lt;"&amp;Conciliacao!BF246+1,df_extratos!G:G,"DEBITO")
+SUMIFS(df_extratos!I:I,df_extratos!F:F,"&gt;="&amp;Conciliacao!BG246,df_extratos!F:F,"&lt;"&amp;Conciliacao!BG246+1,df_extratos!G:G,"DEBITO")
+SUMIFS(df_extratos!I:I,df_extratos!F:F,"&gt;="&amp;Conciliacao!BH246,df_extratos!F:F,"&lt;"&amp;Conciliacao!BH246+1,df_extratos!G:G,"DEBITO")</f>
        <v/>
      </c>
      <c r="O246" s="11">
        <f>N246-SUM(J246:M246)</f>
        <v/>
      </c>
      <c r="P246" s="25">
        <f>SUMIFS(df_ajustes_conciliaco!D:D,df_ajustes_conciliaco!C:C,Conciliacao!A246)</f>
        <v/>
      </c>
      <c r="Q246" s="22">
        <f>O246+I246-P246</f>
        <v/>
      </c>
      <c r="BE246" s="20" t="n">
        <v>45902.5</v>
      </c>
      <c r="BF246" s="20" t="n">
        <v>45902.125</v>
      </c>
      <c r="BG246" s="20" t="n">
        <v>45902.54166666666</v>
      </c>
      <c r="BH246" s="20" t="n">
        <v>45902.625</v>
      </c>
    </row>
    <row r="247">
      <c r="A247" s="5">
        <f>A246+1</f>
        <v/>
      </c>
      <c r="B247" s="3">
        <f>-SUMIFS(df_extrato_zig!G:G,df_extrato_zig!E:E,Conciliacao!A247,df_extrato_zig!D:D,"Saque")-SUMIFS(df_extrato_zig!G:G,df_extrato_zig!E:E,Conciliacao!A247,df_extrato_zig!D:D,"Antecipação")</f>
        <v/>
      </c>
      <c r="C247" s="3">
        <f>SUMIFS(df_extrato_zig!E:E,df_extrato_zig!L:L,Conciliacao!A247,df_extrato_zig!F:F,"DINHEIRO")</f>
        <v/>
      </c>
      <c r="D247" s="3">
        <f>SUMIFS(view_parc_agrup!H:H,view_parc_agrup!G:G,Conciliacao!A247)</f>
        <v/>
      </c>
      <c r="E247" s="3">
        <f>SUMIFS(df_eventos!F:F,df_eventos!H:H,Conciliacao!A247)</f>
        <v/>
      </c>
      <c r="F247" s="3">
        <f>SUMIFS(df_mutuos!M:M,df_mutuos!B:B,Conciliacao!A247)</f>
        <v/>
      </c>
      <c r="G247" s="6">
        <f>SUMIFS(df_bloqueios_judiciais!G:G,df_bloqueios_judiciais!D:D,Conciliacao!A247,df_bloqueios_judiciais!G:G,"&gt;0")</f>
        <v/>
      </c>
      <c r="H247" s="7">
        <f>SUMIFS(df_extratos!I:I,df_extratos!F:F,"&gt;="&amp;Conciliacao!BE247,df_extratos!F:F,"&lt;"&amp;Conciliacao!BE247+1,df_extratos!G:G,"CREDITO")
+SUMIFS(df_extratos!I:I,df_extratos!F:F,"&gt;="&amp;Conciliacao!A247, df_extratos!F:F,"&lt;"&amp;Conciliacao!A247+1, df_extratos!G:G,"CREDITO")
+SUMIFS(df_extratos!I:I,df_extratos!F:F,"&gt;="&amp;Conciliacao!BF247,df_extratos!F:F,"&lt;"&amp;Conciliacao!BF247+1,df_extratos!G:G,"CREDITO")
+SUMIFS(df_extratos!I:I,df_extratos!F:F,"&gt;="&amp;Conciliacao!BG247,df_extratos!F:F,"&lt;"&amp;Conciliacao!BG247+1,df_extratos!G:G,"CREDITO")
+SUMIFS(df_extratos!I:I,df_extratos!F:F,"&gt;="&amp;Conciliacao!BH247,df_extratos!F:F,"&lt;"&amp;Conciliacao!BH247+1,df_extratos!G:G,"CREDITO")</f>
        <v/>
      </c>
      <c r="I247" s="9">
        <f>H247-SUM(B247:G247)</f>
        <v/>
      </c>
      <c r="J247" s="4">
        <f>SUMIFS(df_blueme_sem_parcelamento!E:E,df_blueme_sem_parcelamento!H:H,Conciliacao!A247)*(-1)</f>
        <v/>
      </c>
      <c r="K247" s="4">
        <f>SUMIFS(df_blueme_com_parcelamento!J:J,df_blueme_com_parcelamento!M:M,Conciliacao!A247)*(-1)</f>
        <v/>
      </c>
      <c r="L247" s="4">
        <f>SUMIFS(df_mutuos!N:N,df_mutuos!B:B,Conciliacao!A247)*(-1)</f>
        <v/>
      </c>
      <c r="M247" s="8">
        <f>SUMIFS(df_bloqueios_judiciais!G:G,df_bloqueios_judiciais!D:D,Conciliacao!A247,df_bloqueios_judiciais!G:G,"&lt;0")</f>
        <v/>
      </c>
      <c r="N247" s="10">
        <f>SUMIFS(df_extratos!I:I,df_extratos!F:F,"&gt;="&amp;Conciliacao!BE247,df_extratos!F:F,"&lt;"&amp;Conciliacao!BE247+1,df_extratos!G:G,"DEBITO")
+SUMIFS(df_extratos!I:I,df_extratos!F:F,"&gt;="&amp;Conciliacao!A247, df_extratos!F:F,"&lt;"&amp;Conciliacao!A247+1, df_extratos!G:G,"DEBITO")
+SUMIFS(df_extratos!I:I,df_extratos!F:F,"&gt;="&amp;Conciliacao!BF247,df_extratos!F:F,"&lt;"&amp;Conciliacao!BF247+1,df_extratos!G:G,"DEBITO")
+SUMIFS(df_extratos!I:I,df_extratos!F:F,"&gt;="&amp;Conciliacao!BG247,df_extratos!F:F,"&lt;"&amp;Conciliacao!BG247+1,df_extratos!G:G,"DEBITO")
+SUMIFS(df_extratos!I:I,df_extratos!F:F,"&gt;="&amp;Conciliacao!BH247,df_extratos!F:F,"&lt;"&amp;Conciliacao!BH247+1,df_extratos!G:G,"DEBITO")</f>
        <v/>
      </c>
      <c r="O247" s="11">
        <f>N247-SUM(J247:M247)</f>
        <v/>
      </c>
      <c r="P247" s="25">
        <f>SUMIFS(df_ajustes_conciliaco!D:D,df_ajustes_conciliaco!C:C,Conciliacao!A247)</f>
        <v/>
      </c>
      <c r="Q247" s="22">
        <f>O247+I247-P247</f>
        <v/>
      </c>
      <c r="BE247" s="20" t="n">
        <v>45903.5</v>
      </c>
      <c r="BF247" s="20" t="n">
        <v>45903.125</v>
      </c>
      <c r="BG247" s="20" t="n">
        <v>45903.54166666666</v>
      </c>
      <c r="BH247" s="20" t="n">
        <v>45903.625</v>
      </c>
    </row>
    <row r="248">
      <c r="A248" s="5">
        <f>A247+1</f>
        <v/>
      </c>
      <c r="B248" s="3">
        <f>-SUMIFS(df_extrato_zig!G:G,df_extrato_zig!E:E,Conciliacao!A248,df_extrato_zig!D:D,"Saque")-SUMIFS(df_extrato_zig!G:G,df_extrato_zig!E:E,Conciliacao!A248,df_extrato_zig!D:D,"Antecipação")</f>
        <v/>
      </c>
      <c r="C248" s="3">
        <f>SUMIFS(df_extrato_zig!E:E,df_extrato_zig!L:L,Conciliacao!A248,df_extrato_zig!F:F,"DINHEIRO")</f>
        <v/>
      </c>
      <c r="D248" s="3">
        <f>SUMIFS(view_parc_agrup!H:H,view_parc_agrup!G:G,Conciliacao!A248)</f>
        <v/>
      </c>
      <c r="E248" s="3">
        <f>SUMIFS(df_eventos!F:F,df_eventos!H:H,Conciliacao!A248)</f>
        <v/>
      </c>
      <c r="F248" s="3">
        <f>SUMIFS(df_mutuos!M:M,df_mutuos!B:B,Conciliacao!A248)</f>
        <v/>
      </c>
      <c r="G248" s="6">
        <f>SUMIFS(df_bloqueios_judiciais!G:G,df_bloqueios_judiciais!D:D,Conciliacao!A248,df_bloqueios_judiciais!G:G,"&gt;0")</f>
        <v/>
      </c>
      <c r="H248" s="7">
        <f>SUMIFS(df_extratos!I:I,df_extratos!F:F,"&gt;="&amp;Conciliacao!BE248,df_extratos!F:F,"&lt;"&amp;Conciliacao!BE248+1,df_extratos!G:G,"CREDITO")
+SUMIFS(df_extratos!I:I,df_extratos!F:F,"&gt;="&amp;Conciliacao!A248, df_extratos!F:F,"&lt;"&amp;Conciliacao!A248+1, df_extratos!G:G,"CREDITO")
+SUMIFS(df_extratos!I:I,df_extratos!F:F,"&gt;="&amp;Conciliacao!BF248,df_extratos!F:F,"&lt;"&amp;Conciliacao!BF248+1,df_extratos!G:G,"CREDITO")
+SUMIFS(df_extratos!I:I,df_extratos!F:F,"&gt;="&amp;Conciliacao!BG248,df_extratos!F:F,"&lt;"&amp;Conciliacao!BG248+1,df_extratos!G:G,"CREDITO")
+SUMIFS(df_extratos!I:I,df_extratos!F:F,"&gt;="&amp;Conciliacao!BH248,df_extratos!F:F,"&lt;"&amp;Conciliacao!BH248+1,df_extratos!G:G,"CREDITO")</f>
        <v/>
      </c>
      <c r="I248" s="9">
        <f>H248-SUM(B248:G248)</f>
        <v/>
      </c>
      <c r="J248" s="4">
        <f>SUMIFS(df_blueme_sem_parcelamento!E:E,df_blueme_sem_parcelamento!H:H,Conciliacao!A248)*(-1)</f>
        <v/>
      </c>
      <c r="K248" s="4">
        <f>SUMIFS(df_blueme_com_parcelamento!J:J,df_blueme_com_parcelamento!M:M,Conciliacao!A248)*(-1)</f>
        <v/>
      </c>
      <c r="L248" s="4">
        <f>SUMIFS(df_mutuos!N:N,df_mutuos!B:B,Conciliacao!A248)*(-1)</f>
        <v/>
      </c>
      <c r="M248" s="8">
        <f>SUMIFS(df_bloqueios_judiciais!G:G,df_bloqueios_judiciais!D:D,Conciliacao!A248,df_bloqueios_judiciais!G:G,"&lt;0")</f>
        <v/>
      </c>
      <c r="N248" s="10">
        <f>SUMIFS(df_extratos!I:I,df_extratos!F:F,"&gt;="&amp;Conciliacao!BE248,df_extratos!F:F,"&lt;"&amp;Conciliacao!BE248+1,df_extratos!G:G,"DEBITO")
+SUMIFS(df_extratos!I:I,df_extratos!F:F,"&gt;="&amp;Conciliacao!A248, df_extratos!F:F,"&lt;"&amp;Conciliacao!A248+1, df_extratos!G:G,"DEBITO")
+SUMIFS(df_extratos!I:I,df_extratos!F:F,"&gt;="&amp;Conciliacao!BF248,df_extratos!F:F,"&lt;"&amp;Conciliacao!BF248+1,df_extratos!G:G,"DEBITO")
+SUMIFS(df_extratos!I:I,df_extratos!F:F,"&gt;="&amp;Conciliacao!BG248,df_extratos!F:F,"&lt;"&amp;Conciliacao!BG248+1,df_extratos!G:G,"DEBITO")
+SUMIFS(df_extratos!I:I,df_extratos!F:F,"&gt;="&amp;Conciliacao!BH248,df_extratos!F:F,"&lt;"&amp;Conciliacao!BH248+1,df_extratos!G:G,"DEBITO")</f>
        <v/>
      </c>
      <c r="O248" s="11">
        <f>N248-SUM(J248:M248)</f>
        <v/>
      </c>
      <c r="P248" s="25">
        <f>SUMIFS(df_ajustes_conciliaco!D:D,df_ajustes_conciliaco!C:C,Conciliacao!A248)</f>
        <v/>
      </c>
      <c r="Q248" s="22">
        <f>O248+I248-P248</f>
        <v/>
      </c>
      <c r="BE248" s="20" t="n">
        <v>45904.5</v>
      </c>
      <c r="BF248" s="20" t="n">
        <v>45904.125</v>
      </c>
      <c r="BG248" s="20" t="n">
        <v>45904.54166666666</v>
      </c>
      <c r="BH248" s="20" t="n">
        <v>45904.625</v>
      </c>
    </row>
    <row r="249">
      <c r="A249" s="5">
        <f>A248+1</f>
        <v/>
      </c>
      <c r="B249" s="3">
        <f>-SUMIFS(df_extrato_zig!G:G,df_extrato_zig!E:E,Conciliacao!A249,df_extrato_zig!D:D,"Saque")-SUMIFS(df_extrato_zig!G:G,df_extrato_zig!E:E,Conciliacao!A249,df_extrato_zig!D:D,"Antecipação")</f>
        <v/>
      </c>
      <c r="C249" s="3">
        <f>SUMIFS(df_extrato_zig!E:E,df_extrato_zig!L:L,Conciliacao!A249,df_extrato_zig!F:F,"DINHEIRO")</f>
        <v/>
      </c>
      <c r="D249" s="3">
        <f>SUMIFS(view_parc_agrup!H:H,view_parc_agrup!G:G,Conciliacao!A249)</f>
        <v/>
      </c>
      <c r="E249" s="3">
        <f>SUMIFS(df_eventos!F:F,df_eventos!H:H,Conciliacao!A249)</f>
        <v/>
      </c>
      <c r="F249" s="3">
        <f>SUMIFS(df_mutuos!M:M,df_mutuos!B:B,Conciliacao!A249)</f>
        <v/>
      </c>
      <c r="G249" s="6">
        <f>SUMIFS(df_bloqueios_judiciais!G:G,df_bloqueios_judiciais!D:D,Conciliacao!A249,df_bloqueios_judiciais!G:G,"&gt;0")</f>
        <v/>
      </c>
      <c r="H249" s="7">
        <f>SUMIFS(df_extratos!I:I,df_extratos!F:F,"&gt;="&amp;Conciliacao!BE249,df_extratos!F:F,"&lt;"&amp;Conciliacao!BE249+1,df_extratos!G:G,"CREDITO")
+SUMIFS(df_extratos!I:I,df_extratos!F:F,"&gt;="&amp;Conciliacao!A249, df_extratos!F:F,"&lt;"&amp;Conciliacao!A249+1, df_extratos!G:G,"CREDITO")
+SUMIFS(df_extratos!I:I,df_extratos!F:F,"&gt;="&amp;Conciliacao!BF249,df_extratos!F:F,"&lt;"&amp;Conciliacao!BF249+1,df_extratos!G:G,"CREDITO")
+SUMIFS(df_extratos!I:I,df_extratos!F:F,"&gt;="&amp;Conciliacao!BG249,df_extratos!F:F,"&lt;"&amp;Conciliacao!BG249+1,df_extratos!G:G,"CREDITO")
+SUMIFS(df_extratos!I:I,df_extratos!F:F,"&gt;="&amp;Conciliacao!BH249,df_extratos!F:F,"&lt;"&amp;Conciliacao!BH249+1,df_extratos!G:G,"CREDITO")</f>
        <v/>
      </c>
      <c r="I249" s="9">
        <f>H249-SUM(B249:G249)</f>
        <v/>
      </c>
      <c r="J249" s="4">
        <f>SUMIFS(df_blueme_sem_parcelamento!E:E,df_blueme_sem_parcelamento!H:H,Conciliacao!A249)*(-1)</f>
        <v/>
      </c>
      <c r="K249" s="4">
        <f>SUMIFS(df_blueme_com_parcelamento!J:J,df_blueme_com_parcelamento!M:M,Conciliacao!A249)*(-1)</f>
        <v/>
      </c>
      <c r="L249" s="4">
        <f>SUMIFS(df_mutuos!N:N,df_mutuos!B:B,Conciliacao!A249)*(-1)</f>
        <v/>
      </c>
      <c r="M249" s="8">
        <f>SUMIFS(df_bloqueios_judiciais!G:G,df_bloqueios_judiciais!D:D,Conciliacao!A249,df_bloqueios_judiciais!G:G,"&lt;0")</f>
        <v/>
      </c>
      <c r="N249" s="10">
        <f>SUMIFS(df_extratos!I:I,df_extratos!F:F,"&gt;="&amp;Conciliacao!BE249,df_extratos!F:F,"&lt;"&amp;Conciliacao!BE249+1,df_extratos!G:G,"DEBITO")
+SUMIFS(df_extratos!I:I,df_extratos!F:F,"&gt;="&amp;Conciliacao!A249, df_extratos!F:F,"&lt;"&amp;Conciliacao!A249+1, df_extratos!G:G,"DEBITO")
+SUMIFS(df_extratos!I:I,df_extratos!F:F,"&gt;="&amp;Conciliacao!BF249,df_extratos!F:F,"&lt;"&amp;Conciliacao!BF249+1,df_extratos!G:G,"DEBITO")
+SUMIFS(df_extratos!I:I,df_extratos!F:F,"&gt;="&amp;Conciliacao!BG249,df_extratos!F:F,"&lt;"&amp;Conciliacao!BG249+1,df_extratos!G:G,"DEBITO")
+SUMIFS(df_extratos!I:I,df_extratos!F:F,"&gt;="&amp;Conciliacao!BH249,df_extratos!F:F,"&lt;"&amp;Conciliacao!BH249+1,df_extratos!G:G,"DEBITO")</f>
        <v/>
      </c>
      <c r="O249" s="11">
        <f>N249-SUM(J249:M249)</f>
        <v/>
      </c>
      <c r="P249" s="25">
        <f>SUMIFS(df_ajustes_conciliaco!D:D,df_ajustes_conciliaco!C:C,Conciliacao!A249)</f>
        <v/>
      </c>
      <c r="Q249" s="22">
        <f>O249+I249-P249</f>
        <v/>
      </c>
      <c r="BE249" s="20" t="n">
        <v>45905.5</v>
      </c>
      <c r="BF249" s="20" t="n">
        <v>45905.125</v>
      </c>
      <c r="BG249" s="20" t="n">
        <v>45905.54166666666</v>
      </c>
      <c r="BH249" s="20" t="n">
        <v>45905.625</v>
      </c>
    </row>
    <row r="250">
      <c r="A250" s="5">
        <f>A249+1</f>
        <v/>
      </c>
      <c r="B250" s="3">
        <f>-SUMIFS(df_extrato_zig!G:G,df_extrato_zig!E:E,Conciliacao!A250,df_extrato_zig!D:D,"Saque")-SUMIFS(df_extrato_zig!G:G,df_extrato_zig!E:E,Conciliacao!A250,df_extrato_zig!D:D,"Antecipação")</f>
        <v/>
      </c>
      <c r="C250" s="3">
        <f>SUMIFS(df_extrato_zig!E:E,df_extrato_zig!L:L,Conciliacao!A250,df_extrato_zig!F:F,"DINHEIRO")</f>
        <v/>
      </c>
      <c r="D250" s="3">
        <f>SUMIFS(view_parc_agrup!H:H,view_parc_agrup!G:G,Conciliacao!A250)</f>
        <v/>
      </c>
      <c r="E250" s="3">
        <f>SUMIFS(df_eventos!F:F,df_eventos!H:H,Conciliacao!A250)</f>
        <v/>
      </c>
      <c r="F250" s="3">
        <f>SUMIFS(df_mutuos!M:M,df_mutuos!B:B,Conciliacao!A250)</f>
        <v/>
      </c>
      <c r="G250" s="6">
        <f>SUMIFS(df_bloqueios_judiciais!G:G,df_bloqueios_judiciais!D:D,Conciliacao!A250,df_bloqueios_judiciais!G:G,"&gt;0")</f>
        <v/>
      </c>
      <c r="H250" s="7">
        <f>SUMIFS(df_extratos!I:I,df_extratos!F:F,"&gt;="&amp;Conciliacao!BE250,df_extratos!F:F,"&lt;"&amp;Conciliacao!BE250+1,df_extratos!G:G,"CREDITO")
+SUMIFS(df_extratos!I:I,df_extratos!F:F,"&gt;="&amp;Conciliacao!A250, df_extratos!F:F,"&lt;"&amp;Conciliacao!A250+1, df_extratos!G:G,"CREDITO")
+SUMIFS(df_extratos!I:I,df_extratos!F:F,"&gt;="&amp;Conciliacao!BF250,df_extratos!F:F,"&lt;"&amp;Conciliacao!BF250+1,df_extratos!G:G,"CREDITO")
+SUMIFS(df_extratos!I:I,df_extratos!F:F,"&gt;="&amp;Conciliacao!BG250,df_extratos!F:F,"&lt;"&amp;Conciliacao!BG250+1,df_extratos!G:G,"CREDITO")
+SUMIFS(df_extratos!I:I,df_extratos!F:F,"&gt;="&amp;Conciliacao!BH250,df_extratos!F:F,"&lt;"&amp;Conciliacao!BH250+1,df_extratos!G:G,"CREDITO")</f>
        <v/>
      </c>
      <c r="I250" s="9">
        <f>H250-SUM(B250:G250)</f>
        <v/>
      </c>
      <c r="J250" s="4">
        <f>SUMIFS(df_blueme_sem_parcelamento!E:E,df_blueme_sem_parcelamento!H:H,Conciliacao!A250)*(-1)</f>
        <v/>
      </c>
      <c r="K250" s="4">
        <f>SUMIFS(df_blueme_com_parcelamento!J:J,df_blueme_com_parcelamento!M:M,Conciliacao!A250)*(-1)</f>
        <v/>
      </c>
      <c r="L250" s="4">
        <f>SUMIFS(df_mutuos!N:N,df_mutuos!B:B,Conciliacao!A250)*(-1)</f>
        <v/>
      </c>
      <c r="M250" s="8">
        <f>SUMIFS(df_bloqueios_judiciais!G:G,df_bloqueios_judiciais!D:D,Conciliacao!A250,df_bloqueios_judiciais!G:G,"&lt;0")</f>
        <v/>
      </c>
      <c r="N250" s="10">
        <f>SUMIFS(df_extratos!I:I,df_extratos!F:F,"&gt;="&amp;Conciliacao!BE250,df_extratos!F:F,"&lt;"&amp;Conciliacao!BE250+1,df_extratos!G:G,"DEBITO")
+SUMIFS(df_extratos!I:I,df_extratos!F:F,"&gt;="&amp;Conciliacao!A250, df_extratos!F:F,"&lt;"&amp;Conciliacao!A250+1, df_extratos!G:G,"DEBITO")
+SUMIFS(df_extratos!I:I,df_extratos!F:F,"&gt;="&amp;Conciliacao!BF250,df_extratos!F:F,"&lt;"&amp;Conciliacao!BF250+1,df_extratos!G:G,"DEBITO")
+SUMIFS(df_extratos!I:I,df_extratos!F:F,"&gt;="&amp;Conciliacao!BG250,df_extratos!F:F,"&lt;"&amp;Conciliacao!BG250+1,df_extratos!G:G,"DEBITO")
+SUMIFS(df_extratos!I:I,df_extratos!F:F,"&gt;="&amp;Conciliacao!BH250,df_extratos!F:F,"&lt;"&amp;Conciliacao!BH250+1,df_extratos!G:G,"DEBITO")</f>
        <v/>
      </c>
      <c r="O250" s="11">
        <f>N250-SUM(J250:M250)</f>
        <v/>
      </c>
      <c r="P250" s="25">
        <f>SUMIFS(df_ajustes_conciliaco!D:D,df_ajustes_conciliaco!C:C,Conciliacao!A250)</f>
        <v/>
      </c>
      <c r="Q250" s="22">
        <f>O250+I250-P250</f>
        <v/>
      </c>
      <c r="BE250" s="20" t="n">
        <v>45906.5</v>
      </c>
      <c r="BF250" s="20" t="n">
        <v>45906.125</v>
      </c>
      <c r="BG250" s="20" t="n">
        <v>45906.54166666666</v>
      </c>
      <c r="BH250" s="20" t="n">
        <v>45906.625</v>
      </c>
    </row>
    <row r="251">
      <c r="A251" s="5">
        <f>A250+1</f>
        <v/>
      </c>
      <c r="B251" s="3">
        <f>-SUMIFS(df_extrato_zig!G:G,df_extrato_zig!E:E,Conciliacao!A251,df_extrato_zig!D:D,"Saque")-SUMIFS(df_extrato_zig!G:G,df_extrato_zig!E:E,Conciliacao!A251,df_extrato_zig!D:D,"Antecipação")</f>
        <v/>
      </c>
      <c r="C251" s="3">
        <f>SUMIFS(df_extrato_zig!E:E,df_extrato_zig!L:L,Conciliacao!A251,df_extrato_zig!F:F,"DINHEIRO")</f>
        <v/>
      </c>
      <c r="D251" s="3">
        <f>SUMIFS(view_parc_agrup!H:H,view_parc_agrup!G:G,Conciliacao!A251)</f>
        <v/>
      </c>
      <c r="E251" s="3">
        <f>SUMIFS(df_eventos!F:F,df_eventos!H:H,Conciliacao!A251)</f>
        <v/>
      </c>
      <c r="F251" s="3">
        <f>SUMIFS(df_mutuos!M:M,df_mutuos!B:B,Conciliacao!A251)</f>
        <v/>
      </c>
      <c r="G251" s="6">
        <f>SUMIFS(df_bloqueios_judiciais!G:G,df_bloqueios_judiciais!D:D,Conciliacao!A251,df_bloqueios_judiciais!G:G,"&gt;0")</f>
        <v/>
      </c>
      <c r="H251" s="7">
        <f>SUMIFS(df_extratos!I:I,df_extratos!F:F,"&gt;="&amp;Conciliacao!BE251,df_extratos!F:F,"&lt;"&amp;Conciliacao!BE251+1,df_extratos!G:G,"CREDITO")
+SUMIFS(df_extratos!I:I,df_extratos!F:F,"&gt;="&amp;Conciliacao!A251, df_extratos!F:F,"&lt;"&amp;Conciliacao!A251+1, df_extratos!G:G,"CREDITO")
+SUMIFS(df_extratos!I:I,df_extratos!F:F,"&gt;="&amp;Conciliacao!BF251,df_extratos!F:F,"&lt;"&amp;Conciliacao!BF251+1,df_extratos!G:G,"CREDITO")
+SUMIFS(df_extratos!I:I,df_extratos!F:F,"&gt;="&amp;Conciliacao!BG251,df_extratos!F:F,"&lt;"&amp;Conciliacao!BG251+1,df_extratos!G:G,"CREDITO")
+SUMIFS(df_extratos!I:I,df_extratos!F:F,"&gt;="&amp;Conciliacao!BH251,df_extratos!F:F,"&lt;"&amp;Conciliacao!BH251+1,df_extratos!G:G,"CREDITO")</f>
        <v/>
      </c>
      <c r="I251" s="9">
        <f>H251-SUM(B251:G251)</f>
        <v/>
      </c>
      <c r="J251" s="4">
        <f>SUMIFS(df_blueme_sem_parcelamento!E:E,df_blueme_sem_parcelamento!H:H,Conciliacao!A251)*(-1)</f>
        <v/>
      </c>
      <c r="K251" s="4">
        <f>SUMIFS(df_blueme_com_parcelamento!J:J,df_blueme_com_parcelamento!M:M,Conciliacao!A251)*(-1)</f>
        <v/>
      </c>
      <c r="L251" s="4">
        <f>SUMIFS(df_mutuos!N:N,df_mutuos!B:B,Conciliacao!A251)*(-1)</f>
        <v/>
      </c>
      <c r="M251" s="8">
        <f>SUMIFS(df_bloqueios_judiciais!G:G,df_bloqueios_judiciais!D:D,Conciliacao!A251,df_bloqueios_judiciais!G:G,"&lt;0")</f>
        <v/>
      </c>
      <c r="N251" s="10">
        <f>SUMIFS(df_extratos!I:I,df_extratos!F:F,"&gt;="&amp;Conciliacao!BE251,df_extratos!F:F,"&lt;"&amp;Conciliacao!BE251+1,df_extratos!G:G,"DEBITO")
+SUMIFS(df_extratos!I:I,df_extratos!F:F,"&gt;="&amp;Conciliacao!A251, df_extratos!F:F,"&lt;"&amp;Conciliacao!A251+1, df_extratos!G:G,"DEBITO")
+SUMIFS(df_extratos!I:I,df_extratos!F:F,"&gt;="&amp;Conciliacao!BF251,df_extratos!F:F,"&lt;"&amp;Conciliacao!BF251+1,df_extratos!G:G,"DEBITO")
+SUMIFS(df_extratos!I:I,df_extratos!F:F,"&gt;="&amp;Conciliacao!BG251,df_extratos!F:F,"&lt;"&amp;Conciliacao!BG251+1,df_extratos!G:G,"DEBITO")
+SUMIFS(df_extratos!I:I,df_extratos!F:F,"&gt;="&amp;Conciliacao!BH251,df_extratos!F:F,"&lt;"&amp;Conciliacao!BH251+1,df_extratos!G:G,"DEBITO")</f>
        <v/>
      </c>
      <c r="O251" s="11">
        <f>N251-SUM(J251:M251)</f>
        <v/>
      </c>
      <c r="P251" s="25">
        <f>SUMIFS(df_ajustes_conciliaco!D:D,df_ajustes_conciliaco!C:C,Conciliacao!A251)</f>
        <v/>
      </c>
      <c r="Q251" s="22">
        <f>O251+I251-P251</f>
        <v/>
      </c>
      <c r="BE251" s="20" t="n">
        <v>45907.5</v>
      </c>
      <c r="BF251" s="20" t="n">
        <v>45907.125</v>
      </c>
      <c r="BG251" s="20" t="n">
        <v>45907.54166666666</v>
      </c>
      <c r="BH251" s="20" t="n">
        <v>45907.625</v>
      </c>
    </row>
    <row r="252">
      <c r="A252" s="5">
        <f>A251+1</f>
        <v/>
      </c>
      <c r="B252" s="3">
        <f>-SUMIFS(df_extrato_zig!G:G,df_extrato_zig!E:E,Conciliacao!A252,df_extrato_zig!D:D,"Saque")-SUMIFS(df_extrato_zig!G:G,df_extrato_zig!E:E,Conciliacao!A252,df_extrato_zig!D:D,"Antecipação")</f>
        <v/>
      </c>
      <c r="C252" s="3">
        <f>SUMIFS(df_extrato_zig!E:E,df_extrato_zig!L:L,Conciliacao!A252,df_extrato_zig!F:F,"DINHEIRO")</f>
        <v/>
      </c>
      <c r="D252" s="3">
        <f>SUMIFS(view_parc_agrup!H:H,view_parc_agrup!G:G,Conciliacao!A252)</f>
        <v/>
      </c>
      <c r="E252" s="3">
        <f>SUMIFS(df_eventos!F:F,df_eventos!H:H,Conciliacao!A252)</f>
        <v/>
      </c>
      <c r="F252" s="3">
        <f>SUMIFS(df_mutuos!M:M,df_mutuos!B:B,Conciliacao!A252)</f>
        <v/>
      </c>
      <c r="G252" s="6">
        <f>SUMIFS(df_bloqueios_judiciais!G:G,df_bloqueios_judiciais!D:D,Conciliacao!A252,df_bloqueios_judiciais!G:G,"&gt;0")</f>
        <v/>
      </c>
      <c r="H252" s="7">
        <f>SUMIFS(df_extratos!I:I,df_extratos!F:F,"&gt;="&amp;Conciliacao!BE252,df_extratos!F:F,"&lt;"&amp;Conciliacao!BE252+1,df_extratos!G:G,"CREDITO")
+SUMIFS(df_extratos!I:I,df_extratos!F:F,"&gt;="&amp;Conciliacao!A252, df_extratos!F:F,"&lt;"&amp;Conciliacao!A252+1, df_extratos!G:G,"CREDITO")
+SUMIFS(df_extratos!I:I,df_extratos!F:F,"&gt;="&amp;Conciliacao!BF252,df_extratos!F:F,"&lt;"&amp;Conciliacao!BF252+1,df_extratos!G:G,"CREDITO")
+SUMIFS(df_extratos!I:I,df_extratos!F:F,"&gt;="&amp;Conciliacao!BG252,df_extratos!F:F,"&lt;"&amp;Conciliacao!BG252+1,df_extratos!G:G,"CREDITO")
+SUMIFS(df_extratos!I:I,df_extratos!F:F,"&gt;="&amp;Conciliacao!BH252,df_extratos!F:F,"&lt;"&amp;Conciliacao!BH252+1,df_extratos!G:G,"CREDITO")</f>
        <v/>
      </c>
      <c r="I252" s="9">
        <f>H252-SUM(B252:G252)</f>
        <v/>
      </c>
      <c r="J252" s="4">
        <f>SUMIFS(df_blueme_sem_parcelamento!E:E,df_blueme_sem_parcelamento!H:H,Conciliacao!A252)*(-1)</f>
        <v/>
      </c>
      <c r="K252" s="4">
        <f>SUMIFS(df_blueme_com_parcelamento!J:J,df_blueme_com_parcelamento!M:M,Conciliacao!A252)*(-1)</f>
        <v/>
      </c>
      <c r="L252" s="4">
        <f>SUMIFS(df_mutuos!N:N,df_mutuos!B:B,Conciliacao!A252)*(-1)</f>
        <v/>
      </c>
      <c r="M252" s="8">
        <f>SUMIFS(df_bloqueios_judiciais!G:G,df_bloqueios_judiciais!D:D,Conciliacao!A252,df_bloqueios_judiciais!G:G,"&lt;0")</f>
        <v/>
      </c>
      <c r="N252" s="10">
        <f>SUMIFS(df_extratos!I:I,df_extratos!F:F,"&gt;="&amp;Conciliacao!BE252,df_extratos!F:F,"&lt;"&amp;Conciliacao!BE252+1,df_extratos!G:G,"DEBITO")
+SUMIFS(df_extratos!I:I,df_extratos!F:F,"&gt;="&amp;Conciliacao!A252, df_extratos!F:F,"&lt;"&amp;Conciliacao!A252+1, df_extratos!G:G,"DEBITO")
+SUMIFS(df_extratos!I:I,df_extratos!F:F,"&gt;="&amp;Conciliacao!BF252,df_extratos!F:F,"&lt;"&amp;Conciliacao!BF252+1,df_extratos!G:G,"DEBITO")
+SUMIFS(df_extratos!I:I,df_extratos!F:F,"&gt;="&amp;Conciliacao!BG252,df_extratos!F:F,"&lt;"&amp;Conciliacao!BG252+1,df_extratos!G:G,"DEBITO")
+SUMIFS(df_extratos!I:I,df_extratos!F:F,"&gt;="&amp;Conciliacao!BH252,df_extratos!F:F,"&lt;"&amp;Conciliacao!BH252+1,df_extratos!G:G,"DEBITO")</f>
        <v/>
      </c>
      <c r="O252" s="11">
        <f>N252-SUM(J252:M252)</f>
        <v/>
      </c>
      <c r="P252" s="25">
        <f>SUMIFS(df_ajustes_conciliaco!D:D,df_ajustes_conciliaco!C:C,Conciliacao!A252)</f>
        <v/>
      </c>
      <c r="Q252" s="22">
        <f>O252+I252-P252</f>
        <v/>
      </c>
      <c r="BE252" s="20" t="n">
        <v>45908.5</v>
      </c>
      <c r="BF252" s="20" t="n">
        <v>45908.125</v>
      </c>
      <c r="BG252" s="20" t="n">
        <v>45908.54166666666</v>
      </c>
      <c r="BH252" s="20" t="n">
        <v>45908.625</v>
      </c>
    </row>
    <row r="253">
      <c r="A253" s="5">
        <f>A252+1</f>
        <v/>
      </c>
      <c r="B253" s="3">
        <f>-SUMIFS(df_extrato_zig!G:G,df_extrato_zig!E:E,Conciliacao!A253,df_extrato_zig!D:D,"Saque")-SUMIFS(df_extrato_zig!G:G,df_extrato_zig!E:E,Conciliacao!A253,df_extrato_zig!D:D,"Antecipação")</f>
        <v/>
      </c>
      <c r="C253" s="3">
        <f>SUMIFS(df_extrato_zig!E:E,df_extrato_zig!L:L,Conciliacao!A253,df_extrato_zig!F:F,"DINHEIRO")</f>
        <v/>
      </c>
      <c r="D253" s="3">
        <f>SUMIFS(view_parc_agrup!H:H,view_parc_agrup!G:G,Conciliacao!A253)</f>
        <v/>
      </c>
      <c r="E253" s="3">
        <f>SUMIFS(df_eventos!F:F,df_eventos!H:H,Conciliacao!A253)</f>
        <v/>
      </c>
      <c r="F253" s="3">
        <f>SUMIFS(df_mutuos!M:M,df_mutuos!B:B,Conciliacao!A253)</f>
        <v/>
      </c>
      <c r="G253" s="6">
        <f>SUMIFS(df_bloqueios_judiciais!G:G,df_bloqueios_judiciais!D:D,Conciliacao!A253,df_bloqueios_judiciais!G:G,"&gt;0")</f>
        <v/>
      </c>
      <c r="H253" s="7">
        <f>SUMIFS(df_extratos!I:I,df_extratos!F:F,"&gt;="&amp;Conciliacao!BE253,df_extratos!F:F,"&lt;"&amp;Conciliacao!BE253+1,df_extratos!G:G,"CREDITO")
+SUMIFS(df_extratos!I:I,df_extratos!F:F,"&gt;="&amp;Conciliacao!A253, df_extratos!F:F,"&lt;"&amp;Conciliacao!A253+1, df_extratos!G:G,"CREDITO")
+SUMIFS(df_extratos!I:I,df_extratos!F:F,"&gt;="&amp;Conciliacao!BF253,df_extratos!F:F,"&lt;"&amp;Conciliacao!BF253+1,df_extratos!G:G,"CREDITO")
+SUMIFS(df_extratos!I:I,df_extratos!F:F,"&gt;="&amp;Conciliacao!BG253,df_extratos!F:F,"&lt;"&amp;Conciliacao!BG253+1,df_extratos!G:G,"CREDITO")
+SUMIFS(df_extratos!I:I,df_extratos!F:F,"&gt;="&amp;Conciliacao!BH253,df_extratos!F:F,"&lt;"&amp;Conciliacao!BH253+1,df_extratos!G:G,"CREDITO")</f>
        <v/>
      </c>
      <c r="I253" s="9">
        <f>H253-SUM(B253:G253)</f>
        <v/>
      </c>
      <c r="J253" s="4">
        <f>SUMIFS(df_blueme_sem_parcelamento!E:E,df_blueme_sem_parcelamento!H:H,Conciliacao!A253)*(-1)</f>
        <v/>
      </c>
      <c r="K253" s="4">
        <f>SUMIFS(df_blueme_com_parcelamento!J:J,df_blueme_com_parcelamento!M:M,Conciliacao!A253)*(-1)</f>
        <v/>
      </c>
      <c r="L253" s="4">
        <f>SUMIFS(df_mutuos!N:N,df_mutuos!B:B,Conciliacao!A253)*(-1)</f>
        <v/>
      </c>
      <c r="M253" s="8">
        <f>SUMIFS(df_bloqueios_judiciais!G:G,df_bloqueios_judiciais!D:D,Conciliacao!A253,df_bloqueios_judiciais!G:G,"&lt;0")</f>
        <v/>
      </c>
      <c r="N253" s="10">
        <f>SUMIFS(df_extratos!I:I,df_extratos!F:F,"&gt;="&amp;Conciliacao!BE253,df_extratos!F:F,"&lt;"&amp;Conciliacao!BE253+1,df_extratos!G:G,"DEBITO")
+SUMIFS(df_extratos!I:I,df_extratos!F:F,"&gt;="&amp;Conciliacao!A253, df_extratos!F:F,"&lt;"&amp;Conciliacao!A253+1, df_extratos!G:G,"DEBITO")
+SUMIFS(df_extratos!I:I,df_extratos!F:F,"&gt;="&amp;Conciliacao!BF253,df_extratos!F:F,"&lt;"&amp;Conciliacao!BF253+1,df_extratos!G:G,"DEBITO")
+SUMIFS(df_extratos!I:I,df_extratos!F:F,"&gt;="&amp;Conciliacao!BG253,df_extratos!F:F,"&lt;"&amp;Conciliacao!BG253+1,df_extratos!G:G,"DEBITO")
+SUMIFS(df_extratos!I:I,df_extratos!F:F,"&gt;="&amp;Conciliacao!BH253,df_extratos!F:F,"&lt;"&amp;Conciliacao!BH253+1,df_extratos!G:G,"DEBITO")</f>
        <v/>
      </c>
      <c r="O253" s="11">
        <f>N253-SUM(J253:M253)</f>
        <v/>
      </c>
      <c r="P253" s="25">
        <f>SUMIFS(df_ajustes_conciliaco!D:D,df_ajustes_conciliaco!C:C,Conciliacao!A253)</f>
        <v/>
      </c>
      <c r="Q253" s="22">
        <f>O253+I253-P253</f>
        <v/>
      </c>
      <c r="BE253" s="20" t="n">
        <v>45909.5</v>
      </c>
      <c r="BF253" s="20" t="n">
        <v>45909.125</v>
      </c>
      <c r="BG253" s="20" t="n">
        <v>45909.54166666666</v>
      </c>
      <c r="BH253" s="20" t="n">
        <v>45909.625</v>
      </c>
    </row>
    <row r="254">
      <c r="A254" s="5">
        <f>A253+1</f>
        <v/>
      </c>
      <c r="B254" s="3">
        <f>-SUMIFS(df_extrato_zig!G:G,df_extrato_zig!E:E,Conciliacao!A254,df_extrato_zig!D:D,"Saque")-SUMIFS(df_extrato_zig!G:G,df_extrato_zig!E:E,Conciliacao!A254,df_extrato_zig!D:D,"Antecipação")</f>
        <v/>
      </c>
      <c r="C254" s="3">
        <f>SUMIFS(df_extrato_zig!E:E,df_extrato_zig!L:L,Conciliacao!A254,df_extrato_zig!F:F,"DINHEIRO")</f>
        <v/>
      </c>
      <c r="D254" s="3">
        <f>SUMIFS(view_parc_agrup!H:H,view_parc_agrup!G:G,Conciliacao!A254)</f>
        <v/>
      </c>
      <c r="E254" s="3">
        <f>SUMIFS(df_eventos!F:F,df_eventos!H:H,Conciliacao!A254)</f>
        <v/>
      </c>
      <c r="F254" s="3">
        <f>SUMIFS(df_mutuos!M:M,df_mutuos!B:B,Conciliacao!A254)</f>
        <v/>
      </c>
      <c r="G254" s="6">
        <f>SUMIFS(df_bloqueios_judiciais!G:G,df_bloqueios_judiciais!D:D,Conciliacao!A254,df_bloqueios_judiciais!G:G,"&gt;0")</f>
        <v/>
      </c>
      <c r="H254" s="7">
        <f>SUMIFS(df_extratos!I:I,df_extratos!F:F,"&gt;="&amp;Conciliacao!BE254,df_extratos!F:F,"&lt;"&amp;Conciliacao!BE254+1,df_extratos!G:G,"CREDITO")
+SUMIFS(df_extratos!I:I,df_extratos!F:F,"&gt;="&amp;Conciliacao!A254, df_extratos!F:F,"&lt;"&amp;Conciliacao!A254+1, df_extratos!G:G,"CREDITO")
+SUMIFS(df_extratos!I:I,df_extratos!F:F,"&gt;="&amp;Conciliacao!BF254,df_extratos!F:F,"&lt;"&amp;Conciliacao!BF254+1,df_extratos!G:G,"CREDITO")
+SUMIFS(df_extratos!I:I,df_extratos!F:F,"&gt;="&amp;Conciliacao!BG254,df_extratos!F:F,"&lt;"&amp;Conciliacao!BG254+1,df_extratos!G:G,"CREDITO")
+SUMIFS(df_extratos!I:I,df_extratos!F:F,"&gt;="&amp;Conciliacao!BH254,df_extratos!F:F,"&lt;"&amp;Conciliacao!BH254+1,df_extratos!G:G,"CREDITO")</f>
        <v/>
      </c>
      <c r="I254" s="9">
        <f>H254-SUM(B254:G254)</f>
        <v/>
      </c>
      <c r="J254" s="4">
        <f>SUMIFS(df_blueme_sem_parcelamento!E:E,df_blueme_sem_parcelamento!H:H,Conciliacao!A254)*(-1)</f>
        <v/>
      </c>
      <c r="K254" s="4">
        <f>SUMIFS(df_blueme_com_parcelamento!J:J,df_blueme_com_parcelamento!M:M,Conciliacao!A254)*(-1)</f>
        <v/>
      </c>
      <c r="L254" s="4">
        <f>SUMIFS(df_mutuos!N:N,df_mutuos!B:B,Conciliacao!A254)*(-1)</f>
        <v/>
      </c>
      <c r="M254" s="8">
        <f>SUMIFS(df_bloqueios_judiciais!G:G,df_bloqueios_judiciais!D:D,Conciliacao!A254,df_bloqueios_judiciais!G:G,"&lt;0")</f>
        <v/>
      </c>
      <c r="N254" s="10">
        <f>SUMIFS(df_extratos!I:I,df_extratos!F:F,"&gt;="&amp;Conciliacao!BE254,df_extratos!F:F,"&lt;"&amp;Conciliacao!BE254+1,df_extratos!G:G,"DEBITO")
+SUMIFS(df_extratos!I:I,df_extratos!F:F,"&gt;="&amp;Conciliacao!A254, df_extratos!F:F,"&lt;"&amp;Conciliacao!A254+1, df_extratos!G:G,"DEBITO")
+SUMIFS(df_extratos!I:I,df_extratos!F:F,"&gt;="&amp;Conciliacao!BF254,df_extratos!F:F,"&lt;"&amp;Conciliacao!BF254+1,df_extratos!G:G,"DEBITO")
+SUMIFS(df_extratos!I:I,df_extratos!F:F,"&gt;="&amp;Conciliacao!BG254,df_extratos!F:F,"&lt;"&amp;Conciliacao!BG254+1,df_extratos!G:G,"DEBITO")
+SUMIFS(df_extratos!I:I,df_extratos!F:F,"&gt;="&amp;Conciliacao!BH254,df_extratos!F:F,"&lt;"&amp;Conciliacao!BH254+1,df_extratos!G:G,"DEBITO")</f>
        <v/>
      </c>
      <c r="O254" s="11">
        <f>N254-SUM(J254:M254)</f>
        <v/>
      </c>
      <c r="P254" s="25">
        <f>SUMIFS(df_ajustes_conciliaco!D:D,df_ajustes_conciliaco!C:C,Conciliacao!A254)</f>
        <v/>
      </c>
      <c r="Q254" s="22">
        <f>O254+I254-P254</f>
        <v/>
      </c>
      <c r="BE254" s="20" t="n">
        <v>45910.5</v>
      </c>
      <c r="BF254" s="20" t="n">
        <v>45910.125</v>
      </c>
      <c r="BG254" s="20" t="n">
        <v>45910.54166666666</v>
      </c>
      <c r="BH254" s="20" t="n">
        <v>45910.625</v>
      </c>
    </row>
    <row r="255">
      <c r="A255" s="5">
        <f>A254+1</f>
        <v/>
      </c>
      <c r="B255" s="3">
        <f>-SUMIFS(df_extrato_zig!G:G,df_extrato_zig!E:E,Conciliacao!A255,df_extrato_zig!D:D,"Saque")-SUMIFS(df_extrato_zig!G:G,df_extrato_zig!E:E,Conciliacao!A255,df_extrato_zig!D:D,"Antecipação")</f>
        <v/>
      </c>
      <c r="C255" s="3">
        <f>SUMIFS(df_extrato_zig!E:E,df_extrato_zig!L:L,Conciliacao!A255,df_extrato_zig!F:F,"DINHEIRO")</f>
        <v/>
      </c>
      <c r="D255" s="3">
        <f>SUMIFS(view_parc_agrup!H:H,view_parc_agrup!G:G,Conciliacao!A255)</f>
        <v/>
      </c>
      <c r="E255" s="3">
        <f>SUMIFS(df_eventos!F:F,df_eventos!H:H,Conciliacao!A255)</f>
        <v/>
      </c>
      <c r="F255" s="3">
        <f>SUMIFS(df_mutuos!M:M,df_mutuos!B:B,Conciliacao!A255)</f>
        <v/>
      </c>
      <c r="G255" s="6">
        <f>SUMIFS(df_bloqueios_judiciais!G:G,df_bloqueios_judiciais!D:D,Conciliacao!A255,df_bloqueios_judiciais!G:G,"&gt;0")</f>
        <v/>
      </c>
      <c r="H255" s="7">
        <f>SUMIFS(df_extratos!I:I,df_extratos!F:F,"&gt;="&amp;Conciliacao!BE255,df_extratos!F:F,"&lt;"&amp;Conciliacao!BE255+1,df_extratos!G:G,"CREDITO")
+SUMIFS(df_extratos!I:I,df_extratos!F:F,"&gt;="&amp;Conciliacao!A255, df_extratos!F:F,"&lt;"&amp;Conciliacao!A255+1, df_extratos!G:G,"CREDITO")
+SUMIFS(df_extratos!I:I,df_extratos!F:F,"&gt;="&amp;Conciliacao!BF255,df_extratos!F:F,"&lt;"&amp;Conciliacao!BF255+1,df_extratos!G:G,"CREDITO")
+SUMIFS(df_extratos!I:I,df_extratos!F:F,"&gt;="&amp;Conciliacao!BG255,df_extratos!F:F,"&lt;"&amp;Conciliacao!BG255+1,df_extratos!G:G,"CREDITO")
+SUMIFS(df_extratos!I:I,df_extratos!F:F,"&gt;="&amp;Conciliacao!BH255,df_extratos!F:F,"&lt;"&amp;Conciliacao!BH255+1,df_extratos!G:G,"CREDITO")</f>
        <v/>
      </c>
      <c r="I255" s="9">
        <f>H255-SUM(B255:G255)</f>
        <v/>
      </c>
      <c r="J255" s="4">
        <f>SUMIFS(df_blueme_sem_parcelamento!E:E,df_blueme_sem_parcelamento!H:H,Conciliacao!A255)*(-1)</f>
        <v/>
      </c>
      <c r="K255" s="4">
        <f>SUMIFS(df_blueme_com_parcelamento!J:J,df_blueme_com_parcelamento!M:M,Conciliacao!A255)*(-1)</f>
        <v/>
      </c>
      <c r="L255" s="4">
        <f>SUMIFS(df_mutuos!N:N,df_mutuos!B:B,Conciliacao!A255)*(-1)</f>
        <v/>
      </c>
      <c r="M255" s="8">
        <f>SUMIFS(df_bloqueios_judiciais!G:G,df_bloqueios_judiciais!D:D,Conciliacao!A255,df_bloqueios_judiciais!G:G,"&lt;0")</f>
        <v/>
      </c>
      <c r="N255" s="10">
        <f>SUMIFS(df_extratos!I:I,df_extratos!F:F,"&gt;="&amp;Conciliacao!BE255,df_extratos!F:F,"&lt;"&amp;Conciliacao!BE255+1,df_extratos!G:G,"DEBITO")
+SUMIFS(df_extratos!I:I,df_extratos!F:F,"&gt;="&amp;Conciliacao!A255, df_extratos!F:F,"&lt;"&amp;Conciliacao!A255+1, df_extratos!G:G,"DEBITO")
+SUMIFS(df_extratos!I:I,df_extratos!F:F,"&gt;="&amp;Conciliacao!BF255,df_extratos!F:F,"&lt;"&amp;Conciliacao!BF255+1,df_extratos!G:G,"DEBITO")
+SUMIFS(df_extratos!I:I,df_extratos!F:F,"&gt;="&amp;Conciliacao!BG255,df_extratos!F:F,"&lt;"&amp;Conciliacao!BG255+1,df_extratos!G:G,"DEBITO")
+SUMIFS(df_extratos!I:I,df_extratos!F:F,"&gt;="&amp;Conciliacao!BH255,df_extratos!F:F,"&lt;"&amp;Conciliacao!BH255+1,df_extratos!G:G,"DEBITO")</f>
        <v/>
      </c>
      <c r="O255" s="11">
        <f>N255-SUM(J255:M255)</f>
        <v/>
      </c>
      <c r="P255" s="25">
        <f>SUMIFS(df_ajustes_conciliaco!D:D,df_ajustes_conciliaco!C:C,Conciliacao!A255)</f>
        <v/>
      </c>
      <c r="Q255" s="22">
        <f>O255+I255-P255</f>
        <v/>
      </c>
      <c r="BE255" s="20" t="n">
        <v>45911.5</v>
      </c>
      <c r="BF255" s="20" t="n">
        <v>45911.125</v>
      </c>
      <c r="BG255" s="20" t="n">
        <v>45911.54166666666</v>
      </c>
      <c r="BH255" s="20" t="n">
        <v>45911.625</v>
      </c>
    </row>
    <row r="256">
      <c r="A256" s="5">
        <f>A255+1</f>
        <v/>
      </c>
      <c r="B256" s="3">
        <f>-SUMIFS(df_extrato_zig!G:G,df_extrato_zig!E:E,Conciliacao!A256,df_extrato_zig!D:D,"Saque")-SUMIFS(df_extrato_zig!G:G,df_extrato_zig!E:E,Conciliacao!A256,df_extrato_zig!D:D,"Antecipação")</f>
        <v/>
      </c>
      <c r="C256" s="3">
        <f>SUMIFS(df_extrato_zig!E:E,df_extrato_zig!L:L,Conciliacao!A256,df_extrato_zig!F:F,"DINHEIRO")</f>
        <v/>
      </c>
      <c r="D256" s="3">
        <f>SUMIFS(view_parc_agrup!H:H,view_parc_agrup!G:G,Conciliacao!A256)</f>
        <v/>
      </c>
      <c r="E256" s="3">
        <f>SUMIFS(df_eventos!F:F,df_eventos!H:H,Conciliacao!A256)</f>
        <v/>
      </c>
      <c r="F256" s="3">
        <f>SUMIFS(df_mutuos!M:M,df_mutuos!B:B,Conciliacao!A256)</f>
        <v/>
      </c>
      <c r="G256" s="6">
        <f>SUMIFS(df_bloqueios_judiciais!G:G,df_bloqueios_judiciais!D:D,Conciliacao!A256,df_bloqueios_judiciais!G:G,"&gt;0")</f>
        <v/>
      </c>
      <c r="H256" s="7">
        <f>SUMIFS(df_extratos!I:I,df_extratos!F:F,"&gt;="&amp;Conciliacao!BE256,df_extratos!F:F,"&lt;"&amp;Conciliacao!BE256+1,df_extratos!G:G,"CREDITO")
+SUMIFS(df_extratos!I:I,df_extratos!F:F,"&gt;="&amp;Conciliacao!A256, df_extratos!F:F,"&lt;"&amp;Conciliacao!A256+1, df_extratos!G:G,"CREDITO")
+SUMIFS(df_extratos!I:I,df_extratos!F:F,"&gt;="&amp;Conciliacao!BF256,df_extratos!F:F,"&lt;"&amp;Conciliacao!BF256+1,df_extratos!G:G,"CREDITO")
+SUMIFS(df_extratos!I:I,df_extratos!F:F,"&gt;="&amp;Conciliacao!BG256,df_extratos!F:F,"&lt;"&amp;Conciliacao!BG256+1,df_extratos!G:G,"CREDITO")
+SUMIFS(df_extratos!I:I,df_extratos!F:F,"&gt;="&amp;Conciliacao!BH256,df_extratos!F:F,"&lt;"&amp;Conciliacao!BH256+1,df_extratos!G:G,"CREDITO")</f>
        <v/>
      </c>
      <c r="I256" s="9">
        <f>H256-SUM(B256:G256)</f>
        <v/>
      </c>
      <c r="J256" s="4">
        <f>SUMIFS(df_blueme_sem_parcelamento!E:E,df_blueme_sem_parcelamento!H:H,Conciliacao!A256)*(-1)</f>
        <v/>
      </c>
      <c r="K256" s="4">
        <f>SUMIFS(df_blueme_com_parcelamento!J:J,df_blueme_com_parcelamento!M:M,Conciliacao!A256)*(-1)</f>
        <v/>
      </c>
      <c r="L256" s="4">
        <f>SUMIFS(df_mutuos!N:N,df_mutuos!B:B,Conciliacao!A256)*(-1)</f>
        <v/>
      </c>
      <c r="M256" s="8">
        <f>SUMIFS(df_bloqueios_judiciais!G:G,df_bloqueios_judiciais!D:D,Conciliacao!A256,df_bloqueios_judiciais!G:G,"&lt;0")</f>
        <v/>
      </c>
      <c r="N256" s="10">
        <f>SUMIFS(df_extratos!I:I,df_extratos!F:F,"&gt;="&amp;Conciliacao!BE256,df_extratos!F:F,"&lt;"&amp;Conciliacao!BE256+1,df_extratos!G:G,"DEBITO")
+SUMIFS(df_extratos!I:I,df_extratos!F:F,"&gt;="&amp;Conciliacao!A256, df_extratos!F:F,"&lt;"&amp;Conciliacao!A256+1, df_extratos!G:G,"DEBITO")
+SUMIFS(df_extratos!I:I,df_extratos!F:F,"&gt;="&amp;Conciliacao!BF256,df_extratos!F:F,"&lt;"&amp;Conciliacao!BF256+1,df_extratos!G:G,"DEBITO")
+SUMIFS(df_extratos!I:I,df_extratos!F:F,"&gt;="&amp;Conciliacao!BG256,df_extratos!F:F,"&lt;"&amp;Conciliacao!BG256+1,df_extratos!G:G,"DEBITO")
+SUMIFS(df_extratos!I:I,df_extratos!F:F,"&gt;="&amp;Conciliacao!BH256,df_extratos!F:F,"&lt;"&amp;Conciliacao!BH256+1,df_extratos!G:G,"DEBITO")</f>
        <v/>
      </c>
      <c r="O256" s="11">
        <f>N256-SUM(J256:M256)</f>
        <v/>
      </c>
      <c r="P256" s="25">
        <f>SUMIFS(df_ajustes_conciliaco!D:D,df_ajustes_conciliaco!C:C,Conciliacao!A256)</f>
        <v/>
      </c>
      <c r="Q256" s="22">
        <f>O256+I256-P256</f>
        <v/>
      </c>
      <c r="BE256" s="20" t="n">
        <v>45912.5</v>
      </c>
      <c r="BF256" s="20" t="n">
        <v>45912.125</v>
      </c>
      <c r="BG256" s="20" t="n">
        <v>45912.54166666666</v>
      </c>
      <c r="BH256" s="20" t="n">
        <v>45912.625</v>
      </c>
    </row>
    <row r="257">
      <c r="A257" s="5">
        <f>A256+1</f>
        <v/>
      </c>
      <c r="B257" s="3">
        <f>-SUMIFS(df_extrato_zig!G:G,df_extrato_zig!E:E,Conciliacao!A257,df_extrato_zig!D:D,"Saque")-SUMIFS(df_extrato_zig!G:G,df_extrato_zig!E:E,Conciliacao!A257,df_extrato_zig!D:D,"Antecipação")</f>
        <v/>
      </c>
      <c r="C257" s="3">
        <f>SUMIFS(df_extrato_zig!E:E,df_extrato_zig!L:L,Conciliacao!A257,df_extrato_zig!F:F,"DINHEIRO")</f>
        <v/>
      </c>
      <c r="D257" s="3">
        <f>SUMIFS(view_parc_agrup!H:H,view_parc_agrup!G:G,Conciliacao!A257)</f>
        <v/>
      </c>
      <c r="E257" s="3">
        <f>SUMIFS(df_eventos!F:F,df_eventos!H:H,Conciliacao!A257)</f>
        <v/>
      </c>
      <c r="F257" s="3">
        <f>SUMIFS(df_mutuos!M:M,df_mutuos!B:B,Conciliacao!A257)</f>
        <v/>
      </c>
      <c r="G257" s="6">
        <f>SUMIFS(df_bloqueios_judiciais!G:G,df_bloqueios_judiciais!D:D,Conciliacao!A257,df_bloqueios_judiciais!G:G,"&gt;0")</f>
        <v/>
      </c>
      <c r="H257" s="7">
        <f>SUMIFS(df_extratos!I:I,df_extratos!F:F,"&gt;="&amp;Conciliacao!BE257,df_extratos!F:F,"&lt;"&amp;Conciliacao!BE257+1,df_extratos!G:G,"CREDITO")
+SUMIFS(df_extratos!I:I,df_extratos!F:F,"&gt;="&amp;Conciliacao!A257, df_extratos!F:F,"&lt;"&amp;Conciliacao!A257+1, df_extratos!G:G,"CREDITO")
+SUMIFS(df_extratos!I:I,df_extratos!F:F,"&gt;="&amp;Conciliacao!BF257,df_extratos!F:F,"&lt;"&amp;Conciliacao!BF257+1,df_extratos!G:G,"CREDITO")
+SUMIFS(df_extratos!I:I,df_extratos!F:F,"&gt;="&amp;Conciliacao!BG257,df_extratos!F:F,"&lt;"&amp;Conciliacao!BG257+1,df_extratos!G:G,"CREDITO")
+SUMIFS(df_extratos!I:I,df_extratos!F:F,"&gt;="&amp;Conciliacao!BH257,df_extratos!F:F,"&lt;"&amp;Conciliacao!BH257+1,df_extratos!G:G,"CREDITO")</f>
        <v/>
      </c>
      <c r="I257" s="9">
        <f>H257-SUM(B257:G257)</f>
        <v/>
      </c>
      <c r="J257" s="4">
        <f>SUMIFS(df_blueme_sem_parcelamento!E:E,df_blueme_sem_parcelamento!H:H,Conciliacao!A257)*(-1)</f>
        <v/>
      </c>
      <c r="K257" s="4">
        <f>SUMIFS(df_blueme_com_parcelamento!J:J,df_blueme_com_parcelamento!M:M,Conciliacao!A257)*(-1)</f>
        <v/>
      </c>
      <c r="L257" s="4">
        <f>SUMIFS(df_mutuos!N:N,df_mutuos!B:B,Conciliacao!A257)*(-1)</f>
        <v/>
      </c>
      <c r="M257" s="8">
        <f>SUMIFS(df_bloqueios_judiciais!G:G,df_bloqueios_judiciais!D:D,Conciliacao!A257,df_bloqueios_judiciais!G:G,"&lt;0")</f>
        <v/>
      </c>
      <c r="N257" s="10">
        <f>SUMIFS(df_extratos!I:I,df_extratos!F:F,"&gt;="&amp;Conciliacao!BE257,df_extratos!F:F,"&lt;"&amp;Conciliacao!BE257+1,df_extratos!G:G,"DEBITO")
+SUMIFS(df_extratos!I:I,df_extratos!F:F,"&gt;="&amp;Conciliacao!A257, df_extratos!F:F,"&lt;"&amp;Conciliacao!A257+1, df_extratos!G:G,"DEBITO")
+SUMIFS(df_extratos!I:I,df_extratos!F:F,"&gt;="&amp;Conciliacao!BF257,df_extratos!F:F,"&lt;"&amp;Conciliacao!BF257+1,df_extratos!G:G,"DEBITO")
+SUMIFS(df_extratos!I:I,df_extratos!F:F,"&gt;="&amp;Conciliacao!BG257,df_extratos!F:F,"&lt;"&amp;Conciliacao!BG257+1,df_extratos!G:G,"DEBITO")
+SUMIFS(df_extratos!I:I,df_extratos!F:F,"&gt;="&amp;Conciliacao!BH257,df_extratos!F:F,"&lt;"&amp;Conciliacao!BH257+1,df_extratos!G:G,"DEBITO")</f>
        <v/>
      </c>
      <c r="O257" s="11">
        <f>N257-SUM(J257:M257)</f>
        <v/>
      </c>
      <c r="P257" s="25">
        <f>SUMIFS(df_ajustes_conciliaco!D:D,df_ajustes_conciliaco!C:C,Conciliacao!A257)</f>
        <v/>
      </c>
      <c r="Q257" s="22">
        <f>O257+I257-P257</f>
        <v/>
      </c>
      <c r="BE257" s="20" t="n">
        <v>45913.5</v>
      </c>
      <c r="BF257" s="20" t="n">
        <v>45913.125</v>
      </c>
      <c r="BG257" s="20" t="n">
        <v>45913.54166666666</v>
      </c>
      <c r="BH257" s="20" t="n">
        <v>45913.625</v>
      </c>
    </row>
    <row r="258">
      <c r="A258" s="5">
        <f>A257+1</f>
        <v/>
      </c>
      <c r="B258" s="3">
        <f>-SUMIFS(df_extrato_zig!G:G,df_extrato_zig!E:E,Conciliacao!A258,df_extrato_zig!D:D,"Saque")-SUMIFS(df_extrato_zig!G:G,df_extrato_zig!E:E,Conciliacao!A258,df_extrato_zig!D:D,"Antecipação")</f>
        <v/>
      </c>
      <c r="C258" s="3">
        <f>SUMIFS(df_extrato_zig!E:E,df_extrato_zig!L:L,Conciliacao!A258,df_extrato_zig!F:F,"DINHEIRO")</f>
        <v/>
      </c>
      <c r="D258" s="3">
        <f>SUMIFS(view_parc_agrup!H:H,view_parc_agrup!G:G,Conciliacao!A258)</f>
        <v/>
      </c>
      <c r="E258" s="3">
        <f>SUMIFS(df_eventos!F:F,df_eventos!H:H,Conciliacao!A258)</f>
        <v/>
      </c>
      <c r="F258" s="3">
        <f>SUMIFS(df_mutuos!M:M,df_mutuos!B:B,Conciliacao!A258)</f>
        <v/>
      </c>
      <c r="G258" s="6">
        <f>SUMIFS(df_bloqueios_judiciais!G:G,df_bloqueios_judiciais!D:D,Conciliacao!A258,df_bloqueios_judiciais!G:G,"&gt;0")</f>
        <v/>
      </c>
      <c r="H258" s="7">
        <f>SUMIFS(df_extratos!I:I,df_extratos!F:F,"&gt;="&amp;Conciliacao!BE258,df_extratos!F:F,"&lt;"&amp;Conciliacao!BE258+1,df_extratos!G:G,"CREDITO")
+SUMIFS(df_extratos!I:I,df_extratos!F:F,"&gt;="&amp;Conciliacao!A258, df_extratos!F:F,"&lt;"&amp;Conciliacao!A258+1, df_extratos!G:G,"CREDITO")
+SUMIFS(df_extratos!I:I,df_extratos!F:F,"&gt;="&amp;Conciliacao!BF258,df_extratos!F:F,"&lt;"&amp;Conciliacao!BF258+1,df_extratos!G:G,"CREDITO")
+SUMIFS(df_extratos!I:I,df_extratos!F:F,"&gt;="&amp;Conciliacao!BG258,df_extratos!F:F,"&lt;"&amp;Conciliacao!BG258+1,df_extratos!G:G,"CREDITO")
+SUMIFS(df_extratos!I:I,df_extratos!F:F,"&gt;="&amp;Conciliacao!BH258,df_extratos!F:F,"&lt;"&amp;Conciliacao!BH258+1,df_extratos!G:G,"CREDITO")</f>
        <v/>
      </c>
      <c r="I258" s="9">
        <f>H258-SUM(B258:G258)</f>
        <v/>
      </c>
      <c r="J258" s="4">
        <f>SUMIFS(df_blueme_sem_parcelamento!E:E,df_blueme_sem_parcelamento!H:H,Conciliacao!A258)*(-1)</f>
        <v/>
      </c>
      <c r="K258" s="4">
        <f>SUMIFS(df_blueme_com_parcelamento!J:J,df_blueme_com_parcelamento!M:M,Conciliacao!A258)*(-1)</f>
        <v/>
      </c>
      <c r="L258" s="4">
        <f>SUMIFS(df_mutuos!N:N,df_mutuos!B:B,Conciliacao!A258)*(-1)</f>
        <v/>
      </c>
      <c r="M258" s="8">
        <f>SUMIFS(df_bloqueios_judiciais!G:G,df_bloqueios_judiciais!D:D,Conciliacao!A258,df_bloqueios_judiciais!G:G,"&lt;0")</f>
        <v/>
      </c>
      <c r="N258" s="10">
        <f>SUMIFS(df_extratos!I:I,df_extratos!F:F,"&gt;="&amp;Conciliacao!BE258,df_extratos!F:F,"&lt;"&amp;Conciliacao!BE258+1,df_extratos!G:G,"DEBITO")
+SUMIFS(df_extratos!I:I,df_extratos!F:F,"&gt;="&amp;Conciliacao!A258, df_extratos!F:F,"&lt;"&amp;Conciliacao!A258+1, df_extratos!G:G,"DEBITO")
+SUMIFS(df_extratos!I:I,df_extratos!F:F,"&gt;="&amp;Conciliacao!BF258,df_extratos!F:F,"&lt;"&amp;Conciliacao!BF258+1,df_extratos!G:G,"DEBITO")
+SUMIFS(df_extratos!I:I,df_extratos!F:F,"&gt;="&amp;Conciliacao!BG258,df_extratos!F:F,"&lt;"&amp;Conciliacao!BG258+1,df_extratos!G:G,"DEBITO")
+SUMIFS(df_extratos!I:I,df_extratos!F:F,"&gt;="&amp;Conciliacao!BH258,df_extratos!F:F,"&lt;"&amp;Conciliacao!BH258+1,df_extratos!G:G,"DEBITO")</f>
        <v/>
      </c>
      <c r="O258" s="11">
        <f>N258-SUM(J258:M258)</f>
        <v/>
      </c>
      <c r="P258" s="25">
        <f>SUMIFS(df_ajustes_conciliaco!D:D,df_ajustes_conciliaco!C:C,Conciliacao!A258)</f>
        <v/>
      </c>
      <c r="Q258" s="22">
        <f>O258+I258-P258</f>
        <v/>
      </c>
      <c r="BE258" s="20" t="n">
        <v>45914.5</v>
      </c>
      <c r="BF258" s="20" t="n">
        <v>45914.125</v>
      </c>
      <c r="BG258" s="20" t="n">
        <v>45914.54166666666</v>
      </c>
      <c r="BH258" s="20" t="n">
        <v>45914.625</v>
      </c>
    </row>
    <row r="259">
      <c r="A259" s="5">
        <f>A258+1</f>
        <v/>
      </c>
      <c r="B259" s="3">
        <f>-SUMIFS(df_extrato_zig!G:G,df_extrato_zig!E:E,Conciliacao!A259,df_extrato_zig!D:D,"Saque")-SUMIFS(df_extrato_zig!G:G,df_extrato_zig!E:E,Conciliacao!A259,df_extrato_zig!D:D,"Antecipação")</f>
        <v/>
      </c>
      <c r="C259" s="3">
        <f>SUMIFS(df_extrato_zig!E:E,df_extrato_zig!L:L,Conciliacao!A259,df_extrato_zig!F:F,"DINHEIRO")</f>
        <v/>
      </c>
      <c r="D259" s="3">
        <f>SUMIFS(view_parc_agrup!H:H,view_parc_agrup!G:G,Conciliacao!A259)</f>
        <v/>
      </c>
      <c r="E259" s="3">
        <f>SUMIFS(df_eventos!F:F,df_eventos!H:H,Conciliacao!A259)</f>
        <v/>
      </c>
      <c r="F259" s="3">
        <f>SUMIFS(df_mutuos!M:M,df_mutuos!B:B,Conciliacao!A259)</f>
        <v/>
      </c>
      <c r="G259" s="6">
        <f>SUMIFS(df_bloqueios_judiciais!G:G,df_bloqueios_judiciais!D:D,Conciliacao!A259,df_bloqueios_judiciais!G:G,"&gt;0")</f>
        <v/>
      </c>
      <c r="H259" s="7">
        <f>SUMIFS(df_extratos!I:I,df_extratos!F:F,"&gt;="&amp;Conciliacao!BE259,df_extratos!F:F,"&lt;"&amp;Conciliacao!BE259+1,df_extratos!G:G,"CREDITO")
+SUMIFS(df_extratos!I:I,df_extratos!F:F,"&gt;="&amp;Conciliacao!A259, df_extratos!F:F,"&lt;"&amp;Conciliacao!A259+1, df_extratos!G:G,"CREDITO")
+SUMIFS(df_extratos!I:I,df_extratos!F:F,"&gt;="&amp;Conciliacao!BF259,df_extratos!F:F,"&lt;"&amp;Conciliacao!BF259+1,df_extratos!G:G,"CREDITO")
+SUMIFS(df_extratos!I:I,df_extratos!F:F,"&gt;="&amp;Conciliacao!BG259,df_extratos!F:F,"&lt;"&amp;Conciliacao!BG259+1,df_extratos!G:G,"CREDITO")
+SUMIFS(df_extratos!I:I,df_extratos!F:F,"&gt;="&amp;Conciliacao!BH259,df_extratos!F:F,"&lt;"&amp;Conciliacao!BH259+1,df_extratos!G:G,"CREDITO")</f>
        <v/>
      </c>
      <c r="I259" s="9">
        <f>H259-SUM(B259:G259)</f>
        <v/>
      </c>
      <c r="J259" s="4">
        <f>SUMIFS(df_blueme_sem_parcelamento!E:E,df_blueme_sem_parcelamento!H:H,Conciliacao!A259)*(-1)</f>
        <v/>
      </c>
      <c r="K259" s="4">
        <f>SUMIFS(df_blueme_com_parcelamento!J:J,df_blueme_com_parcelamento!M:M,Conciliacao!A259)*(-1)</f>
        <v/>
      </c>
      <c r="L259" s="4">
        <f>SUMIFS(df_mutuos!N:N,df_mutuos!B:B,Conciliacao!A259)*(-1)</f>
        <v/>
      </c>
      <c r="M259" s="8">
        <f>SUMIFS(df_bloqueios_judiciais!G:G,df_bloqueios_judiciais!D:D,Conciliacao!A259,df_bloqueios_judiciais!G:G,"&lt;0")</f>
        <v/>
      </c>
      <c r="N259" s="10">
        <f>SUMIFS(df_extratos!I:I,df_extratos!F:F,"&gt;="&amp;Conciliacao!BE259,df_extratos!F:F,"&lt;"&amp;Conciliacao!BE259+1,df_extratos!G:G,"DEBITO")
+SUMIFS(df_extratos!I:I,df_extratos!F:F,"&gt;="&amp;Conciliacao!A259, df_extratos!F:F,"&lt;"&amp;Conciliacao!A259+1, df_extratos!G:G,"DEBITO")
+SUMIFS(df_extratos!I:I,df_extratos!F:F,"&gt;="&amp;Conciliacao!BF259,df_extratos!F:F,"&lt;"&amp;Conciliacao!BF259+1,df_extratos!G:G,"DEBITO")
+SUMIFS(df_extratos!I:I,df_extratos!F:F,"&gt;="&amp;Conciliacao!BG259,df_extratos!F:F,"&lt;"&amp;Conciliacao!BG259+1,df_extratos!G:G,"DEBITO")
+SUMIFS(df_extratos!I:I,df_extratos!F:F,"&gt;="&amp;Conciliacao!BH259,df_extratos!F:F,"&lt;"&amp;Conciliacao!BH259+1,df_extratos!G:G,"DEBITO")</f>
        <v/>
      </c>
      <c r="O259" s="11">
        <f>N259-SUM(J259:M259)</f>
        <v/>
      </c>
      <c r="P259" s="25">
        <f>SUMIFS(df_ajustes_conciliaco!D:D,df_ajustes_conciliaco!C:C,Conciliacao!A259)</f>
        <v/>
      </c>
      <c r="Q259" s="22">
        <f>O259+I259-P259</f>
        <v/>
      </c>
      <c r="BE259" s="20" t="n">
        <v>45915.5</v>
      </c>
      <c r="BF259" s="20" t="n">
        <v>45915.125</v>
      </c>
      <c r="BG259" s="20" t="n">
        <v>45915.54166666666</v>
      </c>
      <c r="BH259" s="20" t="n">
        <v>45915.625</v>
      </c>
    </row>
    <row r="260">
      <c r="A260" s="5">
        <f>A259+1</f>
        <v/>
      </c>
      <c r="B260" s="3">
        <f>-SUMIFS(df_extrato_zig!G:G,df_extrato_zig!E:E,Conciliacao!A260,df_extrato_zig!D:D,"Saque")-SUMIFS(df_extrato_zig!G:G,df_extrato_zig!E:E,Conciliacao!A260,df_extrato_zig!D:D,"Antecipação")</f>
        <v/>
      </c>
      <c r="C260" s="3">
        <f>SUMIFS(df_extrato_zig!E:E,df_extrato_zig!L:L,Conciliacao!A260,df_extrato_zig!F:F,"DINHEIRO")</f>
        <v/>
      </c>
      <c r="D260" s="3">
        <f>SUMIFS(view_parc_agrup!H:H,view_parc_agrup!G:G,Conciliacao!A260)</f>
        <v/>
      </c>
      <c r="E260" s="3">
        <f>SUMIFS(df_eventos!F:F,df_eventos!H:H,Conciliacao!A260)</f>
        <v/>
      </c>
      <c r="F260" s="3">
        <f>SUMIFS(df_mutuos!M:M,df_mutuos!B:B,Conciliacao!A260)</f>
        <v/>
      </c>
      <c r="G260" s="6">
        <f>SUMIFS(df_bloqueios_judiciais!G:G,df_bloqueios_judiciais!D:D,Conciliacao!A260,df_bloqueios_judiciais!G:G,"&gt;0")</f>
        <v/>
      </c>
      <c r="H260" s="7">
        <f>SUMIFS(df_extratos!I:I,df_extratos!F:F,"&gt;="&amp;Conciliacao!BE260,df_extratos!F:F,"&lt;"&amp;Conciliacao!BE260+1,df_extratos!G:G,"CREDITO")
+SUMIFS(df_extratos!I:I,df_extratos!F:F,"&gt;="&amp;Conciliacao!A260, df_extratos!F:F,"&lt;"&amp;Conciliacao!A260+1, df_extratos!G:G,"CREDITO")
+SUMIFS(df_extratos!I:I,df_extratos!F:F,"&gt;="&amp;Conciliacao!BF260,df_extratos!F:F,"&lt;"&amp;Conciliacao!BF260+1,df_extratos!G:G,"CREDITO")
+SUMIFS(df_extratos!I:I,df_extratos!F:F,"&gt;="&amp;Conciliacao!BG260,df_extratos!F:F,"&lt;"&amp;Conciliacao!BG260+1,df_extratos!G:G,"CREDITO")
+SUMIFS(df_extratos!I:I,df_extratos!F:F,"&gt;="&amp;Conciliacao!BH260,df_extratos!F:F,"&lt;"&amp;Conciliacao!BH260+1,df_extratos!G:G,"CREDITO")</f>
        <v/>
      </c>
      <c r="I260" s="9">
        <f>H260-SUM(B260:G260)</f>
        <v/>
      </c>
      <c r="J260" s="4">
        <f>SUMIFS(df_blueme_sem_parcelamento!E:E,df_blueme_sem_parcelamento!H:H,Conciliacao!A260)*(-1)</f>
        <v/>
      </c>
      <c r="K260" s="4">
        <f>SUMIFS(df_blueme_com_parcelamento!J:J,df_blueme_com_parcelamento!M:M,Conciliacao!A260)*(-1)</f>
        <v/>
      </c>
      <c r="L260" s="4">
        <f>SUMIFS(df_mutuos!N:N,df_mutuos!B:B,Conciliacao!A260)*(-1)</f>
        <v/>
      </c>
      <c r="M260" s="8">
        <f>SUMIFS(df_bloqueios_judiciais!G:G,df_bloqueios_judiciais!D:D,Conciliacao!A260,df_bloqueios_judiciais!G:G,"&lt;0")</f>
        <v/>
      </c>
      <c r="N260" s="10">
        <f>SUMIFS(df_extratos!I:I,df_extratos!F:F,"&gt;="&amp;Conciliacao!BE260,df_extratos!F:F,"&lt;"&amp;Conciliacao!BE260+1,df_extratos!G:G,"DEBITO")
+SUMIFS(df_extratos!I:I,df_extratos!F:F,"&gt;="&amp;Conciliacao!A260, df_extratos!F:F,"&lt;"&amp;Conciliacao!A260+1, df_extratos!G:G,"DEBITO")
+SUMIFS(df_extratos!I:I,df_extratos!F:F,"&gt;="&amp;Conciliacao!BF260,df_extratos!F:F,"&lt;"&amp;Conciliacao!BF260+1,df_extratos!G:G,"DEBITO")
+SUMIFS(df_extratos!I:I,df_extratos!F:F,"&gt;="&amp;Conciliacao!BG260,df_extratos!F:F,"&lt;"&amp;Conciliacao!BG260+1,df_extratos!G:G,"DEBITO")
+SUMIFS(df_extratos!I:I,df_extratos!F:F,"&gt;="&amp;Conciliacao!BH260,df_extratos!F:F,"&lt;"&amp;Conciliacao!BH260+1,df_extratos!G:G,"DEBITO")</f>
        <v/>
      </c>
      <c r="O260" s="11">
        <f>N260-SUM(J260:M260)</f>
        <v/>
      </c>
      <c r="P260" s="25">
        <f>SUMIFS(df_ajustes_conciliaco!D:D,df_ajustes_conciliaco!C:C,Conciliacao!A260)</f>
        <v/>
      </c>
      <c r="Q260" s="22">
        <f>O260+I260-P260</f>
        <v/>
      </c>
      <c r="BE260" s="20" t="n">
        <v>45916.5</v>
      </c>
      <c r="BF260" s="20" t="n">
        <v>45916.125</v>
      </c>
      <c r="BG260" s="20" t="n">
        <v>45916.54166666666</v>
      </c>
      <c r="BH260" s="20" t="n">
        <v>45916.625</v>
      </c>
    </row>
    <row r="261">
      <c r="A261" s="5">
        <f>A260+1</f>
        <v/>
      </c>
      <c r="B261" s="3">
        <f>-SUMIFS(df_extrato_zig!G:G,df_extrato_zig!E:E,Conciliacao!A261,df_extrato_zig!D:D,"Saque")-SUMIFS(df_extrato_zig!G:G,df_extrato_zig!E:E,Conciliacao!A261,df_extrato_zig!D:D,"Antecipação")</f>
        <v/>
      </c>
      <c r="C261" s="3">
        <f>SUMIFS(df_extrato_zig!E:E,df_extrato_zig!L:L,Conciliacao!A261,df_extrato_zig!F:F,"DINHEIRO")</f>
        <v/>
      </c>
      <c r="D261" s="3">
        <f>SUMIFS(view_parc_agrup!H:H,view_parc_agrup!G:G,Conciliacao!A261)</f>
        <v/>
      </c>
      <c r="E261" s="3">
        <f>SUMIFS(df_eventos!F:F,df_eventos!H:H,Conciliacao!A261)</f>
        <v/>
      </c>
      <c r="F261" s="3">
        <f>SUMIFS(df_mutuos!M:M,df_mutuos!B:B,Conciliacao!A261)</f>
        <v/>
      </c>
      <c r="G261" s="6">
        <f>SUMIFS(df_bloqueios_judiciais!G:G,df_bloqueios_judiciais!D:D,Conciliacao!A261,df_bloqueios_judiciais!G:G,"&gt;0")</f>
        <v/>
      </c>
      <c r="H261" s="7">
        <f>SUMIFS(df_extratos!I:I,df_extratos!F:F,"&gt;="&amp;Conciliacao!BE261,df_extratos!F:F,"&lt;"&amp;Conciliacao!BE261+1,df_extratos!G:G,"CREDITO")
+SUMIFS(df_extratos!I:I,df_extratos!F:F,"&gt;="&amp;Conciliacao!A261, df_extratos!F:F,"&lt;"&amp;Conciliacao!A261+1, df_extratos!G:G,"CREDITO")
+SUMIFS(df_extratos!I:I,df_extratos!F:F,"&gt;="&amp;Conciliacao!BF261,df_extratos!F:F,"&lt;"&amp;Conciliacao!BF261+1,df_extratos!G:G,"CREDITO")
+SUMIFS(df_extratos!I:I,df_extratos!F:F,"&gt;="&amp;Conciliacao!BG261,df_extratos!F:F,"&lt;"&amp;Conciliacao!BG261+1,df_extratos!G:G,"CREDITO")
+SUMIFS(df_extratos!I:I,df_extratos!F:F,"&gt;="&amp;Conciliacao!BH261,df_extratos!F:F,"&lt;"&amp;Conciliacao!BH261+1,df_extratos!G:G,"CREDITO")</f>
        <v/>
      </c>
      <c r="I261" s="9">
        <f>H261-SUM(B261:G261)</f>
        <v/>
      </c>
      <c r="J261" s="4">
        <f>SUMIFS(df_blueme_sem_parcelamento!E:E,df_blueme_sem_parcelamento!H:H,Conciliacao!A261)*(-1)</f>
        <v/>
      </c>
      <c r="K261" s="4">
        <f>SUMIFS(df_blueme_com_parcelamento!J:J,df_blueme_com_parcelamento!M:M,Conciliacao!A261)*(-1)</f>
        <v/>
      </c>
      <c r="L261" s="4">
        <f>SUMIFS(df_mutuos!N:N,df_mutuos!B:B,Conciliacao!A261)*(-1)</f>
        <v/>
      </c>
      <c r="M261" s="8">
        <f>SUMIFS(df_bloqueios_judiciais!G:G,df_bloqueios_judiciais!D:D,Conciliacao!A261,df_bloqueios_judiciais!G:G,"&lt;0")</f>
        <v/>
      </c>
      <c r="N261" s="10">
        <f>SUMIFS(df_extratos!I:I,df_extratos!F:F,"&gt;="&amp;Conciliacao!BE261,df_extratos!F:F,"&lt;"&amp;Conciliacao!BE261+1,df_extratos!G:G,"DEBITO")
+SUMIFS(df_extratos!I:I,df_extratos!F:F,"&gt;="&amp;Conciliacao!A261, df_extratos!F:F,"&lt;"&amp;Conciliacao!A261+1, df_extratos!G:G,"DEBITO")
+SUMIFS(df_extratos!I:I,df_extratos!F:F,"&gt;="&amp;Conciliacao!BF261,df_extratos!F:F,"&lt;"&amp;Conciliacao!BF261+1,df_extratos!G:G,"DEBITO")
+SUMIFS(df_extratos!I:I,df_extratos!F:F,"&gt;="&amp;Conciliacao!BG261,df_extratos!F:F,"&lt;"&amp;Conciliacao!BG261+1,df_extratos!G:G,"DEBITO")
+SUMIFS(df_extratos!I:I,df_extratos!F:F,"&gt;="&amp;Conciliacao!BH261,df_extratos!F:F,"&lt;"&amp;Conciliacao!BH261+1,df_extratos!G:G,"DEBITO")</f>
        <v/>
      </c>
      <c r="O261" s="11">
        <f>N261-SUM(J261:M261)</f>
        <v/>
      </c>
      <c r="P261" s="25">
        <f>SUMIFS(df_ajustes_conciliaco!D:D,df_ajustes_conciliaco!C:C,Conciliacao!A261)</f>
        <v/>
      </c>
      <c r="Q261" s="22">
        <f>O261+I261-P261</f>
        <v/>
      </c>
      <c r="BE261" s="20" t="n">
        <v>45917.5</v>
      </c>
      <c r="BF261" s="20" t="n">
        <v>45917.125</v>
      </c>
      <c r="BG261" s="20" t="n">
        <v>45917.54166666666</v>
      </c>
      <c r="BH261" s="20" t="n">
        <v>45917.625</v>
      </c>
    </row>
    <row r="262">
      <c r="A262" s="5">
        <f>A261+1</f>
        <v/>
      </c>
      <c r="B262" s="3">
        <f>-SUMIFS(df_extrato_zig!G:G,df_extrato_zig!E:E,Conciliacao!A262,df_extrato_zig!D:D,"Saque")-SUMIFS(df_extrato_zig!G:G,df_extrato_zig!E:E,Conciliacao!A262,df_extrato_zig!D:D,"Antecipação")</f>
        <v/>
      </c>
      <c r="C262" s="3">
        <f>SUMIFS(df_extrato_zig!E:E,df_extrato_zig!L:L,Conciliacao!A262,df_extrato_zig!F:F,"DINHEIRO")</f>
        <v/>
      </c>
      <c r="D262" s="3">
        <f>SUMIFS(view_parc_agrup!H:H,view_parc_agrup!G:G,Conciliacao!A262)</f>
        <v/>
      </c>
      <c r="E262" s="3">
        <f>SUMIFS(df_eventos!F:F,df_eventos!H:H,Conciliacao!A262)</f>
        <v/>
      </c>
      <c r="F262" s="3">
        <f>SUMIFS(df_mutuos!M:M,df_mutuos!B:B,Conciliacao!A262)</f>
        <v/>
      </c>
      <c r="G262" s="6">
        <f>SUMIFS(df_bloqueios_judiciais!G:G,df_bloqueios_judiciais!D:D,Conciliacao!A262,df_bloqueios_judiciais!G:G,"&gt;0")</f>
        <v/>
      </c>
      <c r="H262" s="7">
        <f>SUMIFS(df_extratos!I:I,df_extratos!F:F,"&gt;="&amp;Conciliacao!BE262,df_extratos!F:F,"&lt;"&amp;Conciliacao!BE262+1,df_extratos!G:G,"CREDITO")
+SUMIFS(df_extratos!I:I,df_extratos!F:F,"&gt;="&amp;Conciliacao!A262, df_extratos!F:F,"&lt;"&amp;Conciliacao!A262+1, df_extratos!G:G,"CREDITO")
+SUMIFS(df_extratos!I:I,df_extratos!F:F,"&gt;="&amp;Conciliacao!BF262,df_extratos!F:F,"&lt;"&amp;Conciliacao!BF262+1,df_extratos!G:G,"CREDITO")
+SUMIFS(df_extratos!I:I,df_extratos!F:F,"&gt;="&amp;Conciliacao!BG262,df_extratos!F:F,"&lt;"&amp;Conciliacao!BG262+1,df_extratos!G:G,"CREDITO")
+SUMIFS(df_extratos!I:I,df_extratos!F:F,"&gt;="&amp;Conciliacao!BH262,df_extratos!F:F,"&lt;"&amp;Conciliacao!BH262+1,df_extratos!G:G,"CREDITO")</f>
        <v/>
      </c>
      <c r="I262" s="9">
        <f>H262-SUM(B262:G262)</f>
        <v/>
      </c>
      <c r="J262" s="4">
        <f>SUMIFS(df_blueme_sem_parcelamento!E:E,df_blueme_sem_parcelamento!H:H,Conciliacao!A262)*(-1)</f>
        <v/>
      </c>
      <c r="K262" s="4">
        <f>SUMIFS(df_blueme_com_parcelamento!J:J,df_blueme_com_parcelamento!M:M,Conciliacao!A262)*(-1)</f>
        <v/>
      </c>
      <c r="L262" s="4">
        <f>SUMIFS(df_mutuos!N:N,df_mutuos!B:B,Conciliacao!A262)*(-1)</f>
        <v/>
      </c>
      <c r="M262" s="8">
        <f>SUMIFS(df_bloqueios_judiciais!G:G,df_bloqueios_judiciais!D:D,Conciliacao!A262,df_bloqueios_judiciais!G:G,"&lt;0")</f>
        <v/>
      </c>
      <c r="N262" s="10">
        <f>SUMIFS(df_extratos!I:I,df_extratos!F:F,"&gt;="&amp;Conciliacao!BE262,df_extratos!F:F,"&lt;"&amp;Conciliacao!BE262+1,df_extratos!G:G,"DEBITO")
+SUMIFS(df_extratos!I:I,df_extratos!F:F,"&gt;="&amp;Conciliacao!A262, df_extratos!F:F,"&lt;"&amp;Conciliacao!A262+1, df_extratos!G:G,"DEBITO")
+SUMIFS(df_extratos!I:I,df_extratos!F:F,"&gt;="&amp;Conciliacao!BF262,df_extratos!F:F,"&lt;"&amp;Conciliacao!BF262+1,df_extratos!G:G,"DEBITO")
+SUMIFS(df_extratos!I:I,df_extratos!F:F,"&gt;="&amp;Conciliacao!BG262,df_extratos!F:F,"&lt;"&amp;Conciliacao!BG262+1,df_extratos!G:G,"DEBITO")
+SUMIFS(df_extratos!I:I,df_extratos!F:F,"&gt;="&amp;Conciliacao!BH262,df_extratos!F:F,"&lt;"&amp;Conciliacao!BH262+1,df_extratos!G:G,"DEBITO")</f>
        <v/>
      </c>
      <c r="O262" s="11">
        <f>N262-SUM(J262:M262)</f>
        <v/>
      </c>
      <c r="P262" s="25">
        <f>SUMIFS(df_ajustes_conciliaco!D:D,df_ajustes_conciliaco!C:C,Conciliacao!A262)</f>
        <v/>
      </c>
      <c r="Q262" s="22">
        <f>O262+I262-P262</f>
        <v/>
      </c>
      <c r="BE262" s="20" t="n">
        <v>45918.5</v>
      </c>
      <c r="BF262" s="20" t="n">
        <v>45918.125</v>
      </c>
      <c r="BG262" s="20" t="n">
        <v>45918.54166666666</v>
      </c>
      <c r="BH262" s="20" t="n">
        <v>45918.625</v>
      </c>
    </row>
    <row r="263">
      <c r="A263" s="5">
        <f>A262+1</f>
        <v/>
      </c>
      <c r="B263" s="3">
        <f>-SUMIFS(df_extrato_zig!G:G,df_extrato_zig!E:E,Conciliacao!A263,df_extrato_zig!D:D,"Saque")-SUMIFS(df_extrato_zig!G:G,df_extrato_zig!E:E,Conciliacao!A263,df_extrato_zig!D:D,"Antecipação")</f>
        <v/>
      </c>
      <c r="C263" s="3">
        <f>SUMIFS(df_extrato_zig!E:E,df_extrato_zig!L:L,Conciliacao!A263,df_extrato_zig!F:F,"DINHEIRO")</f>
        <v/>
      </c>
      <c r="D263" s="3">
        <f>SUMIFS(view_parc_agrup!H:H,view_parc_agrup!G:G,Conciliacao!A263)</f>
        <v/>
      </c>
      <c r="E263" s="3">
        <f>SUMIFS(df_eventos!F:F,df_eventos!H:H,Conciliacao!A263)</f>
        <v/>
      </c>
      <c r="F263" s="3">
        <f>SUMIFS(df_mutuos!M:M,df_mutuos!B:B,Conciliacao!A263)</f>
        <v/>
      </c>
      <c r="G263" s="6">
        <f>SUMIFS(df_bloqueios_judiciais!G:G,df_bloqueios_judiciais!D:D,Conciliacao!A263,df_bloqueios_judiciais!G:G,"&gt;0")</f>
        <v/>
      </c>
      <c r="H263" s="7">
        <f>SUMIFS(df_extratos!I:I,df_extratos!F:F,"&gt;="&amp;Conciliacao!BE263,df_extratos!F:F,"&lt;"&amp;Conciliacao!BE263+1,df_extratos!G:G,"CREDITO")
+SUMIFS(df_extratos!I:I,df_extratos!F:F,"&gt;="&amp;Conciliacao!A263, df_extratos!F:F,"&lt;"&amp;Conciliacao!A263+1, df_extratos!G:G,"CREDITO")
+SUMIFS(df_extratos!I:I,df_extratos!F:F,"&gt;="&amp;Conciliacao!BF263,df_extratos!F:F,"&lt;"&amp;Conciliacao!BF263+1,df_extratos!G:G,"CREDITO")
+SUMIFS(df_extratos!I:I,df_extratos!F:F,"&gt;="&amp;Conciliacao!BG263,df_extratos!F:F,"&lt;"&amp;Conciliacao!BG263+1,df_extratos!G:G,"CREDITO")
+SUMIFS(df_extratos!I:I,df_extratos!F:F,"&gt;="&amp;Conciliacao!BH263,df_extratos!F:F,"&lt;"&amp;Conciliacao!BH263+1,df_extratos!G:G,"CREDITO")</f>
        <v/>
      </c>
      <c r="I263" s="9">
        <f>H263-SUM(B263:G263)</f>
        <v/>
      </c>
      <c r="J263" s="4">
        <f>SUMIFS(df_blueme_sem_parcelamento!E:E,df_blueme_sem_parcelamento!H:H,Conciliacao!A263)*(-1)</f>
        <v/>
      </c>
      <c r="K263" s="4">
        <f>SUMIFS(df_blueme_com_parcelamento!J:J,df_blueme_com_parcelamento!M:M,Conciliacao!A263)*(-1)</f>
        <v/>
      </c>
      <c r="L263" s="4">
        <f>SUMIFS(df_mutuos!N:N,df_mutuos!B:B,Conciliacao!A263)*(-1)</f>
        <v/>
      </c>
      <c r="M263" s="8">
        <f>SUMIFS(df_bloqueios_judiciais!G:G,df_bloqueios_judiciais!D:D,Conciliacao!A263,df_bloqueios_judiciais!G:G,"&lt;0")</f>
        <v/>
      </c>
      <c r="N263" s="10">
        <f>SUMIFS(df_extratos!I:I,df_extratos!F:F,"&gt;="&amp;Conciliacao!BE263,df_extratos!F:F,"&lt;"&amp;Conciliacao!BE263+1,df_extratos!G:G,"DEBITO")
+SUMIFS(df_extratos!I:I,df_extratos!F:F,"&gt;="&amp;Conciliacao!A263, df_extratos!F:F,"&lt;"&amp;Conciliacao!A263+1, df_extratos!G:G,"DEBITO")
+SUMIFS(df_extratos!I:I,df_extratos!F:F,"&gt;="&amp;Conciliacao!BF263,df_extratos!F:F,"&lt;"&amp;Conciliacao!BF263+1,df_extratos!G:G,"DEBITO")
+SUMIFS(df_extratos!I:I,df_extratos!F:F,"&gt;="&amp;Conciliacao!BG263,df_extratos!F:F,"&lt;"&amp;Conciliacao!BG263+1,df_extratos!G:G,"DEBITO")
+SUMIFS(df_extratos!I:I,df_extratos!F:F,"&gt;="&amp;Conciliacao!BH263,df_extratos!F:F,"&lt;"&amp;Conciliacao!BH263+1,df_extratos!G:G,"DEBITO")</f>
        <v/>
      </c>
      <c r="O263" s="11">
        <f>N263-SUM(J263:M263)</f>
        <v/>
      </c>
      <c r="P263" s="25">
        <f>SUMIFS(df_ajustes_conciliaco!D:D,df_ajustes_conciliaco!C:C,Conciliacao!A263)</f>
        <v/>
      </c>
      <c r="Q263" s="22">
        <f>O263+I263-P263</f>
        <v/>
      </c>
      <c r="BE263" s="20" t="n">
        <v>45919.5</v>
      </c>
      <c r="BF263" s="20" t="n">
        <v>45919.125</v>
      </c>
      <c r="BG263" s="20" t="n">
        <v>45919.54166666666</v>
      </c>
      <c r="BH263" s="20" t="n">
        <v>45919.625</v>
      </c>
    </row>
    <row r="264">
      <c r="A264" s="5">
        <f>A263+1</f>
        <v/>
      </c>
      <c r="B264" s="3">
        <f>-SUMIFS(df_extrato_zig!G:G,df_extrato_zig!E:E,Conciliacao!A264,df_extrato_zig!D:D,"Saque")-SUMIFS(df_extrato_zig!G:G,df_extrato_zig!E:E,Conciliacao!A264,df_extrato_zig!D:D,"Antecipação")</f>
        <v/>
      </c>
      <c r="C264" s="3">
        <f>SUMIFS(df_extrato_zig!E:E,df_extrato_zig!L:L,Conciliacao!A264,df_extrato_zig!F:F,"DINHEIRO")</f>
        <v/>
      </c>
      <c r="D264" s="3">
        <f>SUMIFS(view_parc_agrup!H:H,view_parc_agrup!G:G,Conciliacao!A264)</f>
        <v/>
      </c>
      <c r="E264" s="3">
        <f>SUMIFS(df_eventos!F:F,df_eventos!H:H,Conciliacao!A264)</f>
        <v/>
      </c>
      <c r="F264" s="3">
        <f>SUMIFS(df_mutuos!M:M,df_mutuos!B:B,Conciliacao!A264)</f>
        <v/>
      </c>
      <c r="G264" s="6">
        <f>SUMIFS(df_bloqueios_judiciais!G:G,df_bloqueios_judiciais!D:D,Conciliacao!A264,df_bloqueios_judiciais!G:G,"&gt;0")</f>
        <v/>
      </c>
      <c r="H264" s="7">
        <f>SUMIFS(df_extratos!I:I,df_extratos!F:F,"&gt;="&amp;Conciliacao!BE264,df_extratos!F:F,"&lt;"&amp;Conciliacao!BE264+1,df_extratos!G:G,"CREDITO")
+SUMIFS(df_extratos!I:I,df_extratos!F:F,"&gt;="&amp;Conciliacao!A264, df_extratos!F:F,"&lt;"&amp;Conciliacao!A264+1, df_extratos!G:G,"CREDITO")
+SUMIFS(df_extratos!I:I,df_extratos!F:F,"&gt;="&amp;Conciliacao!BF264,df_extratos!F:F,"&lt;"&amp;Conciliacao!BF264+1,df_extratos!G:G,"CREDITO")
+SUMIFS(df_extratos!I:I,df_extratos!F:F,"&gt;="&amp;Conciliacao!BG264,df_extratos!F:F,"&lt;"&amp;Conciliacao!BG264+1,df_extratos!G:G,"CREDITO")
+SUMIFS(df_extratos!I:I,df_extratos!F:F,"&gt;="&amp;Conciliacao!BH264,df_extratos!F:F,"&lt;"&amp;Conciliacao!BH264+1,df_extratos!G:G,"CREDITO")</f>
        <v/>
      </c>
      <c r="I264" s="9">
        <f>H264-SUM(B264:G264)</f>
        <v/>
      </c>
      <c r="J264" s="4">
        <f>SUMIFS(df_blueme_sem_parcelamento!E:E,df_blueme_sem_parcelamento!H:H,Conciliacao!A264)*(-1)</f>
        <v/>
      </c>
      <c r="K264" s="4">
        <f>SUMIFS(df_blueme_com_parcelamento!J:J,df_blueme_com_parcelamento!M:M,Conciliacao!A264)*(-1)</f>
        <v/>
      </c>
      <c r="L264" s="4">
        <f>SUMIFS(df_mutuos!N:N,df_mutuos!B:B,Conciliacao!A264)*(-1)</f>
        <v/>
      </c>
      <c r="M264" s="8">
        <f>SUMIFS(df_bloqueios_judiciais!G:G,df_bloqueios_judiciais!D:D,Conciliacao!A264,df_bloqueios_judiciais!G:G,"&lt;0")</f>
        <v/>
      </c>
      <c r="N264" s="10">
        <f>SUMIFS(df_extratos!I:I,df_extratos!F:F,"&gt;="&amp;Conciliacao!BE264,df_extratos!F:F,"&lt;"&amp;Conciliacao!BE264+1,df_extratos!G:G,"DEBITO")
+SUMIFS(df_extratos!I:I,df_extratos!F:F,"&gt;="&amp;Conciliacao!A264, df_extratos!F:F,"&lt;"&amp;Conciliacao!A264+1, df_extratos!G:G,"DEBITO")
+SUMIFS(df_extratos!I:I,df_extratos!F:F,"&gt;="&amp;Conciliacao!BF264,df_extratos!F:F,"&lt;"&amp;Conciliacao!BF264+1,df_extratos!G:G,"DEBITO")
+SUMIFS(df_extratos!I:I,df_extratos!F:F,"&gt;="&amp;Conciliacao!BG264,df_extratos!F:F,"&lt;"&amp;Conciliacao!BG264+1,df_extratos!G:G,"DEBITO")
+SUMIFS(df_extratos!I:I,df_extratos!F:F,"&gt;="&amp;Conciliacao!BH264,df_extratos!F:F,"&lt;"&amp;Conciliacao!BH264+1,df_extratos!G:G,"DEBITO")</f>
        <v/>
      </c>
      <c r="O264" s="11">
        <f>N264-SUM(J264:M264)</f>
        <v/>
      </c>
      <c r="P264" s="25">
        <f>SUMIFS(df_ajustes_conciliaco!D:D,df_ajustes_conciliaco!C:C,Conciliacao!A264)</f>
        <v/>
      </c>
      <c r="Q264" s="22">
        <f>O264+I264-P264</f>
        <v/>
      </c>
      <c r="BE264" s="20" t="n">
        <v>45920.5</v>
      </c>
      <c r="BF264" s="20" t="n">
        <v>45920.125</v>
      </c>
      <c r="BG264" s="20" t="n">
        <v>45920.54166666666</v>
      </c>
      <c r="BH264" s="20" t="n">
        <v>45920.625</v>
      </c>
    </row>
    <row r="265">
      <c r="A265" s="5">
        <f>A264+1</f>
        <v/>
      </c>
      <c r="B265" s="3">
        <f>-SUMIFS(df_extrato_zig!G:G,df_extrato_zig!E:E,Conciliacao!A265,df_extrato_zig!D:D,"Saque")-SUMIFS(df_extrato_zig!G:G,df_extrato_zig!E:E,Conciliacao!A265,df_extrato_zig!D:D,"Antecipação")</f>
        <v/>
      </c>
      <c r="C265" s="3">
        <f>SUMIFS(df_extrato_zig!E:E,df_extrato_zig!L:L,Conciliacao!A265,df_extrato_zig!F:F,"DINHEIRO")</f>
        <v/>
      </c>
      <c r="D265" s="3">
        <f>SUMIFS(view_parc_agrup!H:H,view_parc_agrup!G:G,Conciliacao!A265)</f>
        <v/>
      </c>
      <c r="E265" s="3">
        <f>SUMIFS(df_eventos!F:F,df_eventos!H:H,Conciliacao!A265)</f>
        <v/>
      </c>
      <c r="F265" s="3">
        <f>SUMIFS(df_mutuos!M:M,df_mutuos!B:B,Conciliacao!A265)</f>
        <v/>
      </c>
      <c r="G265" s="6">
        <f>SUMIFS(df_bloqueios_judiciais!G:G,df_bloqueios_judiciais!D:D,Conciliacao!A265,df_bloqueios_judiciais!G:G,"&gt;0")</f>
        <v/>
      </c>
      <c r="H265" s="7">
        <f>SUMIFS(df_extratos!I:I,df_extratos!F:F,"&gt;="&amp;Conciliacao!BE265,df_extratos!F:F,"&lt;"&amp;Conciliacao!BE265+1,df_extratos!G:G,"CREDITO")
+SUMIFS(df_extratos!I:I,df_extratos!F:F,"&gt;="&amp;Conciliacao!A265, df_extratos!F:F,"&lt;"&amp;Conciliacao!A265+1, df_extratos!G:G,"CREDITO")
+SUMIFS(df_extratos!I:I,df_extratos!F:F,"&gt;="&amp;Conciliacao!BF265,df_extratos!F:F,"&lt;"&amp;Conciliacao!BF265+1,df_extratos!G:G,"CREDITO")
+SUMIFS(df_extratos!I:I,df_extratos!F:F,"&gt;="&amp;Conciliacao!BG265,df_extratos!F:F,"&lt;"&amp;Conciliacao!BG265+1,df_extratos!G:G,"CREDITO")
+SUMIFS(df_extratos!I:I,df_extratos!F:F,"&gt;="&amp;Conciliacao!BH265,df_extratos!F:F,"&lt;"&amp;Conciliacao!BH265+1,df_extratos!G:G,"CREDITO")</f>
        <v/>
      </c>
      <c r="I265" s="9">
        <f>H265-SUM(B265:G265)</f>
        <v/>
      </c>
      <c r="J265" s="4">
        <f>SUMIFS(df_blueme_sem_parcelamento!E:E,df_blueme_sem_parcelamento!H:H,Conciliacao!A265)*(-1)</f>
        <v/>
      </c>
      <c r="K265" s="4">
        <f>SUMIFS(df_blueme_com_parcelamento!J:J,df_blueme_com_parcelamento!M:M,Conciliacao!A265)*(-1)</f>
        <v/>
      </c>
      <c r="L265" s="4">
        <f>SUMIFS(df_mutuos!N:N,df_mutuos!B:B,Conciliacao!A265)*(-1)</f>
        <v/>
      </c>
      <c r="M265" s="8">
        <f>SUMIFS(df_bloqueios_judiciais!G:G,df_bloqueios_judiciais!D:D,Conciliacao!A265,df_bloqueios_judiciais!G:G,"&lt;0")</f>
        <v/>
      </c>
      <c r="N265" s="10">
        <f>SUMIFS(df_extratos!I:I,df_extratos!F:F,"&gt;="&amp;Conciliacao!BE265,df_extratos!F:F,"&lt;"&amp;Conciliacao!BE265+1,df_extratos!G:G,"DEBITO")
+SUMIFS(df_extratos!I:I,df_extratos!F:F,"&gt;="&amp;Conciliacao!A265, df_extratos!F:F,"&lt;"&amp;Conciliacao!A265+1, df_extratos!G:G,"DEBITO")
+SUMIFS(df_extratos!I:I,df_extratos!F:F,"&gt;="&amp;Conciliacao!BF265,df_extratos!F:F,"&lt;"&amp;Conciliacao!BF265+1,df_extratos!G:G,"DEBITO")
+SUMIFS(df_extratos!I:I,df_extratos!F:F,"&gt;="&amp;Conciliacao!BG265,df_extratos!F:F,"&lt;"&amp;Conciliacao!BG265+1,df_extratos!G:G,"DEBITO")
+SUMIFS(df_extratos!I:I,df_extratos!F:F,"&gt;="&amp;Conciliacao!BH265,df_extratos!F:F,"&lt;"&amp;Conciliacao!BH265+1,df_extratos!G:G,"DEBITO")</f>
        <v/>
      </c>
      <c r="O265" s="11">
        <f>N265-SUM(J265:M265)</f>
        <v/>
      </c>
      <c r="P265" s="25">
        <f>SUMIFS(df_ajustes_conciliaco!D:D,df_ajustes_conciliaco!C:C,Conciliacao!A265)</f>
        <v/>
      </c>
      <c r="Q265" s="22">
        <f>O265+I265-P265</f>
        <v/>
      </c>
      <c r="BE265" s="20" t="n">
        <v>45921.5</v>
      </c>
      <c r="BF265" s="20" t="n">
        <v>45921.125</v>
      </c>
      <c r="BG265" s="20" t="n">
        <v>45921.54166666666</v>
      </c>
      <c r="BH265" s="20" t="n">
        <v>45921.625</v>
      </c>
    </row>
    <row r="266">
      <c r="A266" s="5">
        <f>A265+1</f>
        <v/>
      </c>
      <c r="B266" s="3">
        <f>-SUMIFS(df_extrato_zig!G:G,df_extrato_zig!E:E,Conciliacao!A266,df_extrato_zig!D:D,"Saque")-SUMIFS(df_extrato_zig!G:G,df_extrato_zig!E:E,Conciliacao!A266,df_extrato_zig!D:D,"Antecipação")</f>
        <v/>
      </c>
      <c r="C266" s="3">
        <f>SUMIFS(df_extrato_zig!E:E,df_extrato_zig!L:L,Conciliacao!A266,df_extrato_zig!F:F,"DINHEIRO")</f>
        <v/>
      </c>
      <c r="D266" s="3">
        <f>SUMIFS(view_parc_agrup!H:H,view_parc_agrup!G:G,Conciliacao!A266)</f>
        <v/>
      </c>
      <c r="E266" s="3">
        <f>SUMIFS(df_eventos!F:F,df_eventos!H:H,Conciliacao!A266)</f>
        <v/>
      </c>
      <c r="F266" s="3">
        <f>SUMIFS(df_mutuos!M:M,df_mutuos!B:B,Conciliacao!A266)</f>
        <v/>
      </c>
      <c r="G266" s="6">
        <f>SUMIFS(df_bloqueios_judiciais!G:G,df_bloqueios_judiciais!D:D,Conciliacao!A266,df_bloqueios_judiciais!G:G,"&gt;0")</f>
        <v/>
      </c>
      <c r="H266" s="7">
        <f>SUMIFS(df_extratos!I:I,df_extratos!F:F,"&gt;="&amp;Conciliacao!BE266,df_extratos!F:F,"&lt;"&amp;Conciliacao!BE266+1,df_extratos!G:G,"CREDITO")
+SUMIFS(df_extratos!I:I,df_extratos!F:F,"&gt;="&amp;Conciliacao!A266, df_extratos!F:F,"&lt;"&amp;Conciliacao!A266+1, df_extratos!G:G,"CREDITO")
+SUMIFS(df_extratos!I:I,df_extratos!F:F,"&gt;="&amp;Conciliacao!BF266,df_extratos!F:F,"&lt;"&amp;Conciliacao!BF266+1,df_extratos!G:G,"CREDITO")
+SUMIFS(df_extratos!I:I,df_extratos!F:F,"&gt;="&amp;Conciliacao!BG266,df_extratos!F:F,"&lt;"&amp;Conciliacao!BG266+1,df_extratos!G:G,"CREDITO")
+SUMIFS(df_extratos!I:I,df_extratos!F:F,"&gt;="&amp;Conciliacao!BH266,df_extratos!F:F,"&lt;"&amp;Conciliacao!BH266+1,df_extratos!G:G,"CREDITO")</f>
        <v/>
      </c>
      <c r="I266" s="9">
        <f>H266-SUM(B266:G266)</f>
        <v/>
      </c>
      <c r="J266" s="4">
        <f>SUMIFS(df_blueme_sem_parcelamento!E:E,df_blueme_sem_parcelamento!H:H,Conciliacao!A266)*(-1)</f>
        <v/>
      </c>
      <c r="K266" s="4">
        <f>SUMIFS(df_blueme_com_parcelamento!J:J,df_blueme_com_parcelamento!M:M,Conciliacao!A266)*(-1)</f>
        <v/>
      </c>
      <c r="L266" s="4">
        <f>SUMIFS(df_mutuos!N:N,df_mutuos!B:B,Conciliacao!A266)*(-1)</f>
        <v/>
      </c>
      <c r="M266" s="8">
        <f>SUMIFS(df_bloqueios_judiciais!G:G,df_bloqueios_judiciais!D:D,Conciliacao!A266,df_bloqueios_judiciais!G:G,"&lt;0")</f>
        <v/>
      </c>
      <c r="N266" s="10">
        <f>SUMIFS(df_extratos!I:I,df_extratos!F:F,"&gt;="&amp;Conciliacao!BE266,df_extratos!F:F,"&lt;"&amp;Conciliacao!BE266+1,df_extratos!G:G,"DEBITO")
+SUMIFS(df_extratos!I:I,df_extratos!F:F,"&gt;="&amp;Conciliacao!A266, df_extratos!F:F,"&lt;"&amp;Conciliacao!A266+1, df_extratos!G:G,"DEBITO")
+SUMIFS(df_extratos!I:I,df_extratos!F:F,"&gt;="&amp;Conciliacao!BF266,df_extratos!F:F,"&lt;"&amp;Conciliacao!BF266+1,df_extratos!G:G,"DEBITO")
+SUMIFS(df_extratos!I:I,df_extratos!F:F,"&gt;="&amp;Conciliacao!BG266,df_extratos!F:F,"&lt;"&amp;Conciliacao!BG266+1,df_extratos!G:G,"DEBITO")
+SUMIFS(df_extratos!I:I,df_extratos!F:F,"&gt;="&amp;Conciliacao!BH266,df_extratos!F:F,"&lt;"&amp;Conciliacao!BH266+1,df_extratos!G:G,"DEBITO")</f>
        <v/>
      </c>
      <c r="O266" s="11">
        <f>N266-SUM(J266:M266)</f>
        <v/>
      </c>
      <c r="P266" s="25">
        <f>SUMIFS(df_ajustes_conciliaco!D:D,df_ajustes_conciliaco!C:C,Conciliacao!A266)</f>
        <v/>
      </c>
      <c r="Q266" s="22">
        <f>O266+I266-P266</f>
        <v/>
      </c>
      <c r="BE266" s="20" t="n">
        <v>45922.5</v>
      </c>
      <c r="BF266" s="20" t="n">
        <v>45922.125</v>
      </c>
      <c r="BG266" s="20" t="n">
        <v>45922.54166666666</v>
      </c>
      <c r="BH266" s="20" t="n">
        <v>45922.625</v>
      </c>
    </row>
    <row r="267">
      <c r="A267" s="5">
        <f>A266+1</f>
        <v/>
      </c>
      <c r="B267" s="3">
        <f>-SUMIFS(df_extrato_zig!G:G,df_extrato_zig!E:E,Conciliacao!A267,df_extrato_zig!D:D,"Saque")-SUMIFS(df_extrato_zig!G:G,df_extrato_zig!E:E,Conciliacao!A267,df_extrato_zig!D:D,"Antecipação")</f>
        <v/>
      </c>
      <c r="C267" s="3">
        <f>SUMIFS(df_extrato_zig!E:E,df_extrato_zig!L:L,Conciliacao!A267,df_extrato_zig!F:F,"DINHEIRO")</f>
        <v/>
      </c>
      <c r="D267" s="3">
        <f>SUMIFS(view_parc_agrup!H:H,view_parc_agrup!G:G,Conciliacao!A267)</f>
        <v/>
      </c>
      <c r="E267" s="3">
        <f>SUMIFS(df_eventos!F:F,df_eventos!H:H,Conciliacao!A267)</f>
        <v/>
      </c>
      <c r="F267" s="3">
        <f>SUMIFS(df_mutuos!M:M,df_mutuos!B:B,Conciliacao!A267)</f>
        <v/>
      </c>
      <c r="G267" s="6">
        <f>SUMIFS(df_bloqueios_judiciais!G:G,df_bloqueios_judiciais!D:D,Conciliacao!A267,df_bloqueios_judiciais!G:G,"&gt;0")</f>
        <v/>
      </c>
      <c r="H267" s="7">
        <f>SUMIFS(df_extratos!I:I,df_extratos!F:F,"&gt;="&amp;Conciliacao!BE267,df_extratos!F:F,"&lt;"&amp;Conciliacao!BE267+1,df_extratos!G:G,"CREDITO")
+SUMIFS(df_extratos!I:I,df_extratos!F:F,"&gt;="&amp;Conciliacao!A267, df_extratos!F:F,"&lt;"&amp;Conciliacao!A267+1, df_extratos!G:G,"CREDITO")
+SUMIFS(df_extratos!I:I,df_extratos!F:F,"&gt;="&amp;Conciliacao!BF267,df_extratos!F:F,"&lt;"&amp;Conciliacao!BF267+1,df_extratos!G:G,"CREDITO")
+SUMIFS(df_extratos!I:I,df_extratos!F:F,"&gt;="&amp;Conciliacao!BG267,df_extratos!F:F,"&lt;"&amp;Conciliacao!BG267+1,df_extratos!G:G,"CREDITO")
+SUMIFS(df_extratos!I:I,df_extratos!F:F,"&gt;="&amp;Conciliacao!BH267,df_extratos!F:F,"&lt;"&amp;Conciliacao!BH267+1,df_extratos!G:G,"CREDITO")</f>
        <v/>
      </c>
      <c r="I267" s="9">
        <f>H267-SUM(B267:G267)</f>
        <v/>
      </c>
      <c r="J267" s="4">
        <f>SUMIFS(df_blueme_sem_parcelamento!E:E,df_blueme_sem_parcelamento!H:H,Conciliacao!A267)*(-1)</f>
        <v/>
      </c>
      <c r="K267" s="4">
        <f>SUMIFS(df_blueme_com_parcelamento!J:J,df_blueme_com_parcelamento!M:M,Conciliacao!A267)*(-1)</f>
        <v/>
      </c>
      <c r="L267" s="4">
        <f>SUMIFS(df_mutuos!N:N,df_mutuos!B:B,Conciliacao!A267)*(-1)</f>
        <v/>
      </c>
      <c r="M267" s="8">
        <f>SUMIFS(df_bloqueios_judiciais!G:G,df_bloqueios_judiciais!D:D,Conciliacao!A267,df_bloqueios_judiciais!G:G,"&lt;0")</f>
        <v/>
      </c>
      <c r="N267" s="10">
        <f>SUMIFS(df_extratos!I:I,df_extratos!F:F,"&gt;="&amp;Conciliacao!BE267,df_extratos!F:F,"&lt;"&amp;Conciliacao!BE267+1,df_extratos!G:G,"DEBITO")
+SUMIFS(df_extratos!I:I,df_extratos!F:F,"&gt;="&amp;Conciliacao!A267, df_extratos!F:F,"&lt;"&amp;Conciliacao!A267+1, df_extratos!G:G,"DEBITO")
+SUMIFS(df_extratos!I:I,df_extratos!F:F,"&gt;="&amp;Conciliacao!BF267,df_extratos!F:F,"&lt;"&amp;Conciliacao!BF267+1,df_extratos!G:G,"DEBITO")
+SUMIFS(df_extratos!I:I,df_extratos!F:F,"&gt;="&amp;Conciliacao!BG267,df_extratos!F:F,"&lt;"&amp;Conciliacao!BG267+1,df_extratos!G:G,"DEBITO")
+SUMIFS(df_extratos!I:I,df_extratos!F:F,"&gt;="&amp;Conciliacao!BH267,df_extratos!F:F,"&lt;"&amp;Conciliacao!BH267+1,df_extratos!G:G,"DEBITO")</f>
        <v/>
      </c>
      <c r="O267" s="11">
        <f>N267-SUM(J267:M267)</f>
        <v/>
      </c>
      <c r="P267" s="25">
        <f>SUMIFS(df_ajustes_conciliaco!D:D,df_ajustes_conciliaco!C:C,Conciliacao!A267)</f>
        <v/>
      </c>
      <c r="Q267" s="22">
        <f>O267+I267-P267</f>
        <v/>
      </c>
      <c r="BE267" s="20" t="n">
        <v>45923.5</v>
      </c>
      <c r="BF267" s="20" t="n">
        <v>45923.125</v>
      </c>
      <c r="BG267" s="20" t="n">
        <v>45923.54166666666</v>
      </c>
      <c r="BH267" s="20" t="n">
        <v>45923.625</v>
      </c>
    </row>
    <row r="268">
      <c r="A268" s="5">
        <f>A267+1</f>
        <v/>
      </c>
      <c r="B268" s="3">
        <f>-SUMIFS(df_extrato_zig!G:G,df_extrato_zig!E:E,Conciliacao!A268,df_extrato_zig!D:D,"Saque")-SUMIFS(df_extrato_zig!G:G,df_extrato_zig!E:E,Conciliacao!A268,df_extrato_zig!D:D,"Antecipação")</f>
        <v/>
      </c>
      <c r="C268" s="3">
        <f>SUMIFS(df_extrato_zig!E:E,df_extrato_zig!L:L,Conciliacao!A268,df_extrato_zig!F:F,"DINHEIRO")</f>
        <v/>
      </c>
      <c r="D268" s="3">
        <f>SUMIFS(view_parc_agrup!H:H,view_parc_agrup!G:G,Conciliacao!A268)</f>
        <v/>
      </c>
      <c r="E268" s="3">
        <f>SUMIFS(df_eventos!F:F,df_eventos!H:H,Conciliacao!A268)</f>
        <v/>
      </c>
      <c r="F268" s="3">
        <f>SUMIFS(df_mutuos!M:M,df_mutuos!B:B,Conciliacao!A268)</f>
        <v/>
      </c>
      <c r="G268" s="6">
        <f>SUMIFS(df_bloqueios_judiciais!G:G,df_bloqueios_judiciais!D:D,Conciliacao!A268,df_bloqueios_judiciais!G:G,"&gt;0")</f>
        <v/>
      </c>
      <c r="H268" s="7">
        <f>SUMIFS(df_extratos!I:I,df_extratos!F:F,"&gt;="&amp;Conciliacao!BE268,df_extratos!F:F,"&lt;"&amp;Conciliacao!BE268+1,df_extratos!G:G,"CREDITO")
+SUMIFS(df_extratos!I:I,df_extratos!F:F,"&gt;="&amp;Conciliacao!A268, df_extratos!F:F,"&lt;"&amp;Conciliacao!A268+1, df_extratos!G:G,"CREDITO")
+SUMIFS(df_extratos!I:I,df_extratos!F:F,"&gt;="&amp;Conciliacao!BF268,df_extratos!F:F,"&lt;"&amp;Conciliacao!BF268+1,df_extratos!G:G,"CREDITO")
+SUMIFS(df_extratos!I:I,df_extratos!F:F,"&gt;="&amp;Conciliacao!BG268,df_extratos!F:F,"&lt;"&amp;Conciliacao!BG268+1,df_extratos!G:G,"CREDITO")
+SUMIFS(df_extratos!I:I,df_extratos!F:F,"&gt;="&amp;Conciliacao!BH268,df_extratos!F:F,"&lt;"&amp;Conciliacao!BH268+1,df_extratos!G:G,"CREDITO")</f>
        <v/>
      </c>
      <c r="I268" s="9">
        <f>H268-SUM(B268:G268)</f>
        <v/>
      </c>
      <c r="J268" s="4">
        <f>SUMIFS(df_blueme_sem_parcelamento!E:E,df_blueme_sem_parcelamento!H:H,Conciliacao!A268)*(-1)</f>
        <v/>
      </c>
      <c r="K268" s="4">
        <f>SUMIFS(df_blueme_com_parcelamento!J:J,df_blueme_com_parcelamento!M:M,Conciliacao!A268)*(-1)</f>
        <v/>
      </c>
      <c r="L268" s="4">
        <f>SUMIFS(df_mutuos!N:N,df_mutuos!B:B,Conciliacao!A268)*(-1)</f>
        <v/>
      </c>
      <c r="M268" s="8">
        <f>SUMIFS(df_bloqueios_judiciais!G:G,df_bloqueios_judiciais!D:D,Conciliacao!A268,df_bloqueios_judiciais!G:G,"&lt;0")</f>
        <v/>
      </c>
      <c r="N268" s="10">
        <f>SUMIFS(df_extratos!I:I,df_extratos!F:F,"&gt;="&amp;Conciliacao!BE268,df_extratos!F:F,"&lt;"&amp;Conciliacao!BE268+1,df_extratos!G:G,"DEBITO")
+SUMIFS(df_extratos!I:I,df_extratos!F:F,"&gt;="&amp;Conciliacao!A268, df_extratos!F:F,"&lt;"&amp;Conciliacao!A268+1, df_extratos!G:G,"DEBITO")
+SUMIFS(df_extratos!I:I,df_extratos!F:F,"&gt;="&amp;Conciliacao!BF268,df_extratos!F:F,"&lt;"&amp;Conciliacao!BF268+1,df_extratos!G:G,"DEBITO")
+SUMIFS(df_extratos!I:I,df_extratos!F:F,"&gt;="&amp;Conciliacao!BG268,df_extratos!F:F,"&lt;"&amp;Conciliacao!BG268+1,df_extratos!G:G,"DEBITO")
+SUMIFS(df_extratos!I:I,df_extratos!F:F,"&gt;="&amp;Conciliacao!BH268,df_extratos!F:F,"&lt;"&amp;Conciliacao!BH268+1,df_extratos!G:G,"DEBITO")</f>
        <v/>
      </c>
      <c r="O268" s="11">
        <f>N268-SUM(J268:M268)</f>
        <v/>
      </c>
      <c r="P268" s="25">
        <f>SUMIFS(df_ajustes_conciliaco!D:D,df_ajustes_conciliaco!C:C,Conciliacao!A268)</f>
        <v/>
      </c>
      <c r="Q268" s="22">
        <f>O268+I268-P268</f>
        <v/>
      </c>
      <c r="BE268" s="20" t="n">
        <v>45924.5</v>
      </c>
      <c r="BF268" s="20" t="n">
        <v>45924.125</v>
      </c>
      <c r="BG268" s="20" t="n">
        <v>45924.54166666666</v>
      </c>
      <c r="BH268" s="20" t="n">
        <v>45924.625</v>
      </c>
    </row>
    <row r="269">
      <c r="A269" s="5">
        <f>A268+1</f>
        <v/>
      </c>
      <c r="B269" s="3">
        <f>-SUMIFS(df_extrato_zig!G:G,df_extrato_zig!E:E,Conciliacao!A269,df_extrato_zig!D:D,"Saque")-SUMIFS(df_extrato_zig!G:G,df_extrato_zig!E:E,Conciliacao!A269,df_extrato_zig!D:D,"Antecipação")</f>
        <v/>
      </c>
      <c r="C269" s="3">
        <f>SUMIFS(df_extrato_zig!E:E,df_extrato_zig!L:L,Conciliacao!A269,df_extrato_zig!F:F,"DINHEIRO")</f>
        <v/>
      </c>
      <c r="D269" s="3">
        <f>SUMIFS(view_parc_agrup!H:H,view_parc_agrup!G:G,Conciliacao!A269)</f>
        <v/>
      </c>
      <c r="E269" s="3">
        <f>SUMIFS(df_eventos!F:F,df_eventos!H:H,Conciliacao!A269)</f>
        <v/>
      </c>
      <c r="F269" s="3">
        <f>SUMIFS(df_mutuos!M:M,df_mutuos!B:B,Conciliacao!A269)</f>
        <v/>
      </c>
      <c r="G269" s="6">
        <f>SUMIFS(df_bloqueios_judiciais!G:G,df_bloqueios_judiciais!D:D,Conciliacao!A269,df_bloqueios_judiciais!G:G,"&gt;0")</f>
        <v/>
      </c>
      <c r="H269" s="7">
        <f>SUMIFS(df_extratos!I:I,df_extratos!F:F,"&gt;="&amp;Conciliacao!BE269,df_extratos!F:F,"&lt;"&amp;Conciliacao!BE269+1,df_extratos!G:G,"CREDITO")
+SUMIFS(df_extratos!I:I,df_extratos!F:F,"&gt;="&amp;Conciliacao!A269, df_extratos!F:F,"&lt;"&amp;Conciliacao!A269+1, df_extratos!G:G,"CREDITO")
+SUMIFS(df_extratos!I:I,df_extratos!F:F,"&gt;="&amp;Conciliacao!BF269,df_extratos!F:F,"&lt;"&amp;Conciliacao!BF269+1,df_extratos!G:G,"CREDITO")
+SUMIFS(df_extratos!I:I,df_extratos!F:F,"&gt;="&amp;Conciliacao!BG269,df_extratos!F:F,"&lt;"&amp;Conciliacao!BG269+1,df_extratos!G:G,"CREDITO")
+SUMIFS(df_extratos!I:I,df_extratos!F:F,"&gt;="&amp;Conciliacao!BH269,df_extratos!F:F,"&lt;"&amp;Conciliacao!BH269+1,df_extratos!G:G,"CREDITO")</f>
        <v/>
      </c>
      <c r="I269" s="9">
        <f>H269-SUM(B269:G269)</f>
        <v/>
      </c>
      <c r="J269" s="4">
        <f>SUMIFS(df_blueme_sem_parcelamento!E:E,df_blueme_sem_parcelamento!H:H,Conciliacao!A269)*(-1)</f>
        <v/>
      </c>
      <c r="K269" s="4">
        <f>SUMIFS(df_blueme_com_parcelamento!J:J,df_blueme_com_parcelamento!M:M,Conciliacao!A269)*(-1)</f>
        <v/>
      </c>
      <c r="L269" s="4">
        <f>SUMIFS(df_mutuos!N:N,df_mutuos!B:B,Conciliacao!A269)*(-1)</f>
        <v/>
      </c>
      <c r="M269" s="8">
        <f>SUMIFS(df_bloqueios_judiciais!G:G,df_bloqueios_judiciais!D:D,Conciliacao!A269,df_bloqueios_judiciais!G:G,"&lt;0")</f>
        <v/>
      </c>
      <c r="N269" s="10">
        <f>SUMIFS(df_extratos!I:I,df_extratos!F:F,"&gt;="&amp;Conciliacao!BE269,df_extratos!F:F,"&lt;"&amp;Conciliacao!BE269+1,df_extratos!G:G,"DEBITO")
+SUMIFS(df_extratos!I:I,df_extratos!F:F,"&gt;="&amp;Conciliacao!A269, df_extratos!F:F,"&lt;"&amp;Conciliacao!A269+1, df_extratos!G:G,"DEBITO")
+SUMIFS(df_extratos!I:I,df_extratos!F:F,"&gt;="&amp;Conciliacao!BF269,df_extratos!F:F,"&lt;"&amp;Conciliacao!BF269+1,df_extratos!G:G,"DEBITO")
+SUMIFS(df_extratos!I:I,df_extratos!F:F,"&gt;="&amp;Conciliacao!BG269,df_extratos!F:F,"&lt;"&amp;Conciliacao!BG269+1,df_extratos!G:G,"DEBITO")
+SUMIFS(df_extratos!I:I,df_extratos!F:F,"&gt;="&amp;Conciliacao!BH269,df_extratos!F:F,"&lt;"&amp;Conciliacao!BH269+1,df_extratos!G:G,"DEBITO")</f>
        <v/>
      </c>
      <c r="O269" s="11">
        <f>N269-SUM(J269:M269)</f>
        <v/>
      </c>
      <c r="P269" s="25">
        <f>SUMIFS(df_ajustes_conciliaco!D:D,df_ajustes_conciliaco!C:C,Conciliacao!A269)</f>
        <v/>
      </c>
      <c r="Q269" s="22">
        <f>O269+I269-P269</f>
        <v/>
      </c>
      <c r="BE269" s="20" t="n">
        <v>45925.5</v>
      </c>
      <c r="BF269" s="20" t="n">
        <v>45925.125</v>
      </c>
      <c r="BG269" s="20" t="n">
        <v>45925.54166666666</v>
      </c>
      <c r="BH269" s="20" t="n">
        <v>45925.625</v>
      </c>
    </row>
    <row r="270">
      <c r="A270" s="5">
        <f>A269+1</f>
        <v/>
      </c>
      <c r="B270" s="3">
        <f>-SUMIFS(df_extrato_zig!G:G,df_extrato_zig!E:E,Conciliacao!A270,df_extrato_zig!D:D,"Saque")-SUMIFS(df_extrato_zig!G:G,df_extrato_zig!E:E,Conciliacao!A270,df_extrato_zig!D:D,"Antecipação")</f>
        <v/>
      </c>
      <c r="C270" s="3">
        <f>SUMIFS(df_extrato_zig!E:E,df_extrato_zig!L:L,Conciliacao!A270,df_extrato_zig!F:F,"DINHEIRO")</f>
        <v/>
      </c>
      <c r="D270" s="3">
        <f>SUMIFS(view_parc_agrup!H:H,view_parc_agrup!G:G,Conciliacao!A270)</f>
        <v/>
      </c>
      <c r="E270" s="3">
        <f>SUMIFS(df_eventos!F:F,df_eventos!H:H,Conciliacao!A270)</f>
        <v/>
      </c>
      <c r="F270" s="3">
        <f>SUMIFS(df_mutuos!M:M,df_mutuos!B:B,Conciliacao!A270)</f>
        <v/>
      </c>
      <c r="G270" s="6">
        <f>SUMIFS(df_bloqueios_judiciais!G:G,df_bloqueios_judiciais!D:D,Conciliacao!A270,df_bloqueios_judiciais!G:G,"&gt;0")</f>
        <v/>
      </c>
      <c r="H270" s="7">
        <f>SUMIFS(df_extratos!I:I,df_extratos!F:F,"&gt;="&amp;Conciliacao!BE270,df_extratos!F:F,"&lt;"&amp;Conciliacao!BE270+1,df_extratos!G:G,"CREDITO")
+SUMIFS(df_extratos!I:I,df_extratos!F:F,"&gt;="&amp;Conciliacao!A270, df_extratos!F:F,"&lt;"&amp;Conciliacao!A270+1, df_extratos!G:G,"CREDITO")
+SUMIFS(df_extratos!I:I,df_extratos!F:F,"&gt;="&amp;Conciliacao!BF270,df_extratos!F:F,"&lt;"&amp;Conciliacao!BF270+1,df_extratos!G:G,"CREDITO")
+SUMIFS(df_extratos!I:I,df_extratos!F:F,"&gt;="&amp;Conciliacao!BG270,df_extratos!F:F,"&lt;"&amp;Conciliacao!BG270+1,df_extratos!G:G,"CREDITO")
+SUMIFS(df_extratos!I:I,df_extratos!F:F,"&gt;="&amp;Conciliacao!BH270,df_extratos!F:F,"&lt;"&amp;Conciliacao!BH270+1,df_extratos!G:G,"CREDITO")</f>
        <v/>
      </c>
      <c r="I270" s="9">
        <f>H270-SUM(B270:G270)</f>
        <v/>
      </c>
      <c r="J270" s="4">
        <f>SUMIFS(df_blueme_sem_parcelamento!E:E,df_blueme_sem_parcelamento!H:H,Conciliacao!A270)*(-1)</f>
        <v/>
      </c>
      <c r="K270" s="4">
        <f>SUMIFS(df_blueme_com_parcelamento!J:J,df_blueme_com_parcelamento!M:M,Conciliacao!A270)*(-1)</f>
        <v/>
      </c>
      <c r="L270" s="4">
        <f>SUMIFS(df_mutuos!N:N,df_mutuos!B:B,Conciliacao!A270)*(-1)</f>
        <v/>
      </c>
      <c r="M270" s="8">
        <f>SUMIFS(df_bloqueios_judiciais!G:G,df_bloqueios_judiciais!D:D,Conciliacao!A270,df_bloqueios_judiciais!G:G,"&lt;0")</f>
        <v/>
      </c>
      <c r="N270" s="10">
        <f>SUMIFS(df_extratos!I:I,df_extratos!F:F,"&gt;="&amp;Conciliacao!BE270,df_extratos!F:F,"&lt;"&amp;Conciliacao!BE270+1,df_extratos!G:G,"DEBITO")
+SUMIFS(df_extratos!I:I,df_extratos!F:F,"&gt;="&amp;Conciliacao!A270, df_extratos!F:F,"&lt;"&amp;Conciliacao!A270+1, df_extratos!G:G,"DEBITO")
+SUMIFS(df_extratos!I:I,df_extratos!F:F,"&gt;="&amp;Conciliacao!BF270,df_extratos!F:F,"&lt;"&amp;Conciliacao!BF270+1,df_extratos!G:G,"DEBITO")
+SUMIFS(df_extratos!I:I,df_extratos!F:F,"&gt;="&amp;Conciliacao!BG270,df_extratos!F:F,"&lt;"&amp;Conciliacao!BG270+1,df_extratos!G:G,"DEBITO")
+SUMIFS(df_extratos!I:I,df_extratos!F:F,"&gt;="&amp;Conciliacao!BH270,df_extratos!F:F,"&lt;"&amp;Conciliacao!BH270+1,df_extratos!G:G,"DEBITO")</f>
        <v/>
      </c>
      <c r="O270" s="11">
        <f>N270-SUM(J270:M270)</f>
        <v/>
      </c>
      <c r="P270" s="25">
        <f>SUMIFS(df_ajustes_conciliaco!D:D,df_ajustes_conciliaco!C:C,Conciliacao!A270)</f>
        <v/>
      </c>
      <c r="Q270" s="22">
        <f>O270+I270-P270</f>
        <v/>
      </c>
      <c r="BE270" s="20" t="n">
        <v>45926.5</v>
      </c>
      <c r="BF270" s="20" t="n">
        <v>45926.125</v>
      </c>
      <c r="BG270" s="20" t="n">
        <v>45926.54166666666</v>
      </c>
      <c r="BH270" s="20" t="n">
        <v>45926.625</v>
      </c>
    </row>
    <row r="271">
      <c r="A271" s="5">
        <f>A270+1</f>
        <v/>
      </c>
      <c r="B271" s="3">
        <f>-SUMIFS(df_extrato_zig!G:G,df_extrato_zig!E:E,Conciliacao!A271,df_extrato_zig!D:D,"Saque")-SUMIFS(df_extrato_zig!G:G,df_extrato_zig!E:E,Conciliacao!A271,df_extrato_zig!D:D,"Antecipação")</f>
        <v/>
      </c>
      <c r="C271" s="3">
        <f>SUMIFS(df_extrato_zig!E:E,df_extrato_zig!L:L,Conciliacao!A271,df_extrato_zig!F:F,"DINHEIRO")</f>
        <v/>
      </c>
      <c r="D271" s="3">
        <f>SUMIFS(view_parc_agrup!H:H,view_parc_agrup!G:G,Conciliacao!A271)</f>
        <v/>
      </c>
      <c r="E271" s="3">
        <f>SUMIFS(df_eventos!F:F,df_eventos!H:H,Conciliacao!A271)</f>
        <v/>
      </c>
      <c r="F271" s="3">
        <f>SUMIFS(df_mutuos!M:M,df_mutuos!B:B,Conciliacao!A271)</f>
        <v/>
      </c>
      <c r="G271" s="6">
        <f>SUMIFS(df_bloqueios_judiciais!G:G,df_bloqueios_judiciais!D:D,Conciliacao!A271,df_bloqueios_judiciais!G:G,"&gt;0")</f>
        <v/>
      </c>
      <c r="H271" s="7">
        <f>SUMIFS(df_extratos!I:I,df_extratos!F:F,"&gt;="&amp;Conciliacao!BE271,df_extratos!F:F,"&lt;"&amp;Conciliacao!BE271+1,df_extratos!G:G,"CREDITO")
+SUMIFS(df_extratos!I:I,df_extratos!F:F,"&gt;="&amp;Conciliacao!A271, df_extratos!F:F,"&lt;"&amp;Conciliacao!A271+1, df_extratos!G:G,"CREDITO")
+SUMIFS(df_extratos!I:I,df_extratos!F:F,"&gt;="&amp;Conciliacao!BF271,df_extratos!F:F,"&lt;"&amp;Conciliacao!BF271+1,df_extratos!G:G,"CREDITO")
+SUMIFS(df_extratos!I:I,df_extratos!F:F,"&gt;="&amp;Conciliacao!BG271,df_extratos!F:F,"&lt;"&amp;Conciliacao!BG271+1,df_extratos!G:G,"CREDITO")
+SUMIFS(df_extratos!I:I,df_extratos!F:F,"&gt;="&amp;Conciliacao!BH271,df_extratos!F:F,"&lt;"&amp;Conciliacao!BH271+1,df_extratos!G:G,"CREDITO")</f>
        <v/>
      </c>
      <c r="I271" s="9">
        <f>H271-SUM(B271:G271)</f>
        <v/>
      </c>
      <c r="J271" s="4">
        <f>SUMIFS(df_blueme_sem_parcelamento!E:E,df_blueme_sem_parcelamento!H:H,Conciliacao!A271)*(-1)</f>
        <v/>
      </c>
      <c r="K271" s="4">
        <f>SUMIFS(df_blueme_com_parcelamento!J:J,df_blueme_com_parcelamento!M:M,Conciliacao!A271)*(-1)</f>
        <v/>
      </c>
      <c r="L271" s="4">
        <f>SUMIFS(df_mutuos!N:N,df_mutuos!B:B,Conciliacao!A271)*(-1)</f>
        <v/>
      </c>
      <c r="M271" s="8">
        <f>SUMIFS(df_bloqueios_judiciais!G:G,df_bloqueios_judiciais!D:D,Conciliacao!A271,df_bloqueios_judiciais!G:G,"&lt;0")</f>
        <v/>
      </c>
      <c r="N271" s="10">
        <f>SUMIFS(df_extratos!I:I,df_extratos!F:F,"&gt;="&amp;Conciliacao!BE271,df_extratos!F:F,"&lt;"&amp;Conciliacao!BE271+1,df_extratos!G:G,"DEBITO")
+SUMIFS(df_extratos!I:I,df_extratos!F:F,"&gt;="&amp;Conciliacao!A271, df_extratos!F:F,"&lt;"&amp;Conciliacao!A271+1, df_extratos!G:G,"DEBITO")
+SUMIFS(df_extratos!I:I,df_extratos!F:F,"&gt;="&amp;Conciliacao!BF271,df_extratos!F:F,"&lt;"&amp;Conciliacao!BF271+1,df_extratos!G:G,"DEBITO")
+SUMIFS(df_extratos!I:I,df_extratos!F:F,"&gt;="&amp;Conciliacao!BG271,df_extratos!F:F,"&lt;"&amp;Conciliacao!BG271+1,df_extratos!G:G,"DEBITO")
+SUMIFS(df_extratos!I:I,df_extratos!F:F,"&gt;="&amp;Conciliacao!BH271,df_extratos!F:F,"&lt;"&amp;Conciliacao!BH271+1,df_extratos!G:G,"DEBITO")</f>
        <v/>
      </c>
      <c r="O271" s="11">
        <f>N271-SUM(J271:M271)</f>
        <v/>
      </c>
      <c r="P271" s="25">
        <f>SUMIFS(df_ajustes_conciliaco!D:D,df_ajustes_conciliaco!C:C,Conciliacao!A271)</f>
        <v/>
      </c>
      <c r="Q271" s="22">
        <f>O271+I271-P271</f>
        <v/>
      </c>
      <c r="BE271" s="20" t="n">
        <v>45927.5</v>
      </c>
      <c r="BF271" s="20" t="n">
        <v>45927.125</v>
      </c>
      <c r="BG271" s="20" t="n">
        <v>45927.54166666666</v>
      </c>
      <c r="BH271" s="20" t="n">
        <v>45927.625</v>
      </c>
    </row>
    <row r="272">
      <c r="A272" s="5">
        <f>A271+1</f>
        <v/>
      </c>
      <c r="B272" s="3">
        <f>-SUMIFS(df_extrato_zig!G:G,df_extrato_zig!E:E,Conciliacao!A272,df_extrato_zig!D:D,"Saque")-SUMIFS(df_extrato_zig!G:G,df_extrato_zig!E:E,Conciliacao!A272,df_extrato_zig!D:D,"Antecipação")</f>
        <v/>
      </c>
      <c r="C272" s="3">
        <f>SUMIFS(df_extrato_zig!E:E,df_extrato_zig!L:L,Conciliacao!A272,df_extrato_zig!F:F,"DINHEIRO")</f>
        <v/>
      </c>
      <c r="D272" s="3">
        <f>SUMIFS(view_parc_agrup!H:H,view_parc_agrup!G:G,Conciliacao!A272)</f>
        <v/>
      </c>
      <c r="E272" s="3">
        <f>SUMIFS(df_eventos!F:F,df_eventos!H:H,Conciliacao!A272)</f>
        <v/>
      </c>
      <c r="F272" s="3">
        <f>SUMIFS(df_mutuos!M:M,df_mutuos!B:B,Conciliacao!A272)</f>
        <v/>
      </c>
      <c r="G272" s="6">
        <f>SUMIFS(df_bloqueios_judiciais!G:G,df_bloqueios_judiciais!D:D,Conciliacao!A272,df_bloqueios_judiciais!G:G,"&gt;0")</f>
        <v/>
      </c>
      <c r="H272" s="7">
        <f>SUMIFS(df_extratos!I:I,df_extratos!F:F,"&gt;="&amp;Conciliacao!BE272,df_extratos!F:F,"&lt;"&amp;Conciliacao!BE272+1,df_extratos!G:G,"CREDITO")
+SUMIFS(df_extratos!I:I,df_extratos!F:F,"&gt;="&amp;Conciliacao!A272, df_extratos!F:F,"&lt;"&amp;Conciliacao!A272+1, df_extratos!G:G,"CREDITO")
+SUMIFS(df_extratos!I:I,df_extratos!F:F,"&gt;="&amp;Conciliacao!BF272,df_extratos!F:F,"&lt;"&amp;Conciliacao!BF272+1,df_extratos!G:G,"CREDITO")
+SUMIFS(df_extratos!I:I,df_extratos!F:F,"&gt;="&amp;Conciliacao!BG272,df_extratos!F:F,"&lt;"&amp;Conciliacao!BG272+1,df_extratos!G:G,"CREDITO")
+SUMIFS(df_extratos!I:I,df_extratos!F:F,"&gt;="&amp;Conciliacao!BH272,df_extratos!F:F,"&lt;"&amp;Conciliacao!BH272+1,df_extratos!G:G,"CREDITO")</f>
        <v/>
      </c>
      <c r="I272" s="9">
        <f>H272-SUM(B272:G272)</f>
        <v/>
      </c>
      <c r="J272" s="4">
        <f>SUMIFS(df_blueme_sem_parcelamento!E:E,df_blueme_sem_parcelamento!H:H,Conciliacao!A272)*(-1)</f>
        <v/>
      </c>
      <c r="K272" s="4">
        <f>SUMIFS(df_blueme_com_parcelamento!J:J,df_blueme_com_parcelamento!M:M,Conciliacao!A272)*(-1)</f>
        <v/>
      </c>
      <c r="L272" s="4">
        <f>SUMIFS(df_mutuos!N:N,df_mutuos!B:B,Conciliacao!A272)*(-1)</f>
        <v/>
      </c>
      <c r="M272" s="8">
        <f>SUMIFS(df_bloqueios_judiciais!G:G,df_bloqueios_judiciais!D:D,Conciliacao!A272,df_bloqueios_judiciais!G:G,"&lt;0")</f>
        <v/>
      </c>
      <c r="N272" s="10">
        <f>SUMIFS(df_extratos!I:I,df_extratos!F:F,"&gt;="&amp;Conciliacao!BE272,df_extratos!F:F,"&lt;"&amp;Conciliacao!BE272+1,df_extratos!G:G,"DEBITO")
+SUMIFS(df_extratos!I:I,df_extratos!F:F,"&gt;="&amp;Conciliacao!A272, df_extratos!F:F,"&lt;"&amp;Conciliacao!A272+1, df_extratos!G:G,"DEBITO")
+SUMIFS(df_extratos!I:I,df_extratos!F:F,"&gt;="&amp;Conciliacao!BF272,df_extratos!F:F,"&lt;"&amp;Conciliacao!BF272+1,df_extratos!G:G,"DEBITO")
+SUMIFS(df_extratos!I:I,df_extratos!F:F,"&gt;="&amp;Conciliacao!BG272,df_extratos!F:F,"&lt;"&amp;Conciliacao!BG272+1,df_extratos!G:G,"DEBITO")
+SUMIFS(df_extratos!I:I,df_extratos!F:F,"&gt;="&amp;Conciliacao!BH272,df_extratos!F:F,"&lt;"&amp;Conciliacao!BH272+1,df_extratos!G:G,"DEBITO")</f>
        <v/>
      </c>
      <c r="O272" s="11">
        <f>N272-SUM(J272:M272)</f>
        <v/>
      </c>
      <c r="P272" s="25">
        <f>SUMIFS(df_ajustes_conciliaco!D:D,df_ajustes_conciliaco!C:C,Conciliacao!A272)</f>
        <v/>
      </c>
      <c r="Q272" s="22">
        <f>O272+I272-P272</f>
        <v/>
      </c>
      <c r="BE272" s="20" t="n">
        <v>45928.5</v>
      </c>
      <c r="BF272" s="20" t="n">
        <v>45928.125</v>
      </c>
      <c r="BG272" s="20" t="n">
        <v>45928.54166666666</v>
      </c>
      <c r="BH272" s="20" t="n">
        <v>45928.625</v>
      </c>
    </row>
    <row r="273">
      <c r="A273" s="5">
        <f>A272+1</f>
        <v/>
      </c>
      <c r="B273" s="3">
        <f>-SUMIFS(df_extrato_zig!G:G,df_extrato_zig!E:E,Conciliacao!A273,df_extrato_zig!D:D,"Saque")-SUMIFS(df_extrato_zig!G:G,df_extrato_zig!E:E,Conciliacao!A273,df_extrato_zig!D:D,"Antecipação")</f>
        <v/>
      </c>
      <c r="C273" s="3">
        <f>SUMIFS(df_extrato_zig!E:E,df_extrato_zig!L:L,Conciliacao!A273,df_extrato_zig!F:F,"DINHEIRO")</f>
        <v/>
      </c>
      <c r="D273" s="3">
        <f>SUMIFS(view_parc_agrup!H:H,view_parc_agrup!G:G,Conciliacao!A273)</f>
        <v/>
      </c>
      <c r="E273" s="3">
        <f>SUMIFS(df_eventos!F:F,df_eventos!H:H,Conciliacao!A273)</f>
        <v/>
      </c>
      <c r="F273" s="3">
        <f>SUMIFS(df_mutuos!M:M,df_mutuos!B:B,Conciliacao!A273)</f>
        <v/>
      </c>
      <c r="G273" s="6">
        <f>SUMIFS(df_bloqueios_judiciais!G:G,df_bloqueios_judiciais!D:D,Conciliacao!A273,df_bloqueios_judiciais!G:G,"&gt;0")</f>
        <v/>
      </c>
      <c r="H273" s="7">
        <f>SUMIFS(df_extratos!I:I,df_extratos!F:F,"&gt;="&amp;Conciliacao!BE273,df_extratos!F:F,"&lt;"&amp;Conciliacao!BE273+1,df_extratos!G:G,"CREDITO")
+SUMIFS(df_extratos!I:I,df_extratos!F:F,"&gt;="&amp;Conciliacao!A273, df_extratos!F:F,"&lt;"&amp;Conciliacao!A273+1, df_extratos!G:G,"CREDITO")
+SUMIFS(df_extratos!I:I,df_extratos!F:F,"&gt;="&amp;Conciliacao!BF273,df_extratos!F:F,"&lt;"&amp;Conciliacao!BF273+1,df_extratos!G:G,"CREDITO")
+SUMIFS(df_extratos!I:I,df_extratos!F:F,"&gt;="&amp;Conciliacao!BG273,df_extratos!F:F,"&lt;"&amp;Conciliacao!BG273+1,df_extratos!G:G,"CREDITO")
+SUMIFS(df_extratos!I:I,df_extratos!F:F,"&gt;="&amp;Conciliacao!BH273,df_extratos!F:F,"&lt;"&amp;Conciliacao!BH273+1,df_extratos!G:G,"CREDITO")</f>
        <v/>
      </c>
      <c r="I273" s="9">
        <f>H273-SUM(B273:G273)</f>
        <v/>
      </c>
      <c r="J273" s="4">
        <f>SUMIFS(df_blueme_sem_parcelamento!E:E,df_blueme_sem_parcelamento!H:H,Conciliacao!A273)*(-1)</f>
        <v/>
      </c>
      <c r="K273" s="4">
        <f>SUMIFS(df_blueme_com_parcelamento!J:J,df_blueme_com_parcelamento!M:M,Conciliacao!A273)*(-1)</f>
        <v/>
      </c>
      <c r="L273" s="4">
        <f>SUMIFS(df_mutuos!N:N,df_mutuos!B:B,Conciliacao!A273)*(-1)</f>
        <v/>
      </c>
      <c r="M273" s="8">
        <f>SUMIFS(df_bloqueios_judiciais!G:G,df_bloqueios_judiciais!D:D,Conciliacao!A273,df_bloqueios_judiciais!G:G,"&lt;0")</f>
        <v/>
      </c>
      <c r="N273" s="10">
        <f>SUMIFS(df_extratos!I:I,df_extratos!F:F,"&gt;="&amp;Conciliacao!BE273,df_extratos!F:F,"&lt;"&amp;Conciliacao!BE273+1,df_extratos!G:G,"DEBITO")
+SUMIFS(df_extratos!I:I,df_extratos!F:F,"&gt;="&amp;Conciliacao!A273, df_extratos!F:F,"&lt;"&amp;Conciliacao!A273+1, df_extratos!G:G,"DEBITO")
+SUMIFS(df_extratos!I:I,df_extratos!F:F,"&gt;="&amp;Conciliacao!BF273,df_extratos!F:F,"&lt;"&amp;Conciliacao!BF273+1,df_extratos!G:G,"DEBITO")
+SUMIFS(df_extratos!I:I,df_extratos!F:F,"&gt;="&amp;Conciliacao!BG273,df_extratos!F:F,"&lt;"&amp;Conciliacao!BG273+1,df_extratos!G:G,"DEBITO")
+SUMIFS(df_extratos!I:I,df_extratos!F:F,"&gt;="&amp;Conciliacao!BH273,df_extratos!F:F,"&lt;"&amp;Conciliacao!BH273+1,df_extratos!G:G,"DEBITO")</f>
        <v/>
      </c>
      <c r="O273" s="11">
        <f>N273-SUM(J273:M273)</f>
        <v/>
      </c>
      <c r="P273" s="25">
        <f>SUMIFS(df_ajustes_conciliaco!D:D,df_ajustes_conciliaco!C:C,Conciliacao!A273)</f>
        <v/>
      </c>
      <c r="Q273" s="22">
        <f>O273+I273-P273</f>
        <v/>
      </c>
      <c r="BE273" s="20" t="n">
        <v>45929.5</v>
      </c>
      <c r="BF273" s="20" t="n">
        <v>45929.125</v>
      </c>
      <c r="BG273" s="20" t="n">
        <v>45929.54166666666</v>
      </c>
      <c r="BH273" s="20" t="n">
        <v>45929.625</v>
      </c>
    </row>
    <row r="274">
      <c r="A274" s="5">
        <f>A273+1</f>
        <v/>
      </c>
      <c r="B274" s="3">
        <f>-SUMIFS(df_extrato_zig!G:G,df_extrato_zig!E:E,Conciliacao!A274,df_extrato_zig!D:D,"Saque")-SUMIFS(df_extrato_zig!G:G,df_extrato_zig!E:E,Conciliacao!A274,df_extrato_zig!D:D,"Antecipação")</f>
        <v/>
      </c>
      <c r="C274" s="3">
        <f>SUMIFS(df_extrato_zig!E:E,df_extrato_zig!L:L,Conciliacao!A274,df_extrato_zig!F:F,"DINHEIRO")</f>
        <v/>
      </c>
      <c r="D274" s="3">
        <f>SUMIFS(view_parc_agrup!H:H,view_parc_agrup!G:G,Conciliacao!A274)</f>
        <v/>
      </c>
      <c r="E274" s="3">
        <f>SUMIFS(df_eventos!F:F,df_eventos!H:H,Conciliacao!A274)</f>
        <v/>
      </c>
      <c r="F274" s="3">
        <f>SUMIFS(df_mutuos!M:M,df_mutuos!B:B,Conciliacao!A274)</f>
        <v/>
      </c>
      <c r="G274" s="6">
        <f>SUMIFS(df_bloqueios_judiciais!G:G,df_bloqueios_judiciais!D:D,Conciliacao!A274,df_bloqueios_judiciais!G:G,"&gt;0")</f>
        <v/>
      </c>
      <c r="H274" s="7">
        <f>SUMIFS(df_extratos!I:I,df_extratos!F:F,"&gt;="&amp;Conciliacao!BE274,df_extratos!F:F,"&lt;"&amp;Conciliacao!BE274+1,df_extratos!G:G,"CREDITO")
+SUMIFS(df_extratos!I:I,df_extratos!F:F,"&gt;="&amp;Conciliacao!A274, df_extratos!F:F,"&lt;"&amp;Conciliacao!A274+1, df_extratos!G:G,"CREDITO")
+SUMIFS(df_extratos!I:I,df_extratos!F:F,"&gt;="&amp;Conciliacao!BF274,df_extratos!F:F,"&lt;"&amp;Conciliacao!BF274+1,df_extratos!G:G,"CREDITO")
+SUMIFS(df_extratos!I:I,df_extratos!F:F,"&gt;="&amp;Conciliacao!BG274,df_extratos!F:F,"&lt;"&amp;Conciliacao!BG274+1,df_extratos!G:G,"CREDITO")
+SUMIFS(df_extratos!I:I,df_extratos!F:F,"&gt;="&amp;Conciliacao!BH274,df_extratos!F:F,"&lt;"&amp;Conciliacao!BH274+1,df_extratos!G:G,"CREDITO")</f>
        <v/>
      </c>
      <c r="I274" s="9">
        <f>H274-SUM(B274:G274)</f>
        <v/>
      </c>
      <c r="J274" s="4">
        <f>SUMIFS(df_blueme_sem_parcelamento!E:E,df_blueme_sem_parcelamento!H:H,Conciliacao!A274)*(-1)</f>
        <v/>
      </c>
      <c r="K274" s="4">
        <f>SUMIFS(df_blueme_com_parcelamento!J:J,df_blueme_com_parcelamento!M:M,Conciliacao!A274)*(-1)</f>
        <v/>
      </c>
      <c r="L274" s="4">
        <f>SUMIFS(df_mutuos!N:N,df_mutuos!B:B,Conciliacao!A274)*(-1)</f>
        <v/>
      </c>
      <c r="M274" s="8">
        <f>SUMIFS(df_bloqueios_judiciais!G:G,df_bloqueios_judiciais!D:D,Conciliacao!A274,df_bloqueios_judiciais!G:G,"&lt;0")</f>
        <v/>
      </c>
      <c r="N274" s="10">
        <f>SUMIFS(df_extratos!I:I,df_extratos!F:F,"&gt;="&amp;Conciliacao!BE274,df_extratos!F:F,"&lt;"&amp;Conciliacao!BE274+1,df_extratos!G:G,"DEBITO")
+SUMIFS(df_extratos!I:I,df_extratos!F:F,"&gt;="&amp;Conciliacao!A274, df_extratos!F:F,"&lt;"&amp;Conciliacao!A274+1, df_extratos!G:G,"DEBITO")
+SUMIFS(df_extratos!I:I,df_extratos!F:F,"&gt;="&amp;Conciliacao!BF274,df_extratos!F:F,"&lt;"&amp;Conciliacao!BF274+1,df_extratos!G:G,"DEBITO")
+SUMIFS(df_extratos!I:I,df_extratos!F:F,"&gt;="&amp;Conciliacao!BG274,df_extratos!F:F,"&lt;"&amp;Conciliacao!BG274+1,df_extratos!G:G,"DEBITO")
+SUMIFS(df_extratos!I:I,df_extratos!F:F,"&gt;="&amp;Conciliacao!BH274,df_extratos!F:F,"&lt;"&amp;Conciliacao!BH274+1,df_extratos!G:G,"DEBITO")</f>
        <v/>
      </c>
      <c r="O274" s="11">
        <f>N274-SUM(J274:M274)</f>
        <v/>
      </c>
      <c r="P274" s="25">
        <f>SUMIFS(df_ajustes_conciliaco!D:D,df_ajustes_conciliaco!C:C,Conciliacao!A274)</f>
        <v/>
      </c>
      <c r="Q274" s="22">
        <f>O274+I274-P274</f>
        <v/>
      </c>
      <c r="BE274" s="20" t="n">
        <v>45930.5</v>
      </c>
      <c r="BF274" s="20" t="n">
        <v>45930.125</v>
      </c>
      <c r="BG274" s="20" t="n">
        <v>45930.54166666666</v>
      </c>
      <c r="BH274" s="20" t="n">
        <v>45930.625</v>
      </c>
    </row>
    <row r="275">
      <c r="A275" s="5">
        <f>A274+1</f>
        <v/>
      </c>
      <c r="B275" s="3">
        <f>-SUMIFS(df_extrato_zig!G:G,df_extrato_zig!E:E,Conciliacao!A275,df_extrato_zig!D:D,"Saque")-SUMIFS(df_extrato_zig!G:G,df_extrato_zig!E:E,Conciliacao!A275,df_extrato_zig!D:D,"Antecipação")</f>
        <v/>
      </c>
      <c r="C275" s="3">
        <f>SUMIFS(df_extrato_zig!E:E,df_extrato_zig!L:L,Conciliacao!A275,df_extrato_zig!F:F,"DINHEIRO")</f>
        <v/>
      </c>
      <c r="D275" s="3">
        <f>SUMIFS(view_parc_agrup!H:H,view_parc_agrup!G:G,Conciliacao!A275)</f>
        <v/>
      </c>
      <c r="E275" s="3">
        <f>SUMIFS(df_eventos!F:F,df_eventos!H:H,Conciliacao!A275)</f>
        <v/>
      </c>
      <c r="F275" s="3">
        <f>SUMIFS(df_mutuos!M:M,df_mutuos!B:B,Conciliacao!A275)</f>
        <v/>
      </c>
      <c r="G275" s="6">
        <f>SUMIFS(df_bloqueios_judiciais!G:G,df_bloqueios_judiciais!D:D,Conciliacao!A275,df_bloqueios_judiciais!G:G,"&gt;0")</f>
        <v/>
      </c>
      <c r="H275" s="7">
        <f>SUMIFS(df_extratos!I:I,df_extratos!F:F,"&gt;="&amp;Conciliacao!BE275,df_extratos!F:F,"&lt;"&amp;Conciliacao!BE275+1,df_extratos!G:G,"CREDITO")
+SUMIFS(df_extratos!I:I,df_extratos!F:F,"&gt;="&amp;Conciliacao!A275, df_extratos!F:F,"&lt;"&amp;Conciliacao!A275+1, df_extratos!G:G,"CREDITO")
+SUMIFS(df_extratos!I:I,df_extratos!F:F,"&gt;="&amp;Conciliacao!BF275,df_extratos!F:F,"&lt;"&amp;Conciliacao!BF275+1,df_extratos!G:G,"CREDITO")
+SUMIFS(df_extratos!I:I,df_extratos!F:F,"&gt;="&amp;Conciliacao!BG275,df_extratos!F:F,"&lt;"&amp;Conciliacao!BG275+1,df_extratos!G:G,"CREDITO")
+SUMIFS(df_extratos!I:I,df_extratos!F:F,"&gt;="&amp;Conciliacao!BH275,df_extratos!F:F,"&lt;"&amp;Conciliacao!BH275+1,df_extratos!G:G,"CREDITO")</f>
        <v/>
      </c>
      <c r="I275" s="9">
        <f>H275-SUM(B275:G275)</f>
        <v/>
      </c>
      <c r="J275" s="4">
        <f>SUMIFS(df_blueme_sem_parcelamento!E:E,df_blueme_sem_parcelamento!H:H,Conciliacao!A275)*(-1)</f>
        <v/>
      </c>
      <c r="K275" s="4">
        <f>SUMIFS(df_blueme_com_parcelamento!J:J,df_blueme_com_parcelamento!M:M,Conciliacao!A275)*(-1)</f>
        <v/>
      </c>
      <c r="L275" s="4">
        <f>SUMIFS(df_mutuos!N:N,df_mutuos!B:B,Conciliacao!A275)*(-1)</f>
        <v/>
      </c>
      <c r="M275" s="8">
        <f>SUMIFS(df_bloqueios_judiciais!G:G,df_bloqueios_judiciais!D:D,Conciliacao!A275,df_bloqueios_judiciais!G:G,"&lt;0")</f>
        <v/>
      </c>
      <c r="N275" s="10">
        <f>SUMIFS(df_extratos!I:I,df_extratos!F:F,"&gt;="&amp;Conciliacao!BE275,df_extratos!F:F,"&lt;"&amp;Conciliacao!BE275+1,df_extratos!G:G,"DEBITO")
+SUMIFS(df_extratos!I:I,df_extratos!F:F,"&gt;="&amp;Conciliacao!A275, df_extratos!F:F,"&lt;"&amp;Conciliacao!A275+1, df_extratos!G:G,"DEBITO")
+SUMIFS(df_extratos!I:I,df_extratos!F:F,"&gt;="&amp;Conciliacao!BF275,df_extratos!F:F,"&lt;"&amp;Conciliacao!BF275+1,df_extratos!G:G,"DEBITO")
+SUMIFS(df_extratos!I:I,df_extratos!F:F,"&gt;="&amp;Conciliacao!BG275,df_extratos!F:F,"&lt;"&amp;Conciliacao!BG275+1,df_extratos!G:G,"DEBITO")
+SUMIFS(df_extratos!I:I,df_extratos!F:F,"&gt;="&amp;Conciliacao!BH275,df_extratos!F:F,"&lt;"&amp;Conciliacao!BH275+1,df_extratos!G:G,"DEBITO")</f>
        <v/>
      </c>
      <c r="O275" s="11">
        <f>N275-SUM(J275:M275)</f>
        <v/>
      </c>
      <c r="P275" s="25">
        <f>SUMIFS(df_ajustes_conciliaco!D:D,df_ajustes_conciliaco!C:C,Conciliacao!A275)</f>
        <v/>
      </c>
      <c r="Q275" s="22">
        <f>O275+I275-P275</f>
        <v/>
      </c>
      <c r="BE275" s="20" t="n">
        <v>45931.5</v>
      </c>
      <c r="BF275" s="20" t="n">
        <v>45931.125</v>
      </c>
      <c r="BG275" s="20" t="n">
        <v>45931.54166666666</v>
      </c>
      <c r="BH275" s="20" t="n">
        <v>45931.625</v>
      </c>
    </row>
    <row r="276">
      <c r="A276" s="5">
        <f>A275+1</f>
        <v/>
      </c>
      <c r="B276" s="3">
        <f>-SUMIFS(df_extrato_zig!G:G,df_extrato_zig!E:E,Conciliacao!A276,df_extrato_zig!D:D,"Saque")-SUMIFS(df_extrato_zig!G:G,df_extrato_zig!E:E,Conciliacao!A276,df_extrato_zig!D:D,"Antecipação")</f>
        <v/>
      </c>
      <c r="C276" s="3">
        <f>SUMIFS(df_extrato_zig!E:E,df_extrato_zig!L:L,Conciliacao!A276,df_extrato_zig!F:F,"DINHEIRO")</f>
        <v/>
      </c>
      <c r="D276" s="3">
        <f>SUMIFS(view_parc_agrup!H:H,view_parc_agrup!G:G,Conciliacao!A276)</f>
        <v/>
      </c>
      <c r="E276" s="3">
        <f>SUMIFS(df_eventos!F:F,df_eventos!H:H,Conciliacao!A276)</f>
        <v/>
      </c>
      <c r="F276" s="3">
        <f>SUMIFS(df_mutuos!M:M,df_mutuos!B:B,Conciliacao!A276)</f>
        <v/>
      </c>
      <c r="G276" s="6">
        <f>SUMIFS(df_bloqueios_judiciais!G:G,df_bloqueios_judiciais!D:D,Conciliacao!A276,df_bloqueios_judiciais!G:G,"&gt;0")</f>
        <v/>
      </c>
      <c r="H276" s="7">
        <f>SUMIFS(df_extratos!I:I,df_extratos!F:F,"&gt;="&amp;Conciliacao!BE276,df_extratos!F:F,"&lt;"&amp;Conciliacao!BE276+1,df_extratos!G:G,"CREDITO")
+SUMIFS(df_extratos!I:I,df_extratos!F:F,"&gt;="&amp;Conciliacao!A276, df_extratos!F:F,"&lt;"&amp;Conciliacao!A276+1, df_extratos!G:G,"CREDITO")
+SUMIFS(df_extratos!I:I,df_extratos!F:F,"&gt;="&amp;Conciliacao!BF276,df_extratos!F:F,"&lt;"&amp;Conciliacao!BF276+1,df_extratos!G:G,"CREDITO")
+SUMIFS(df_extratos!I:I,df_extratos!F:F,"&gt;="&amp;Conciliacao!BG276,df_extratos!F:F,"&lt;"&amp;Conciliacao!BG276+1,df_extratos!G:G,"CREDITO")
+SUMIFS(df_extratos!I:I,df_extratos!F:F,"&gt;="&amp;Conciliacao!BH276,df_extratos!F:F,"&lt;"&amp;Conciliacao!BH276+1,df_extratos!G:G,"CREDITO")</f>
        <v/>
      </c>
      <c r="I276" s="9">
        <f>H276-SUM(B276:G276)</f>
        <v/>
      </c>
      <c r="J276" s="4">
        <f>SUMIFS(df_blueme_sem_parcelamento!E:E,df_blueme_sem_parcelamento!H:H,Conciliacao!A276)*(-1)</f>
        <v/>
      </c>
      <c r="K276" s="4">
        <f>SUMIFS(df_blueme_com_parcelamento!J:J,df_blueme_com_parcelamento!M:M,Conciliacao!A276)*(-1)</f>
        <v/>
      </c>
      <c r="L276" s="4">
        <f>SUMIFS(df_mutuos!N:N,df_mutuos!B:B,Conciliacao!A276)*(-1)</f>
        <v/>
      </c>
      <c r="M276" s="8">
        <f>SUMIFS(df_bloqueios_judiciais!G:G,df_bloqueios_judiciais!D:D,Conciliacao!A276,df_bloqueios_judiciais!G:G,"&lt;0")</f>
        <v/>
      </c>
      <c r="N276" s="10">
        <f>SUMIFS(df_extratos!I:I,df_extratos!F:F,"&gt;="&amp;Conciliacao!BE276,df_extratos!F:F,"&lt;"&amp;Conciliacao!BE276+1,df_extratos!G:G,"DEBITO")
+SUMIFS(df_extratos!I:I,df_extratos!F:F,"&gt;="&amp;Conciliacao!A276, df_extratos!F:F,"&lt;"&amp;Conciliacao!A276+1, df_extratos!G:G,"DEBITO")
+SUMIFS(df_extratos!I:I,df_extratos!F:F,"&gt;="&amp;Conciliacao!BF276,df_extratos!F:F,"&lt;"&amp;Conciliacao!BF276+1,df_extratos!G:G,"DEBITO")
+SUMIFS(df_extratos!I:I,df_extratos!F:F,"&gt;="&amp;Conciliacao!BG276,df_extratos!F:F,"&lt;"&amp;Conciliacao!BG276+1,df_extratos!G:G,"DEBITO")
+SUMIFS(df_extratos!I:I,df_extratos!F:F,"&gt;="&amp;Conciliacao!BH276,df_extratos!F:F,"&lt;"&amp;Conciliacao!BH276+1,df_extratos!G:G,"DEBITO")</f>
        <v/>
      </c>
      <c r="O276" s="11">
        <f>N276-SUM(J276:M276)</f>
        <v/>
      </c>
      <c r="P276" s="25">
        <f>SUMIFS(df_ajustes_conciliaco!D:D,df_ajustes_conciliaco!C:C,Conciliacao!A276)</f>
        <v/>
      </c>
      <c r="Q276" s="22">
        <f>O276+I276-P276</f>
        <v/>
      </c>
      <c r="BE276" s="20" t="n">
        <v>45932.5</v>
      </c>
      <c r="BF276" s="20" t="n">
        <v>45932.125</v>
      </c>
      <c r="BG276" s="20" t="n">
        <v>45932.54166666666</v>
      </c>
      <c r="BH276" s="20" t="n">
        <v>45932.625</v>
      </c>
    </row>
    <row r="277">
      <c r="A277" s="5">
        <f>A276+1</f>
        <v/>
      </c>
      <c r="B277" s="3">
        <f>-SUMIFS(df_extrato_zig!G:G,df_extrato_zig!E:E,Conciliacao!A277,df_extrato_zig!D:D,"Saque")-SUMIFS(df_extrato_zig!G:G,df_extrato_zig!E:E,Conciliacao!A277,df_extrato_zig!D:D,"Antecipação")</f>
        <v/>
      </c>
      <c r="C277" s="3">
        <f>SUMIFS(df_extrato_zig!E:E,df_extrato_zig!L:L,Conciliacao!A277,df_extrato_zig!F:F,"DINHEIRO")</f>
        <v/>
      </c>
      <c r="D277" s="3">
        <f>SUMIFS(view_parc_agrup!H:H,view_parc_agrup!G:G,Conciliacao!A277)</f>
        <v/>
      </c>
      <c r="E277" s="3">
        <f>SUMIFS(df_eventos!F:F,df_eventos!H:H,Conciliacao!A277)</f>
        <v/>
      </c>
      <c r="F277" s="3">
        <f>SUMIFS(df_mutuos!M:M,df_mutuos!B:B,Conciliacao!A277)</f>
        <v/>
      </c>
      <c r="G277" s="6">
        <f>SUMIFS(df_bloqueios_judiciais!G:G,df_bloqueios_judiciais!D:D,Conciliacao!A277,df_bloqueios_judiciais!G:G,"&gt;0")</f>
        <v/>
      </c>
      <c r="H277" s="7">
        <f>SUMIFS(df_extratos!I:I,df_extratos!F:F,"&gt;="&amp;Conciliacao!BE277,df_extratos!F:F,"&lt;"&amp;Conciliacao!BE277+1,df_extratos!G:G,"CREDITO")
+SUMIFS(df_extratos!I:I,df_extratos!F:F,"&gt;="&amp;Conciliacao!A277, df_extratos!F:F,"&lt;"&amp;Conciliacao!A277+1, df_extratos!G:G,"CREDITO")
+SUMIFS(df_extratos!I:I,df_extratos!F:F,"&gt;="&amp;Conciliacao!BF277,df_extratos!F:F,"&lt;"&amp;Conciliacao!BF277+1,df_extratos!G:G,"CREDITO")
+SUMIFS(df_extratos!I:I,df_extratos!F:F,"&gt;="&amp;Conciliacao!BG277,df_extratos!F:F,"&lt;"&amp;Conciliacao!BG277+1,df_extratos!G:G,"CREDITO")
+SUMIFS(df_extratos!I:I,df_extratos!F:F,"&gt;="&amp;Conciliacao!BH277,df_extratos!F:F,"&lt;"&amp;Conciliacao!BH277+1,df_extratos!G:G,"CREDITO")</f>
        <v/>
      </c>
      <c r="I277" s="9">
        <f>H277-SUM(B277:G277)</f>
        <v/>
      </c>
      <c r="J277" s="4">
        <f>SUMIFS(df_blueme_sem_parcelamento!E:E,df_blueme_sem_parcelamento!H:H,Conciliacao!A277)*(-1)</f>
        <v/>
      </c>
      <c r="K277" s="4">
        <f>SUMIFS(df_blueme_com_parcelamento!J:J,df_blueme_com_parcelamento!M:M,Conciliacao!A277)*(-1)</f>
        <v/>
      </c>
      <c r="L277" s="4">
        <f>SUMIFS(df_mutuos!N:N,df_mutuos!B:B,Conciliacao!A277)*(-1)</f>
        <v/>
      </c>
      <c r="M277" s="8">
        <f>SUMIFS(df_bloqueios_judiciais!G:G,df_bloqueios_judiciais!D:D,Conciliacao!A277,df_bloqueios_judiciais!G:G,"&lt;0")</f>
        <v/>
      </c>
      <c r="N277" s="10">
        <f>SUMIFS(df_extratos!I:I,df_extratos!F:F,"&gt;="&amp;Conciliacao!BE277,df_extratos!F:F,"&lt;"&amp;Conciliacao!BE277+1,df_extratos!G:G,"DEBITO")
+SUMIFS(df_extratos!I:I,df_extratos!F:F,"&gt;="&amp;Conciliacao!A277, df_extratos!F:F,"&lt;"&amp;Conciliacao!A277+1, df_extratos!G:G,"DEBITO")
+SUMIFS(df_extratos!I:I,df_extratos!F:F,"&gt;="&amp;Conciliacao!BF277,df_extratos!F:F,"&lt;"&amp;Conciliacao!BF277+1,df_extratos!G:G,"DEBITO")
+SUMIFS(df_extratos!I:I,df_extratos!F:F,"&gt;="&amp;Conciliacao!BG277,df_extratos!F:F,"&lt;"&amp;Conciliacao!BG277+1,df_extratos!G:G,"DEBITO")
+SUMIFS(df_extratos!I:I,df_extratos!F:F,"&gt;="&amp;Conciliacao!BH277,df_extratos!F:F,"&lt;"&amp;Conciliacao!BH277+1,df_extratos!G:G,"DEBITO")</f>
        <v/>
      </c>
      <c r="O277" s="11">
        <f>N277-SUM(J277:M277)</f>
        <v/>
      </c>
      <c r="P277" s="25">
        <f>SUMIFS(df_ajustes_conciliaco!D:D,df_ajustes_conciliaco!C:C,Conciliacao!A277)</f>
        <v/>
      </c>
      <c r="Q277" s="22">
        <f>O277+I277-P277</f>
        <v/>
      </c>
      <c r="BE277" s="20" t="n">
        <v>45933.5</v>
      </c>
      <c r="BF277" s="20" t="n">
        <v>45933.125</v>
      </c>
      <c r="BG277" s="20" t="n">
        <v>45933.54166666666</v>
      </c>
      <c r="BH277" s="20" t="n">
        <v>45933.625</v>
      </c>
    </row>
    <row r="278">
      <c r="A278" s="5">
        <f>A277+1</f>
        <v/>
      </c>
      <c r="B278" s="3">
        <f>-SUMIFS(df_extrato_zig!G:G,df_extrato_zig!E:E,Conciliacao!A278,df_extrato_zig!D:D,"Saque")-SUMIFS(df_extrato_zig!G:G,df_extrato_zig!E:E,Conciliacao!A278,df_extrato_zig!D:D,"Antecipação")</f>
        <v/>
      </c>
      <c r="C278" s="3">
        <f>SUMIFS(df_extrato_zig!E:E,df_extrato_zig!L:L,Conciliacao!A278,df_extrato_zig!F:F,"DINHEIRO")</f>
        <v/>
      </c>
      <c r="D278" s="3">
        <f>SUMIFS(view_parc_agrup!H:H,view_parc_agrup!G:G,Conciliacao!A278)</f>
        <v/>
      </c>
      <c r="E278" s="3">
        <f>SUMIFS(df_eventos!F:F,df_eventos!H:H,Conciliacao!A278)</f>
        <v/>
      </c>
      <c r="F278" s="3">
        <f>SUMIFS(df_mutuos!M:M,df_mutuos!B:B,Conciliacao!A278)</f>
        <v/>
      </c>
      <c r="G278" s="6">
        <f>SUMIFS(df_bloqueios_judiciais!G:G,df_bloqueios_judiciais!D:D,Conciliacao!A278,df_bloqueios_judiciais!G:G,"&gt;0")</f>
        <v/>
      </c>
      <c r="H278" s="7">
        <f>SUMIFS(df_extratos!I:I,df_extratos!F:F,"&gt;="&amp;Conciliacao!BE278,df_extratos!F:F,"&lt;"&amp;Conciliacao!BE278+1,df_extratos!G:G,"CREDITO")
+SUMIFS(df_extratos!I:I,df_extratos!F:F,"&gt;="&amp;Conciliacao!A278, df_extratos!F:F,"&lt;"&amp;Conciliacao!A278+1, df_extratos!G:G,"CREDITO")
+SUMIFS(df_extratos!I:I,df_extratos!F:F,"&gt;="&amp;Conciliacao!BF278,df_extratos!F:F,"&lt;"&amp;Conciliacao!BF278+1,df_extratos!G:G,"CREDITO")
+SUMIFS(df_extratos!I:I,df_extratos!F:F,"&gt;="&amp;Conciliacao!BG278,df_extratos!F:F,"&lt;"&amp;Conciliacao!BG278+1,df_extratos!G:G,"CREDITO")
+SUMIFS(df_extratos!I:I,df_extratos!F:F,"&gt;="&amp;Conciliacao!BH278,df_extratos!F:F,"&lt;"&amp;Conciliacao!BH278+1,df_extratos!G:G,"CREDITO")</f>
        <v/>
      </c>
      <c r="I278" s="9">
        <f>H278-SUM(B278:G278)</f>
        <v/>
      </c>
      <c r="J278" s="4">
        <f>SUMIFS(df_blueme_sem_parcelamento!E:E,df_blueme_sem_parcelamento!H:H,Conciliacao!A278)*(-1)</f>
        <v/>
      </c>
      <c r="K278" s="4">
        <f>SUMIFS(df_blueme_com_parcelamento!J:J,df_blueme_com_parcelamento!M:M,Conciliacao!A278)*(-1)</f>
        <v/>
      </c>
      <c r="L278" s="4">
        <f>SUMIFS(df_mutuos!N:N,df_mutuos!B:B,Conciliacao!A278)*(-1)</f>
        <v/>
      </c>
      <c r="M278" s="8">
        <f>SUMIFS(df_bloqueios_judiciais!G:G,df_bloqueios_judiciais!D:D,Conciliacao!A278,df_bloqueios_judiciais!G:G,"&lt;0")</f>
        <v/>
      </c>
      <c r="N278" s="10">
        <f>SUMIFS(df_extratos!I:I,df_extratos!F:F,"&gt;="&amp;Conciliacao!BE278,df_extratos!F:F,"&lt;"&amp;Conciliacao!BE278+1,df_extratos!G:G,"DEBITO")
+SUMIFS(df_extratos!I:I,df_extratos!F:F,"&gt;="&amp;Conciliacao!A278, df_extratos!F:F,"&lt;"&amp;Conciliacao!A278+1, df_extratos!G:G,"DEBITO")
+SUMIFS(df_extratos!I:I,df_extratos!F:F,"&gt;="&amp;Conciliacao!BF278,df_extratos!F:F,"&lt;"&amp;Conciliacao!BF278+1,df_extratos!G:G,"DEBITO")
+SUMIFS(df_extratos!I:I,df_extratos!F:F,"&gt;="&amp;Conciliacao!BG278,df_extratos!F:F,"&lt;"&amp;Conciliacao!BG278+1,df_extratos!G:G,"DEBITO")
+SUMIFS(df_extratos!I:I,df_extratos!F:F,"&gt;="&amp;Conciliacao!BH278,df_extratos!F:F,"&lt;"&amp;Conciliacao!BH278+1,df_extratos!G:G,"DEBITO")</f>
        <v/>
      </c>
      <c r="O278" s="11">
        <f>N278-SUM(J278:M278)</f>
        <v/>
      </c>
      <c r="P278" s="25">
        <f>SUMIFS(df_ajustes_conciliaco!D:D,df_ajustes_conciliaco!C:C,Conciliacao!A278)</f>
        <v/>
      </c>
      <c r="Q278" s="22">
        <f>O278+I278-P278</f>
        <v/>
      </c>
      <c r="BE278" s="20" t="n">
        <v>45934.5</v>
      </c>
      <c r="BF278" s="20" t="n">
        <v>45934.125</v>
      </c>
      <c r="BG278" s="20" t="n">
        <v>45934.54166666666</v>
      </c>
      <c r="BH278" s="20" t="n">
        <v>45934.625</v>
      </c>
    </row>
    <row r="279">
      <c r="A279" s="5">
        <f>A278+1</f>
        <v/>
      </c>
      <c r="B279" s="3">
        <f>-SUMIFS(df_extrato_zig!G:G,df_extrato_zig!E:E,Conciliacao!A279,df_extrato_zig!D:D,"Saque")-SUMIFS(df_extrato_zig!G:G,df_extrato_zig!E:E,Conciliacao!A279,df_extrato_zig!D:D,"Antecipação")</f>
        <v/>
      </c>
      <c r="C279" s="3">
        <f>SUMIFS(df_extrato_zig!E:E,df_extrato_zig!L:L,Conciliacao!A279,df_extrato_zig!F:F,"DINHEIRO")</f>
        <v/>
      </c>
      <c r="D279" s="3">
        <f>SUMIFS(view_parc_agrup!H:H,view_parc_agrup!G:G,Conciliacao!A279)</f>
        <v/>
      </c>
      <c r="E279" s="3">
        <f>SUMIFS(df_eventos!F:F,df_eventos!H:H,Conciliacao!A279)</f>
        <v/>
      </c>
      <c r="F279" s="3">
        <f>SUMIFS(df_mutuos!M:M,df_mutuos!B:B,Conciliacao!A279)</f>
        <v/>
      </c>
      <c r="G279" s="6">
        <f>SUMIFS(df_bloqueios_judiciais!G:G,df_bloqueios_judiciais!D:D,Conciliacao!A279,df_bloqueios_judiciais!G:G,"&gt;0")</f>
        <v/>
      </c>
      <c r="H279" s="7">
        <f>SUMIFS(df_extratos!I:I,df_extratos!F:F,"&gt;="&amp;Conciliacao!BE279,df_extratos!F:F,"&lt;"&amp;Conciliacao!BE279+1,df_extratos!G:G,"CREDITO")
+SUMIFS(df_extratos!I:I,df_extratos!F:F,"&gt;="&amp;Conciliacao!A279, df_extratos!F:F,"&lt;"&amp;Conciliacao!A279+1, df_extratos!G:G,"CREDITO")
+SUMIFS(df_extratos!I:I,df_extratos!F:F,"&gt;="&amp;Conciliacao!BF279,df_extratos!F:F,"&lt;"&amp;Conciliacao!BF279+1,df_extratos!G:G,"CREDITO")
+SUMIFS(df_extratos!I:I,df_extratos!F:F,"&gt;="&amp;Conciliacao!BG279,df_extratos!F:F,"&lt;"&amp;Conciliacao!BG279+1,df_extratos!G:G,"CREDITO")
+SUMIFS(df_extratos!I:I,df_extratos!F:F,"&gt;="&amp;Conciliacao!BH279,df_extratos!F:F,"&lt;"&amp;Conciliacao!BH279+1,df_extratos!G:G,"CREDITO")</f>
        <v/>
      </c>
      <c r="I279" s="9">
        <f>H279-SUM(B279:G279)</f>
        <v/>
      </c>
      <c r="J279" s="4">
        <f>SUMIFS(df_blueme_sem_parcelamento!E:E,df_blueme_sem_parcelamento!H:H,Conciliacao!A279)*(-1)</f>
        <v/>
      </c>
      <c r="K279" s="4">
        <f>SUMIFS(df_blueme_com_parcelamento!J:J,df_blueme_com_parcelamento!M:M,Conciliacao!A279)*(-1)</f>
        <v/>
      </c>
      <c r="L279" s="4">
        <f>SUMIFS(df_mutuos!N:N,df_mutuos!B:B,Conciliacao!A279)*(-1)</f>
        <v/>
      </c>
      <c r="M279" s="8">
        <f>SUMIFS(df_bloqueios_judiciais!G:G,df_bloqueios_judiciais!D:D,Conciliacao!A279,df_bloqueios_judiciais!G:G,"&lt;0")</f>
        <v/>
      </c>
      <c r="N279" s="10">
        <f>SUMIFS(df_extratos!I:I,df_extratos!F:F,"&gt;="&amp;Conciliacao!BE279,df_extratos!F:F,"&lt;"&amp;Conciliacao!BE279+1,df_extratos!G:G,"DEBITO")
+SUMIFS(df_extratos!I:I,df_extratos!F:F,"&gt;="&amp;Conciliacao!A279, df_extratos!F:F,"&lt;"&amp;Conciliacao!A279+1, df_extratos!G:G,"DEBITO")
+SUMIFS(df_extratos!I:I,df_extratos!F:F,"&gt;="&amp;Conciliacao!BF279,df_extratos!F:F,"&lt;"&amp;Conciliacao!BF279+1,df_extratos!G:G,"DEBITO")
+SUMIFS(df_extratos!I:I,df_extratos!F:F,"&gt;="&amp;Conciliacao!BG279,df_extratos!F:F,"&lt;"&amp;Conciliacao!BG279+1,df_extratos!G:G,"DEBITO")
+SUMIFS(df_extratos!I:I,df_extratos!F:F,"&gt;="&amp;Conciliacao!BH279,df_extratos!F:F,"&lt;"&amp;Conciliacao!BH279+1,df_extratos!G:G,"DEBITO")</f>
        <v/>
      </c>
      <c r="O279" s="11">
        <f>N279-SUM(J279:M279)</f>
        <v/>
      </c>
      <c r="P279" s="25">
        <f>SUMIFS(df_ajustes_conciliaco!D:D,df_ajustes_conciliaco!C:C,Conciliacao!A279)</f>
        <v/>
      </c>
      <c r="Q279" s="22">
        <f>O279+I279-P279</f>
        <v/>
      </c>
      <c r="BE279" s="20" t="n">
        <v>45935.5</v>
      </c>
      <c r="BF279" s="20" t="n">
        <v>45935.125</v>
      </c>
      <c r="BG279" s="20" t="n">
        <v>45935.54166666666</v>
      </c>
      <c r="BH279" s="20" t="n">
        <v>45935.625</v>
      </c>
    </row>
    <row r="280">
      <c r="A280" s="5">
        <f>A279+1</f>
        <v/>
      </c>
      <c r="B280" s="3">
        <f>-SUMIFS(df_extrato_zig!G:G,df_extrato_zig!E:E,Conciliacao!A280,df_extrato_zig!D:D,"Saque")-SUMIFS(df_extrato_zig!G:G,df_extrato_zig!E:E,Conciliacao!A280,df_extrato_zig!D:D,"Antecipação")</f>
        <v/>
      </c>
      <c r="C280" s="3">
        <f>SUMIFS(df_extrato_zig!E:E,df_extrato_zig!L:L,Conciliacao!A280,df_extrato_zig!F:F,"DINHEIRO")</f>
        <v/>
      </c>
      <c r="D280" s="3">
        <f>SUMIFS(view_parc_agrup!H:H,view_parc_agrup!G:G,Conciliacao!A280)</f>
        <v/>
      </c>
      <c r="E280" s="3">
        <f>SUMIFS(df_eventos!F:F,df_eventos!H:H,Conciliacao!A280)</f>
        <v/>
      </c>
      <c r="F280" s="3">
        <f>SUMIFS(df_mutuos!M:M,df_mutuos!B:B,Conciliacao!A280)</f>
        <v/>
      </c>
      <c r="G280" s="6">
        <f>SUMIFS(df_bloqueios_judiciais!G:G,df_bloqueios_judiciais!D:D,Conciliacao!A280,df_bloqueios_judiciais!G:G,"&gt;0")</f>
        <v/>
      </c>
      <c r="H280" s="7">
        <f>SUMIFS(df_extratos!I:I,df_extratos!F:F,"&gt;="&amp;Conciliacao!BE280,df_extratos!F:F,"&lt;"&amp;Conciliacao!BE280+1,df_extratos!G:G,"CREDITO")
+SUMIFS(df_extratos!I:I,df_extratos!F:F,"&gt;="&amp;Conciliacao!A280, df_extratos!F:F,"&lt;"&amp;Conciliacao!A280+1, df_extratos!G:G,"CREDITO")
+SUMIFS(df_extratos!I:I,df_extratos!F:F,"&gt;="&amp;Conciliacao!BF280,df_extratos!F:F,"&lt;"&amp;Conciliacao!BF280+1,df_extratos!G:G,"CREDITO")
+SUMIFS(df_extratos!I:I,df_extratos!F:F,"&gt;="&amp;Conciliacao!BG280,df_extratos!F:F,"&lt;"&amp;Conciliacao!BG280+1,df_extratos!G:G,"CREDITO")
+SUMIFS(df_extratos!I:I,df_extratos!F:F,"&gt;="&amp;Conciliacao!BH280,df_extratos!F:F,"&lt;"&amp;Conciliacao!BH280+1,df_extratos!G:G,"CREDITO")</f>
        <v/>
      </c>
      <c r="I280" s="9">
        <f>H280-SUM(B280:G280)</f>
        <v/>
      </c>
      <c r="J280" s="4">
        <f>SUMIFS(df_blueme_sem_parcelamento!E:E,df_blueme_sem_parcelamento!H:H,Conciliacao!A280)*(-1)</f>
        <v/>
      </c>
      <c r="K280" s="4">
        <f>SUMIFS(df_blueme_com_parcelamento!J:J,df_blueme_com_parcelamento!M:M,Conciliacao!A280)*(-1)</f>
        <v/>
      </c>
      <c r="L280" s="4">
        <f>SUMIFS(df_mutuos!N:N,df_mutuos!B:B,Conciliacao!A280)*(-1)</f>
        <v/>
      </c>
      <c r="M280" s="8">
        <f>SUMIFS(df_bloqueios_judiciais!G:G,df_bloqueios_judiciais!D:D,Conciliacao!A280,df_bloqueios_judiciais!G:G,"&lt;0")</f>
        <v/>
      </c>
      <c r="N280" s="10">
        <f>SUMIFS(df_extratos!I:I,df_extratos!F:F,"&gt;="&amp;Conciliacao!BE280,df_extratos!F:F,"&lt;"&amp;Conciliacao!BE280+1,df_extratos!G:G,"DEBITO")
+SUMIFS(df_extratos!I:I,df_extratos!F:F,"&gt;="&amp;Conciliacao!A280, df_extratos!F:F,"&lt;"&amp;Conciliacao!A280+1, df_extratos!G:G,"DEBITO")
+SUMIFS(df_extratos!I:I,df_extratos!F:F,"&gt;="&amp;Conciliacao!BF280,df_extratos!F:F,"&lt;"&amp;Conciliacao!BF280+1,df_extratos!G:G,"DEBITO")
+SUMIFS(df_extratos!I:I,df_extratos!F:F,"&gt;="&amp;Conciliacao!BG280,df_extratos!F:F,"&lt;"&amp;Conciliacao!BG280+1,df_extratos!G:G,"DEBITO")
+SUMIFS(df_extratos!I:I,df_extratos!F:F,"&gt;="&amp;Conciliacao!BH280,df_extratos!F:F,"&lt;"&amp;Conciliacao!BH280+1,df_extratos!G:G,"DEBITO")</f>
        <v/>
      </c>
      <c r="O280" s="11">
        <f>N280-SUM(J280:M280)</f>
        <v/>
      </c>
      <c r="P280" s="25">
        <f>SUMIFS(df_ajustes_conciliaco!D:D,df_ajustes_conciliaco!C:C,Conciliacao!A280)</f>
        <v/>
      </c>
      <c r="Q280" s="22">
        <f>O280+I280-P280</f>
        <v/>
      </c>
      <c r="BE280" s="20" t="n">
        <v>45936.5</v>
      </c>
      <c r="BF280" s="20" t="n">
        <v>45936.125</v>
      </c>
      <c r="BG280" s="20" t="n">
        <v>45936.54166666666</v>
      </c>
      <c r="BH280" s="20" t="n">
        <v>45936.625</v>
      </c>
    </row>
    <row r="281">
      <c r="A281" s="5">
        <f>A280+1</f>
        <v/>
      </c>
      <c r="B281" s="3">
        <f>-SUMIFS(df_extrato_zig!G:G,df_extrato_zig!E:E,Conciliacao!A281,df_extrato_zig!D:D,"Saque")-SUMIFS(df_extrato_zig!G:G,df_extrato_zig!E:E,Conciliacao!A281,df_extrato_zig!D:D,"Antecipação")</f>
        <v/>
      </c>
      <c r="C281" s="3">
        <f>SUMIFS(df_extrato_zig!E:E,df_extrato_zig!L:L,Conciliacao!A281,df_extrato_zig!F:F,"DINHEIRO")</f>
        <v/>
      </c>
      <c r="D281" s="3">
        <f>SUMIFS(view_parc_agrup!H:H,view_parc_agrup!G:G,Conciliacao!A281)</f>
        <v/>
      </c>
      <c r="E281" s="3">
        <f>SUMIFS(df_eventos!F:F,df_eventos!H:H,Conciliacao!A281)</f>
        <v/>
      </c>
      <c r="F281" s="3">
        <f>SUMIFS(df_mutuos!M:M,df_mutuos!B:B,Conciliacao!A281)</f>
        <v/>
      </c>
      <c r="G281" s="6">
        <f>SUMIFS(df_bloqueios_judiciais!G:G,df_bloqueios_judiciais!D:D,Conciliacao!A281,df_bloqueios_judiciais!G:G,"&gt;0")</f>
        <v/>
      </c>
      <c r="H281" s="7">
        <f>SUMIFS(df_extratos!I:I,df_extratos!F:F,"&gt;="&amp;Conciliacao!BE281,df_extratos!F:F,"&lt;"&amp;Conciliacao!BE281+1,df_extratos!G:G,"CREDITO")
+SUMIFS(df_extratos!I:I,df_extratos!F:F,"&gt;="&amp;Conciliacao!A281, df_extratos!F:F,"&lt;"&amp;Conciliacao!A281+1, df_extratos!G:G,"CREDITO")
+SUMIFS(df_extratos!I:I,df_extratos!F:F,"&gt;="&amp;Conciliacao!BF281,df_extratos!F:F,"&lt;"&amp;Conciliacao!BF281+1,df_extratos!G:G,"CREDITO")
+SUMIFS(df_extratos!I:I,df_extratos!F:F,"&gt;="&amp;Conciliacao!BG281,df_extratos!F:F,"&lt;"&amp;Conciliacao!BG281+1,df_extratos!G:G,"CREDITO")
+SUMIFS(df_extratos!I:I,df_extratos!F:F,"&gt;="&amp;Conciliacao!BH281,df_extratos!F:F,"&lt;"&amp;Conciliacao!BH281+1,df_extratos!G:G,"CREDITO")</f>
        <v/>
      </c>
      <c r="I281" s="9">
        <f>H281-SUM(B281:G281)</f>
        <v/>
      </c>
      <c r="J281" s="4">
        <f>SUMIFS(df_blueme_sem_parcelamento!E:E,df_blueme_sem_parcelamento!H:H,Conciliacao!A281)*(-1)</f>
        <v/>
      </c>
      <c r="K281" s="4">
        <f>SUMIFS(df_blueme_com_parcelamento!J:J,df_blueme_com_parcelamento!M:M,Conciliacao!A281)*(-1)</f>
        <v/>
      </c>
      <c r="L281" s="4">
        <f>SUMIFS(df_mutuos!N:N,df_mutuos!B:B,Conciliacao!A281)*(-1)</f>
        <v/>
      </c>
      <c r="M281" s="8">
        <f>SUMIFS(df_bloqueios_judiciais!G:G,df_bloqueios_judiciais!D:D,Conciliacao!A281,df_bloqueios_judiciais!G:G,"&lt;0")</f>
        <v/>
      </c>
      <c r="N281" s="10">
        <f>SUMIFS(df_extratos!I:I,df_extratos!F:F,"&gt;="&amp;Conciliacao!BE281,df_extratos!F:F,"&lt;"&amp;Conciliacao!BE281+1,df_extratos!G:G,"DEBITO")
+SUMIFS(df_extratos!I:I,df_extratos!F:F,"&gt;="&amp;Conciliacao!A281, df_extratos!F:F,"&lt;"&amp;Conciliacao!A281+1, df_extratos!G:G,"DEBITO")
+SUMIFS(df_extratos!I:I,df_extratos!F:F,"&gt;="&amp;Conciliacao!BF281,df_extratos!F:F,"&lt;"&amp;Conciliacao!BF281+1,df_extratos!G:G,"DEBITO")
+SUMIFS(df_extratos!I:I,df_extratos!F:F,"&gt;="&amp;Conciliacao!BG281,df_extratos!F:F,"&lt;"&amp;Conciliacao!BG281+1,df_extratos!G:G,"DEBITO")
+SUMIFS(df_extratos!I:I,df_extratos!F:F,"&gt;="&amp;Conciliacao!BH281,df_extratos!F:F,"&lt;"&amp;Conciliacao!BH281+1,df_extratos!G:G,"DEBITO")</f>
        <v/>
      </c>
      <c r="O281" s="11">
        <f>N281-SUM(J281:M281)</f>
        <v/>
      </c>
      <c r="P281" s="25">
        <f>SUMIFS(df_ajustes_conciliaco!D:D,df_ajustes_conciliaco!C:C,Conciliacao!A281)</f>
        <v/>
      </c>
      <c r="Q281" s="22">
        <f>O281+I281-P281</f>
        <v/>
      </c>
      <c r="BE281" s="20" t="n">
        <v>45937.5</v>
      </c>
      <c r="BF281" s="20" t="n">
        <v>45937.125</v>
      </c>
      <c r="BG281" s="20" t="n">
        <v>45937.54166666666</v>
      </c>
      <c r="BH281" s="20" t="n">
        <v>45937.625</v>
      </c>
    </row>
    <row r="282">
      <c r="A282" s="5">
        <f>A281+1</f>
        <v/>
      </c>
      <c r="B282" s="3">
        <f>-SUMIFS(df_extrato_zig!G:G,df_extrato_zig!E:E,Conciliacao!A282,df_extrato_zig!D:D,"Saque")-SUMIFS(df_extrato_zig!G:G,df_extrato_zig!E:E,Conciliacao!A282,df_extrato_zig!D:D,"Antecipação")</f>
        <v/>
      </c>
      <c r="C282" s="3">
        <f>SUMIFS(df_extrato_zig!E:E,df_extrato_zig!L:L,Conciliacao!A282,df_extrato_zig!F:F,"DINHEIRO")</f>
        <v/>
      </c>
      <c r="D282" s="3">
        <f>SUMIFS(view_parc_agrup!H:H,view_parc_agrup!G:G,Conciliacao!A282)</f>
        <v/>
      </c>
      <c r="E282" s="3">
        <f>SUMIFS(df_eventos!F:F,df_eventos!H:H,Conciliacao!A282)</f>
        <v/>
      </c>
      <c r="F282" s="3">
        <f>SUMIFS(df_mutuos!M:M,df_mutuos!B:B,Conciliacao!A282)</f>
        <v/>
      </c>
      <c r="G282" s="6">
        <f>SUMIFS(df_bloqueios_judiciais!G:G,df_bloqueios_judiciais!D:D,Conciliacao!A282,df_bloqueios_judiciais!G:G,"&gt;0")</f>
        <v/>
      </c>
      <c r="H282" s="7">
        <f>SUMIFS(df_extratos!I:I,df_extratos!F:F,"&gt;="&amp;Conciliacao!BE282,df_extratos!F:F,"&lt;"&amp;Conciliacao!BE282+1,df_extratos!G:G,"CREDITO")
+SUMIFS(df_extratos!I:I,df_extratos!F:F,"&gt;="&amp;Conciliacao!A282, df_extratos!F:F,"&lt;"&amp;Conciliacao!A282+1, df_extratos!G:G,"CREDITO")
+SUMIFS(df_extratos!I:I,df_extratos!F:F,"&gt;="&amp;Conciliacao!BF282,df_extratos!F:F,"&lt;"&amp;Conciliacao!BF282+1,df_extratos!G:G,"CREDITO")
+SUMIFS(df_extratos!I:I,df_extratos!F:F,"&gt;="&amp;Conciliacao!BG282,df_extratos!F:F,"&lt;"&amp;Conciliacao!BG282+1,df_extratos!G:G,"CREDITO")
+SUMIFS(df_extratos!I:I,df_extratos!F:F,"&gt;="&amp;Conciliacao!BH282,df_extratos!F:F,"&lt;"&amp;Conciliacao!BH282+1,df_extratos!G:G,"CREDITO")</f>
        <v/>
      </c>
      <c r="I282" s="9">
        <f>H282-SUM(B282:G282)</f>
        <v/>
      </c>
      <c r="J282" s="4">
        <f>SUMIFS(df_blueme_sem_parcelamento!E:E,df_blueme_sem_parcelamento!H:H,Conciliacao!A282)*(-1)</f>
        <v/>
      </c>
      <c r="K282" s="4">
        <f>SUMIFS(df_blueme_com_parcelamento!J:J,df_blueme_com_parcelamento!M:M,Conciliacao!A282)*(-1)</f>
        <v/>
      </c>
      <c r="L282" s="4">
        <f>SUMIFS(df_mutuos!N:N,df_mutuos!B:B,Conciliacao!A282)*(-1)</f>
        <v/>
      </c>
      <c r="M282" s="8">
        <f>SUMIFS(df_bloqueios_judiciais!G:G,df_bloqueios_judiciais!D:D,Conciliacao!A282,df_bloqueios_judiciais!G:G,"&lt;0")</f>
        <v/>
      </c>
      <c r="N282" s="10">
        <f>SUMIFS(df_extratos!I:I,df_extratos!F:F,"&gt;="&amp;Conciliacao!BE282,df_extratos!F:F,"&lt;"&amp;Conciliacao!BE282+1,df_extratos!G:G,"DEBITO")
+SUMIFS(df_extratos!I:I,df_extratos!F:F,"&gt;="&amp;Conciliacao!A282, df_extratos!F:F,"&lt;"&amp;Conciliacao!A282+1, df_extratos!G:G,"DEBITO")
+SUMIFS(df_extratos!I:I,df_extratos!F:F,"&gt;="&amp;Conciliacao!BF282,df_extratos!F:F,"&lt;"&amp;Conciliacao!BF282+1,df_extratos!G:G,"DEBITO")
+SUMIFS(df_extratos!I:I,df_extratos!F:F,"&gt;="&amp;Conciliacao!BG282,df_extratos!F:F,"&lt;"&amp;Conciliacao!BG282+1,df_extratos!G:G,"DEBITO")
+SUMIFS(df_extratos!I:I,df_extratos!F:F,"&gt;="&amp;Conciliacao!BH282,df_extratos!F:F,"&lt;"&amp;Conciliacao!BH282+1,df_extratos!G:G,"DEBITO")</f>
        <v/>
      </c>
      <c r="O282" s="11">
        <f>N282-SUM(J282:M282)</f>
        <v/>
      </c>
      <c r="P282" s="25">
        <f>SUMIFS(df_ajustes_conciliaco!D:D,df_ajustes_conciliaco!C:C,Conciliacao!A282)</f>
        <v/>
      </c>
      <c r="Q282" s="22">
        <f>O282+I282-P282</f>
        <v/>
      </c>
      <c r="BE282" s="20" t="n">
        <v>45938.5</v>
      </c>
      <c r="BF282" s="20" t="n">
        <v>45938.125</v>
      </c>
      <c r="BG282" s="20" t="n">
        <v>45938.54166666666</v>
      </c>
      <c r="BH282" s="20" t="n">
        <v>45938.625</v>
      </c>
    </row>
    <row r="283">
      <c r="A283" s="5">
        <f>A282+1</f>
        <v/>
      </c>
      <c r="B283" s="3">
        <f>-SUMIFS(df_extrato_zig!G:G,df_extrato_zig!E:E,Conciliacao!A283,df_extrato_zig!D:D,"Saque")-SUMIFS(df_extrato_zig!G:G,df_extrato_zig!E:E,Conciliacao!A283,df_extrato_zig!D:D,"Antecipação")</f>
        <v/>
      </c>
      <c r="C283" s="3">
        <f>SUMIFS(df_extrato_zig!E:E,df_extrato_zig!L:L,Conciliacao!A283,df_extrato_zig!F:F,"DINHEIRO")</f>
        <v/>
      </c>
      <c r="D283" s="3">
        <f>SUMIFS(view_parc_agrup!H:H,view_parc_agrup!G:G,Conciliacao!A283)</f>
        <v/>
      </c>
      <c r="E283" s="3">
        <f>SUMIFS(df_eventos!F:F,df_eventos!H:H,Conciliacao!A283)</f>
        <v/>
      </c>
      <c r="F283" s="3">
        <f>SUMIFS(df_mutuos!M:M,df_mutuos!B:B,Conciliacao!A283)</f>
        <v/>
      </c>
      <c r="G283" s="6">
        <f>SUMIFS(df_bloqueios_judiciais!G:G,df_bloqueios_judiciais!D:D,Conciliacao!A283,df_bloqueios_judiciais!G:G,"&gt;0")</f>
        <v/>
      </c>
      <c r="H283" s="7">
        <f>SUMIFS(df_extratos!I:I,df_extratos!F:F,"&gt;="&amp;Conciliacao!BE283,df_extratos!F:F,"&lt;"&amp;Conciliacao!BE283+1,df_extratos!G:G,"CREDITO")
+SUMIFS(df_extratos!I:I,df_extratos!F:F,"&gt;="&amp;Conciliacao!A283, df_extratos!F:F,"&lt;"&amp;Conciliacao!A283+1, df_extratos!G:G,"CREDITO")
+SUMIFS(df_extratos!I:I,df_extratos!F:F,"&gt;="&amp;Conciliacao!BF283,df_extratos!F:F,"&lt;"&amp;Conciliacao!BF283+1,df_extratos!G:G,"CREDITO")
+SUMIFS(df_extratos!I:I,df_extratos!F:F,"&gt;="&amp;Conciliacao!BG283,df_extratos!F:F,"&lt;"&amp;Conciliacao!BG283+1,df_extratos!G:G,"CREDITO")
+SUMIFS(df_extratos!I:I,df_extratos!F:F,"&gt;="&amp;Conciliacao!BH283,df_extratos!F:F,"&lt;"&amp;Conciliacao!BH283+1,df_extratos!G:G,"CREDITO")</f>
        <v/>
      </c>
      <c r="I283" s="9">
        <f>H283-SUM(B283:G283)</f>
        <v/>
      </c>
      <c r="J283" s="4">
        <f>SUMIFS(df_blueme_sem_parcelamento!E:E,df_blueme_sem_parcelamento!H:H,Conciliacao!A283)*(-1)</f>
        <v/>
      </c>
      <c r="K283" s="4">
        <f>SUMIFS(df_blueme_com_parcelamento!J:J,df_blueme_com_parcelamento!M:M,Conciliacao!A283)*(-1)</f>
        <v/>
      </c>
      <c r="L283" s="4">
        <f>SUMIFS(df_mutuos!N:N,df_mutuos!B:B,Conciliacao!A283)*(-1)</f>
        <v/>
      </c>
      <c r="M283" s="8">
        <f>SUMIFS(df_bloqueios_judiciais!G:G,df_bloqueios_judiciais!D:D,Conciliacao!A283,df_bloqueios_judiciais!G:G,"&lt;0")</f>
        <v/>
      </c>
      <c r="N283" s="10">
        <f>SUMIFS(df_extratos!I:I,df_extratos!F:F,"&gt;="&amp;Conciliacao!BE283,df_extratos!F:F,"&lt;"&amp;Conciliacao!BE283+1,df_extratos!G:G,"DEBITO")
+SUMIFS(df_extratos!I:I,df_extratos!F:F,"&gt;="&amp;Conciliacao!A283, df_extratos!F:F,"&lt;"&amp;Conciliacao!A283+1, df_extratos!G:G,"DEBITO")
+SUMIFS(df_extratos!I:I,df_extratos!F:F,"&gt;="&amp;Conciliacao!BF283,df_extratos!F:F,"&lt;"&amp;Conciliacao!BF283+1,df_extratos!G:G,"DEBITO")
+SUMIFS(df_extratos!I:I,df_extratos!F:F,"&gt;="&amp;Conciliacao!BG283,df_extratos!F:F,"&lt;"&amp;Conciliacao!BG283+1,df_extratos!G:G,"DEBITO")
+SUMIFS(df_extratos!I:I,df_extratos!F:F,"&gt;="&amp;Conciliacao!BH283,df_extratos!F:F,"&lt;"&amp;Conciliacao!BH283+1,df_extratos!G:G,"DEBITO")</f>
        <v/>
      </c>
      <c r="O283" s="11">
        <f>N283-SUM(J283:M283)</f>
        <v/>
      </c>
      <c r="P283" s="25">
        <f>SUMIFS(df_ajustes_conciliaco!D:D,df_ajustes_conciliaco!C:C,Conciliacao!A283)</f>
        <v/>
      </c>
      <c r="Q283" s="22">
        <f>O283+I283-P283</f>
        <v/>
      </c>
      <c r="BE283" s="20" t="n">
        <v>45939.5</v>
      </c>
      <c r="BF283" s="20" t="n">
        <v>45939.125</v>
      </c>
      <c r="BG283" s="20" t="n">
        <v>45939.54166666666</v>
      </c>
      <c r="BH283" s="20" t="n">
        <v>45939.625</v>
      </c>
    </row>
    <row r="284">
      <c r="A284" s="5">
        <f>A283+1</f>
        <v/>
      </c>
      <c r="B284" s="3">
        <f>-SUMIFS(df_extrato_zig!G:G,df_extrato_zig!E:E,Conciliacao!A284,df_extrato_zig!D:D,"Saque")-SUMIFS(df_extrato_zig!G:G,df_extrato_zig!E:E,Conciliacao!A284,df_extrato_zig!D:D,"Antecipação")</f>
        <v/>
      </c>
      <c r="C284" s="3">
        <f>SUMIFS(df_extrato_zig!E:E,df_extrato_zig!L:L,Conciliacao!A284,df_extrato_zig!F:F,"DINHEIRO")</f>
        <v/>
      </c>
      <c r="D284" s="3">
        <f>SUMIFS(view_parc_agrup!H:H,view_parc_agrup!G:G,Conciliacao!A284)</f>
        <v/>
      </c>
      <c r="E284" s="3">
        <f>SUMIFS(df_eventos!F:F,df_eventos!H:H,Conciliacao!A284)</f>
        <v/>
      </c>
      <c r="F284" s="3">
        <f>SUMIFS(df_mutuos!M:M,df_mutuos!B:B,Conciliacao!A284)</f>
        <v/>
      </c>
      <c r="G284" s="6">
        <f>SUMIFS(df_bloqueios_judiciais!G:G,df_bloqueios_judiciais!D:D,Conciliacao!A284,df_bloqueios_judiciais!G:G,"&gt;0")</f>
        <v/>
      </c>
      <c r="H284" s="7">
        <f>SUMIFS(df_extratos!I:I,df_extratos!F:F,"&gt;="&amp;Conciliacao!BE284,df_extratos!F:F,"&lt;"&amp;Conciliacao!BE284+1,df_extratos!G:G,"CREDITO")
+SUMIFS(df_extratos!I:I,df_extratos!F:F,"&gt;="&amp;Conciliacao!A284, df_extratos!F:F,"&lt;"&amp;Conciliacao!A284+1, df_extratos!G:G,"CREDITO")
+SUMIFS(df_extratos!I:I,df_extratos!F:F,"&gt;="&amp;Conciliacao!BF284,df_extratos!F:F,"&lt;"&amp;Conciliacao!BF284+1,df_extratos!G:G,"CREDITO")
+SUMIFS(df_extratos!I:I,df_extratos!F:F,"&gt;="&amp;Conciliacao!BG284,df_extratos!F:F,"&lt;"&amp;Conciliacao!BG284+1,df_extratos!G:G,"CREDITO")
+SUMIFS(df_extratos!I:I,df_extratos!F:F,"&gt;="&amp;Conciliacao!BH284,df_extratos!F:F,"&lt;"&amp;Conciliacao!BH284+1,df_extratos!G:G,"CREDITO")</f>
        <v/>
      </c>
      <c r="I284" s="9">
        <f>H284-SUM(B284:G284)</f>
        <v/>
      </c>
      <c r="J284" s="4">
        <f>SUMIFS(df_blueme_sem_parcelamento!E:E,df_blueme_sem_parcelamento!H:H,Conciliacao!A284)*(-1)</f>
        <v/>
      </c>
      <c r="K284" s="4">
        <f>SUMIFS(df_blueme_com_parcelamento!J:J,df_blueme_com_parcelamento!M:M,Conciliacao!A284)*(-1)</f>
        <v/>
      </c>
      <c r="L284" s="4">
        <f>SUMIFS(df_mutuos!N:N,df_mutuos!B:B,Conciliacao!A284)*(-1)</f>
        <v/>
      </c>
      <c r="M284" s="8">
        <f>SUMIFS(df_bloqueios_judiciais!G:G,df_bloqueios_judiciais!D:D,Conciliacao!A284,df_bloqueios_judiciais!G:G,"&lt;0")</f>
        <v/>
      </c>
      <c r="N284" s="10">
        <f>SUMIFS(df_extratos!I:I,df_extratos!F:F,"&gt;="&amp;Conciliacao!BE284,df_extratos!F:F,"&lt;"&amp;Conciliacao!BE284+1,df_extratos!G:G,"DEBITO")
+SUMIFS(df_extratos!I:I,df_extratos!F:F,"&gt;="&amp;Conciliacao!A284, df_extratos!F:F,"&lt;"&amp;Conciliacao!A284+1, df_extratos!G:G,"DEBITO")
+SUMIFS(df_extratos!I:I,df_extratos!F:F,"&gt;="&amp;Conciliacao!BF284,df_extratos!F:F,"&lt;"&amp;Conciliacao!BF284+1,df_extratos!G:G,"DEBITO")
+SUMIFS(df_extratos!I:I,df_extratos!F:F,"&gt;="&amp;Conciliacao!BG284,df_extratos!F:F,"&lt;"&amp;Conciliacao!BG284+1,df_extratos!G:G,"DEBITO")
+SUMIFS(df_extratos!I:I,df_extratos!F:F,"&gt;="&amp;Conciliacao!BH284,df_extratos!F:F,"&lt;"&amp;Conciliacao!BH284+1,df_extratos!G:G,"DEBITO")</f>
        <v/>
      </c>
      <c r="O284" s="11">
        <f>N284-SUM(J284:M284)</f>
        <v/>
      </c>
      <c r="P284" s="25">
        <f>SUMIFS(df_ajustes_conciliaco!D:D,df_ajustes_conciliaco!C:C,Conciliacao!A284)</f>
        <v/>
      </c>
      <c r="Q284" s="22">
        <f>O284+I284-P284</f>
        <v/>
      </c>
      <c r="BE284" s="20" t="n">
        <v>45940.5</v>
      </c>
      <c r="BF284" s="20" t="n">
        <v>45940.125</v>
      </c>
      <c r="BG284" s="20" t="n">
        <v>45940.54166666666</v>
      </c>
      <c r="BH284" s="20" t="n">
        <v>45940.625</v>
      </c>
    </row>
    <row r="285">
      <c r="A285" s="5">
        <f>A284+1</f>
        <v/>
      </c>
      <c r="B285" s="3">
        <f>-SUMIFS(df_extrato_zig!G:G,df_extrato_zig!E:E,Conciliacao!A285,df_extrato_zig!D:D,"Saque")-SUMIFS(df_extrato_zig!G:G,df_extrato_zig!E:E,Conciliacao!A285,df_extrato_zig!D:D,"Antecipação")</f>
        <v/>
      </c>
      <c r="C285" s="3">
        <f>SUMIFS(df_extrato_zig!E:E,df_extrato_zig!L:L,Conciliacao!A285,df_extrato_zig!F:F,"DINHEIRO")</f>
        <v/>
      </c>
      <c r="D285" s="3">
        <f>SUMIFS(view_parc_agrup!H:H,view_parc_agrup!G:G,Conciliacao!A285)</f>
        <v/>
      </c>
      <c r="E285" s="3">
        <f>SUMIFS(df_eventos!F:F,df_eventos!H:H,Conciliacao!A285)</f>
        <v/>
      </c>
      <c r="F285" s="3">
        <f>SUMIFS(df_mutuos!M:M,df_mutuos!B:B,Conciliacao!A285)</f>
        <v/>
      </c>
      <c r="G285" s="6">
        <f>SUMIFS(df_bloqueios_judiciais!G:G,df_bloqueios_judiciais!D:D,Conciliacao!A285,df_bloqueios_judiciais!G:G,"&gt;0")</f>
        <v/>
      </c>
      <c r="H285" s="7">
        <f>SUMIFS(df_extratos!I:I,df_extratos!F:F,"&gt;="&amp;Conciliacao!BE285,df_extratos!F:F,"&lt;"&amp;Conciliacao!BE285+1,df_extratos!G:G,"CREDITO")
+SUMIFS(df_extratos!I:I,df_extratos!F:F,"&gt;="&amp;Conciliacao!A285, df_extratos!F:F,"&lt;"&amp;Conciliacao!A285+1, df_extratos!G:G,"CREDITO")
+SUMIFS(df_extratos!I:I,df_extratos!F:F,"&gt;="&amp;Conciliacao!BF285,df_extratos!F:F,"&lt;"&amp;Conciliacao!BF285+1,df_extratos!G:G,"CREDITO")
+SUMIFS(df_extratos!I:I,df_extratos!F:F,"&gt;="&amp;Conciliacao!BG285,df_extratos!F:F,"&lt;"&amp;Conciliacao!BG285+1,df_extratos!G:G,"CREDITO")
+SUMIFS(df_extratos!I:I,df_extratos!F:F,"&gt;="&amp;Conciliacao!BH285,df_extratos!F:F,"&lt;"&amp;Conciliacao!BH285+1,df_extratos!G:G,"CREDITO")</f>
        <v/>
      </c>
      <c r="I285" s="9">
        <f>H285-SUM(B285:G285)</f>
        <v/>
      </c>
      <c r="J285" s="4">
        <f>SUMIFS(df_blueme_sem_parcelamento!E:E,df_blueme_sem_parcelamento!H:H,Conciliacao!A285)*(-1)</f>
        <v/>
      </c>
      <c r="K285" s="4">
        <f>SUMIFS(df_blueme_com_parcelamento!J:J,df_blueme_com_parcelamento!M:M,Conciliacao!A285)*(-1)</f>
        <v/>
      </c>
      <c r="L285" s="4">
        <f>SUMIFS(df_mutuos!N:N,df_mutuos!B:B,Conciliacao!A285)*(-1)</f>
        <v/>
      </c>
      <c r="M285" s="8">
        <f>SUMIFS(df_bloqueios_judiciais!G:G,df_bloqueios_judiciais!D:D,Conciliacao!A285,df_bloqueios_judiciais!G:G,"&lt;0")</f>
        <v/>
      </c>
      <c r="N285" s="10">
        <f>SUMIFS(df_extratos!I:I,df_extratos!F:F,"&gt;="&amp;Conciliacao!BE285,df_extratos!F:F,"&lt;"&amp;Conciliacao!BE285+1,df_extratos!G:G,"DEBITO")
+SUMIFS(df_extratos!I:I,df_extratos!F:F,"&gt;="&amp;Conciliacao!A285, df_extratos!F:F,"&lt;"&amp;Conciliacao!A285+1, df_extratos!G:G,"DEBITO")
+SUMIFS(df_extratos!I:I,df_extratos!F:F,"&gt;="&amp;Conciliacao!BF285,df_extratos!F:F,"&lt;"&amp;Conciliacao!BF285+1,df_extratos!G:G,"DEBITO")
+SUMIFS(df_extratos!I:I,df_extratos!F:F,"&gt;="&amp;Conciliacao!BG285,df_extratos!F:F,"&lt;"&amp;Conciliacao!BG285+1,df_extratos!G:G,"DEBITO")
+SUMIFS(df_extratos!I:I,df_extratos!F:F,"&gt;="&amp;Conciliacao!BH285,df_extratos!F:F,"&lt;"&amp;Conciliacao!BH285+1,df_extratos!G:G,"DEBITO")</f>
        <v/>
      </c>
      <c r="O285" s="11">
        <f>N285-SUM(J285:M285)</f>
        <v/>
      </c>
      <c r="P285" s="25">
        <f>SUMIFS(df_ajustes_conciliaco!D:D,df_ajustes_conciliaco!C:C,Conciliacao!A285)</f>
        <v/>
      </c>
      <c r="Q285" s="22">
        <f>O285+I285-P285</f>
        <v/>
      </c>
      <c r="BE285" s="20" t="n">
        <v>45941.5</v>
      </c>
      <c r="BF285" s="20" t="n">
        <v>45941.125</v>
      </c>
      <c r="BG285" s="20" t="n">
        <v>45941.54166666666</v>
      </c>
      <c r="BH285" s="20" t="n">
        <v>45941.625</v>
      </c>
    </row>
    <row r="286">
      <c r="A286" s="5">
        <f>A285+1</f>
        <v/>
      </c>
      <c r="B286" s="3">
        <f>-SUMIFS(df_extrato_zig!G:G,df_extrato_zig!E:E,Conciliacao!A286,df_extrato_zig!D:D,"Saque")-SUMIFS(df_extrato_zig!G:G,df_extrato_zig!E:E,Conciliacao!A286,df_extrato_zig!D:D,"Antecipação")</f>
        <v/>
      </c>
      <c r="C286" s="3">
        <f>SUMIFS(df_extrato_zig!E:E,df_extrato_zig!L:L,Conciliacao!A286,df_extrato_zig!F:F,"DINHEIRO")</f>
        <v/>
      </c>
      <c r="D286" s="3">
        <f>SUMIFS(view_parc_agrup!H:H,view_parc_agrup!G:G,Conciliacao!A286)</f>
        <v/>
      </c>
      <c r="E286" s="3">
        <f>SUMIFS(df_eventos!F:F,df_eventos!H:H,Conciliacao!A286)</f>
        <v/>
      </c>
      <c r="F286" s="3">
        <f>SUMIFS(df_mutuos!M:M,df_mutuos!B:B,Conciliacao!A286)</f>
        <v/>
      </c>
      <c r="G286" s="6">
        <f>SUMIFS(df_bloqueios_judiciais!G:G,df_bloqueios_judiciais!D:D,Conciliacao!A286,df_bloqueios_judiciais!G:G,"&gt;0")</f>
        <v/>
      </c>
      <c r="H286" s="7">
        <f>SUMIFS(df_extratos!I:I,df_extratos!F:F,"&gt;="&amp;Conciliacao!BE286,df_extratos!F:F,"&lt;"&amp;Conciliacao!BE286+1,df_extratos!G:G,"CREDITO")
+SUMIFS(df_extratos!I:I,df_extratos!F:F,"&gt;="&amp;Conciliacao!A286, df_extratos!F:F,"&lt;"&amp;Conciliacao!A286+1, df_extratos!G:G,"CREDITO")
+SUMIFS(df_extratos!I:I,df_extratos!F:F,"&gt;="&amp;Conciliacao!BF286,df_extratos!F:F,"&lt;"&amp;Conciliacao!BF286+1,df_extratos!G:G,"CREDITO")
+SUMIFS(df_extratos!I:I,df_extratos!F:F,"&gt;="&amp;Conciliacao!BG286,df_extratos!F:F,"&lt;"&amp;Conciliacao!BG286+1,df_extratos!G:G,"CREDITO")
+SUMIFS(df_extratos!I:I,df_extratos!F:F,"&gt;="&amp;Conciliacao!BH286,df_extratos!F:F,"&lt;"&amp;Conciliacao!BH286+1,df_extratos!G:G,"CREDITO")</f>
        <v/>
      </c>
      <c r="I286" s="9">
        <f>H286-SUM(B286:G286)</f>
        <v/>
      </c>
      <c r="J286" s="4">
        <f>SUMIFS(df_blueme_sem_parcelamento!E:E,df_blueme_sem_parcelamento!H:H,Conciliacao!A286)*(-1)</f>
        <v/>
      </c>
      <c r="K286" s="4">
        <f>SUMIFS(df_blueme_com_parcelamento!J:J,df_blueme_com_parcelamento!M:M,Conciliacao!A286)*(-1)</f>
        <v/>
      </c>
      <c r="L286" s="4">
        <f>SUMIFS(df_mutuos!N:N,df_mutuos!B:B,Conciliacao!A286)*(-1)</f>
        <v/>
      </c>
      <c r="M286" s="8">
        <f>SUMIFS(df_bloqueios_judiciais!G:G,df_bloqueios_judiciais!D:D,Conciliacao!A286,df_bloqueios_judiciais!G:G,"&lt;0")</f>
        <v/>
      </c>
      <c r="N286" s="10">
        <f>SUMIFS(df_extratos!I:I,df_extratos!F:F,"&gt;="&amp;Conciliacao!BE286,df_extratos!F:F,"&lt;"&amp;Conciliacao!BE286+1,df_extratos!G:G,"DEBITO")
+SUMIFS(df_extratos!I:I,df_extratos!F:F,"&gt;="&amp;Conciliacao!A286, df_extratos!F:F,"&lt;"&amp;Conciliacao!A286+1, df_extratos!G:G,"DEBITO")
+SUMIFS(df_extratos!I:I,df_extratos!F:F,"&gt;="&amp;Conciliacao!BF286,df_extratos!F:F,"&lt;"&amp;Conciliacao!BF286+1,df_extratos!G:G,"DEBITO")
+SUMIFS(df_extratos!I:I,df_extratos!F:F,"&gt;="&amp;Conciliacao!BG286,df_extratos!F:F,"&lt;"&amp;Conciliacao!BG286+1,df_extratos!G:G,"DEBITO")
+SUMIFS(df_extratos!I:I,df_extratos!F:F,"&gt;="&amp;Conciliacao!BH286,df_extratos!F:F,"&lt;"&amp;Conciliacao!BH286+1,df_extratos!G:G,"DEBITO")</f>
        <v/>
      </c>
      <c r="O286" s="11">
        <f>N286-SUM(J286:M286)</f>
        <v/>
      </c>
      <c r="P286" s="25">
        <f>SUMIFS(df_ajustes_conciliaco!D:D,df_ajustes_conciliaco!C:C,Conciliacao!A286)</f>
        <v/>
      </c>
      <c r="Q286" s="22">
        <f>O286+I286-P286</f>
        <v/>
      </c>
      <c r="BE286" s="20" t="n">
        <v>45942.5</v>
      </c>
      <c r="BF286" s="20" t="n">
        <v>45942.125</v>
      </c>
      <c r="BG286" s="20" t="n">
        <v>45942.54166666666</v>
      </c>
      <c r="BH286" s="20" t="n">
        <v>45942.625</v>
      </c>
    </row>
    <row r="287">
      <c r="A287" s="5">
        <f>A286+1</f>
        <v/>
      </c>
      <c r="B287" s="3">
        <f>-SUMIFS(df_extrato_zig!G:G,df_extrato_zig!E:E,Conciliacao!A287,df_extrato_zig!D:D,"Saque")-SUMIFS(df_extrato_zig!G:G,df_extrato_zig!E:E,Conciliacao!A287,df_extrato_zig!D:D,"Antecipação")</f>
        <v/>
      </c>
      <c r="C287" s="3">
        <f>SUMIFS(df_extrato_zig!E:E,df_extrato_zig!L:L,Conciliacao!A287,df_extrato_zig!F:F,"DINHEIRO")</f>
        <v/>
      </c>
      <c r="D287" s="3">
        <f>SUMIFS(view_parc_agrup!H:H,view_parc_agrup!G:G,Conciliacao!A287)</f>
        <v/>
      </c>
      <c r="E287" s="3">
        <f>SUMIFS(df_eventos!F:F,df_eventos!H:H,Conciliacao!A287)</f>
        <v/>
      </c>
      <c r="F287" s="3">
        <f>SUMIFS(df_mutuos!M:M,df_mutuos!B:B,Conciliacao!A287)</f>
        <v/>
      </c>
      <c r="G287" s="6">
        <f>SUMIFS(df_bloqueios_judiciais!G:G,df_bloqueios_judiciais!D:D,Conciliacao!A287,df_bloqueios_judiciais!G:G,"&gt;0")</f>
        <v/>
      </c>
      <c r="H287" s="7">
        <f>SUMIFS(df_extratos!I:I,df_extratos!F:F,"&gt;="&amp;Conciliacao!BE287,df_extratos!F:F,"&lt;"&amp;Conciliacao!BE287+1,df_extratos!G:G,"CREDITO")
+SUMIFS(df_extratos!I:I,df_extratos!F:F,"&gt;="&amp;Conciliacao!A287, df_extratos!F:F,"&lt;"&amp;Conciliacao!A287+1, df_extratos!G:G,"CREDITO")
+SUMIFS(df_extratos!I:I,df_extratos!F:F,"&gt;="&amp;Conciliacao!BF287,df_extratos!F:F,"&lt;"&amp;Conciliacao!BF287+1,df_extratos!G:G,"CREDITO")
+SUMIFS(df_extratos!I:I,df_extratos!F:F,"&gt;="&amp;Conciliacao!BG287,df_extratos!F:F,"&lt;"&amp;Conciliacao!BG287+1,df_extratos!G:G,"CREDITO")
+SUMIFS(df_extratos!I:I,df_extratos!F:F,"&gt;="&amp;Conciliacao!BH287,df_extratos!F:F,"&lt;"&amp;Conciliacao!BH287+1,df_extratos!G:G,"CREDITO")</f>
        <v/>
      </c>
      <c r="I287" s="9">
        <f>H287-SUM(B287:G287)</f>
        <v/>
      </c>
      <c r="J287" s="4">
        <f>SUMIFS(df_blueme_sem_parcelamento!E:E,df_blueme_sem_parcelamento!H:H,Conciliacao!A287)*(-1)</f>
        <v/>
      </c>
      <c r="K287" s="4">
        <f>SUMIFS(df_blueme_com_parcelamento!J:J,df_blueme_com_parcelamento!M:M,Conciliacao!A287)*(-1)</f>
        <v/>
      </c>
      <c r="L287" s="4">
        <f>SUMIFS(df_mutuos!N:N,df_mutuos!B:B,Conciliacao!A287)*(-1)</f>
        <v/>
      </c>
      <c r="M287" s="8">
        <f>SUMIFS(df_bloqueios_judiciais!G:G,df_bloqueios_judiciais!D:D,Conciliacao!A287,df_bloqueios_judiciais!G:G,"&lt;0")</f>
        <v/>
      </c>
      <c r="N287" s="10">
        <f>SUMIFS(df_extratos!I:I,df_extratos!F:F,"&gt;="&amp;Conciliacao!BE287,df_extratos!F:F,"&lt;"&amp;Conciliacao!BE287+1,df_extratos!G:G,"DEBITO")
+SUMIFS(df_extratos!I:I,df_extratos!F:F,"&gt;="&amp;Conciliacao!A287, df_extratos!F:F,"&lt;"&amp;Conciliacao!A287+1, df_extratos!G:G,"DEBITO")
+SUMIFS(df_extratos!I:I,df_extratos!F:F,"&gt;="&amp;Conciliacao!BF287,df_extratos!F:F,"&lt;"&amp;Conciliacao!BF287+1,df_extratos!G:G,"DEBITO")
+SUMIFS(df_extratos!I:I,df_extratos!F:F,"&gt;="&amp;Conciliacao!BG287,df_extratos!F:F,"&lt;"&amp;Conciliacao!BG287+1,df_extratos!G:G,"DEBITO")
+SUMIFS(df_extratos!I:I,df_extratos!F:F,"&gt;="&amp;Conciliacao!BH287,df_extratos!F:F,"&lt;"&amp;Conciliacao!BH287+1,df_extratos!G:G,"DEBITO")</f>
        <v/>
      </c>
      <c r="O287" s="11">
        <f>N287-SUM(J287:M287)</f>
        <v/>
      </c>
      <c r="P287" s="25">
        <f>SUMIFS(df_ajustes_conciliaco!D:D,df_ajustes_conciliaco!C:C,Conciliacao!A287)</f>
        <v/>
      </c>
      <c r="Q287" s="22">
        <f>O287+I287-P287</f>
        <v/>
      </c>
      <c r="BE287" s="20" t="n">
        <v>45943.5</v>
      </c>
      <c r="BF287" s="20" t="n">
        <v>45943.125</v>
      </c>
      <c r="BG287" s="20" t="n">
        <v>45943.54166666666</v>
      </c>
      <c r="BH287" s="20" t="n">
        <v>45943.625</v>
      </c>
    </row>
    <row r="288">
      <c r="A288" s="5">
        <f>A287+1</f>
        <v/>
      </c>
      <c r="B288" s="3">
        <f>-SUMIFS(df_extrato_zig!G:G,df_extrato_zig!E:E,Conciliacao!A288,df_extrato_zig!D:D,"Saque")-SUMIFS(df_extrato_zig!G:G,df_extrato_zig!E:E,Conciliacao!A288,df_extrato_zig!D:D,"Antecipação")</f>
        <v/>
      </c>
      <c r="C288" s="3">
        <f>SUMIFS(df_extrato_zig!E:E,df_extrato_zig!L:L,Conciliacao!A288,df_extrato_zig!F:F,"DINHEIRO")</f>
        <v/>
      </c>
      <c r="D288" s="3">
        <f>SUMIFS(view_parc_agrup!H:H,view_parc_agrup!G:G,Conciliacao!A288)</f>
        <v/>
      </c>
      <c r="E288" s="3">
        <f>SUMIFS(df_eventos!F:F,df_eventos!H:H,Conciliacao!A288)</f>
        <v/>
      </c>
      <c r="F288" s="3">
        <f>SUMIFS(df_mutuos!M:M,df_mutuos!B:B,Conciliacao!A288)</f>
        <v/>
      </c>
      <c r="G288" s="6">
        <f>SUMIFS(df_bloqueios_judiciais!G:G,df_bloqueios_judiciais!D:D,Conciliacao!A288,df_bloqueios_judiciais!G:G,"&gt;0")</f>
        <v/>
      </c>
      <c r="H288" s="7">
        <f>SUMIFS(df_extratos!I:I,df_extratos!F:F,"&gt;="&amp;Conciliacao!BE288,df_extratos!F:F,"&lt;"&amp;Conciliacao!BE288+1,df_extratos!G:G,"CREDITO")
+SUMIFS(df_extratos!I:I,df_extratos!F:F,"&gt;="&amp;Conciliacao!A288, df_extratos!F:F,"&lt;"&amp;Conciliacao!A288+1, df_extratos!G:G,"CREDITO")
+SUMIFS(df_extratos!I:I,df_extratos!F:F,"&gt;="&amp;Conciliacao!BF288,df_extratos!F:F,"&lt;"&amp;Conciliacao!BF288+1,df_extratos!G:G,"CREDITO")
+SUMIFS(df_extratos!I:I,df_extratos!F:F,"&gt;="&amp;Conciliacao!BG288,df_extratos!F:F,"&lt;"&amp;Conciliacao!BG288+1,df_extratos!G:G,"CREDITO")
+SUMIFS(df_extratos!I:I,df_extratos!F:F,"&gt;="&amp;Conciliacao!BH288,df_extratos!F:F,"&lt;"&amp;Conciliacao!BH288+1,df_extratos!G:G,"CREDITO")</f>
        <v/>
      </c>
      <c r="I288" s="9">
        <f>H288-SUM(B288:G288)</f>
        <v/>
      </c>
      <c r="J288" s="4">
        <f>SUMIFS(df_blueme_sem_parcelamento!E:E,df_blueme_sem_parcelamento!H:H,Conciliacao!A288)*(-1)</f>
        <v/>
      </c>
      <c r="K288" s="4">
        <f>SUMIFS(df_blueme_com_parcelamento!J:J,df_blueme_com_parcelamento!M:M,Conciliacao!A288)*(-1)</f>
        <v/>
      </c>
      <c r="L288" s="4">
        <f>SUMIFS(df_mutuos!N:N,df_mutuos!B:B,Conciliacao!A288)*(-1)</f>
        <v/>
      </c>
      <c r="M288" s="8">
        <f>SUMIFS(df_bloqueios_judiciais!G:G,df_bloqueios_judiciais!D:D,Conciliacao!A288,df_bloqueios_judiciais!G:G,"&lt;0")</f>
        <v/>
      </c>
      <c r="N288" s="10">
        <f>SUMIFS(df_extratos!I:I,df_extratos!F:F,"&gt;="&amp;Conciliacao!BE288,df_extratos!F:F,"&lt;"&amp;Conciliacao!BE288+1,df_extratos!G:G,"DEBITO")
+SUMIFS(df_extratos!I:I,df_extratos!F:F,"&gt;="&amp;Conciliacao!A288, df_extratos!F:F,"&lt;"&amp;Conciliacao!A288+1, df_extratos!G:G,"DEBITO")
+SUMIFS(df_extratos!I:I,df_extratos!F:F,"&gt;="&amp;Conciliacao!BF288,df_extratos!F:F,"&lt;"&amp;Conciliacao!BF288+1,df_extratos!G:G,"DEBITO")
+SUMIFS(df_extratos!I:I,df_extratos!F:F,"&gt;="&amp;Conciliacao!BG288,df_extratos!F:F,"&lt;"&amp;Conciliacao!BG288+1,df_extratos!G:G,"DEBITO")
+SUMIFS(df_extratos!I:I,df_extratos!F:F,"&gt;="&amp;Conciliacao!BH288,df_extratos!F:F,"&lt;"&amp;Conciliacao!BH288+1,df_extratos!G:G,"DEBITO")</f>
        <v/>
      </c>
      <c r="O288" s="11">
        <f>N288-SUM(J288:M288)</f>
        <v/>
      </c>
      <c r="P288" s="25">
        <f>SUMIFS(df_ajustes_conciliaco!D:D,df_ajustes_conciliaco!C:C,Conciliacao!A288)</f>
        <v/>
      </c>
      <c r="Q288" s="22">
        <f>O288+I288-P288</f>
        <v/>
      </c>
      <c r="BE288" s="20" t="n">
        <v>45944.5</v>
      </c>
      <c r="BF288" s="20" t="n">
        <v>45944.125</v>
      </c>
      <c r="BG288" s="20" t="n">
        <v>45944.54166666666</v>
      </c>
      <c r="BH288" s="20" t="n">
        <v>45944.625</v>
      </c>
    </row>
    <row r="289">
      <c r="A289" s="5">
        <f>A288+1</f>
        <v/>
      </c>
      <c r="B289" s="3">
        <f>-SUMIFS(df_extrato_zig!G:G,df_extrato_zig!E:E,Conciliacao!A289,df_extrato_zig!D:D,"Saque")-SUMIFS(df_extrato_zig!G:G,df_extrato_zig!E:E,Conciliacao!A289,df_extrato_zig!D:D,"Antecipação")</f>
        <v/>
      </c>
      <c r="C289" s="3">
        <f>SUMIFS(df_extrato_zig!E:E,df_extrato_zig!L:L,Conciliacao!A289,df_extrato_zig!F:F,"DINHEIRO")</f>
        <v/>
      </c>
      <c r="D289" s="3">
        <f>SUMIFS(view_parc_agrup!H:H,view_parc_agrup!G:G,Conciliacao!A289)</f>
        <v/>
      </c>
      <c r="E289" s="3">
        <f>SUMIFS(df_eventos!F:F,df_eventos!H:H,Conciliacao!A289)</f>
        <v/>
      </c>
      <c r="F289" s="3">
        <f>SUMIFS(df_mutuos!M:M,df_mutuos!B:B,Conciliacao!A289)</f>
        <v/>
      </c>
      <c r="G289" s="6">
        <f>SUMIFS(df_bloqueios_judiciais!G:G,df_bloqueios_judiciais!D:D,Conciliacao!A289,df_bloqueios_judiciais!G:G,"&gt;0")</f>
        <v/>
      </c>
      <c r="H289" s="7">
        <f>SUMIFS(df_extratos!I:I,df_extratos!F:F,"&gt;="&amp;Conciliacao!BE289,df_extratos!F:F,"&lt;"&amp;Conciliacao!BE289+1,df_extratos!G:G,"CREDITO")
+SUMIFS(df_extratos!I:I,df_extratos!F:F,"&gt;="&amp;Conciliacao!A289, df_extratos!F:F,"&lt;"&amp;Conciliacao!A289+1, df_extratos!G:G,"CREDITO")
+SUMIFS(df_extratos!I:I,df_extratos!F:F,"&gt;="&amp;Conciliacao!BF289,df_extratos!F:F,"&lt;"&amp;Conciliacao!BF289+1,df_extratos!G:G,"CREDITO")
+SUMIFS(df_extratos!I:I,df_extratos!F:F,"&gt;="&amp;Conciliacao!BG289,df_extratos!F:F,"&lt;"&amp;Conciliacao!BG289+1,df_extratos!G:G,"CREDITO")
+SUMIFS(df_extratos!I:I,df_extratos!F:F,"&gt;="&amp;Conciliacao!BH289,df_extratos!F:F,"&lt;"&amp;Conciliacao!BH289+1,df_extratos!G:G,"CREDITO")</f>
        <v/>
      </c>
      <c r="I289" s="9">
        <f>H289-SUM(B289:G289)</f>
        <v/>
      </c>
      <c r="J289" s="4">
        <f>SUMIFS(df_blueme_sem_parcelamento!E:E,df_blueme_sem_parcelamento!H:H,Conciliacao!A289)*(-1)</f>
        <v/>
      </c>
      <c r="K289" s="4">
        <f>SUMIFS(df_blueme_com_parcelamento!J:J,df_blueme_com_parcelamento!M:M,Conciliacao!A289)*(-1)</f>
        <v/>
      </c>
      <c r="L289" s="4">
        <f>SUMIFS(df_mutuos!N:N,df_mutuos!B:B,Conciliacao!A289)*(-1)</f>
        <v/>
      </c>
      <c r="M289" s="8">
        <f>SUMIFS(df_bloqueios_judiciais!G:G,df_bloqueios_judiciais!D:D,Conciliacao!A289,df_bloqueios_judiciais!G:G,"&lt;0")</f>
        <v/>
      </c>
      <c r="N289" s="10">
        <f>SUMIFS(df_extratos!I:I,df_extratos!F:F,"&gt;="&amp;Conciliacao!BE289,df_extratos!F:F,"&lt;"&amp;Conciliacao!BE289+1,df_extratos!G:G,"DEBITO")
+SUMIFS(df_extratos!I:I,df_extratos!F:F,"&gt;="&amp;Conciliacao!A289, df_extratos!F:F,"&lt;"&amp;Conciliacao!A289+1, df_extratos!G:G,"DEBITO")
+SUMIFS(df_extratos!I:I,df_extratos!F:F,"&gt;="&amp;Conciliacao!BF289,df_extratos!F:F,"&lt;"&amp;Conciliacao!BF289+1,df_extratos!G:G,"DEBITO")
+SUMIFS(df_extratos!I:I,df_extratos!F:F,"&gt;="&amp;Conciliacao!BG289,df_extratos!F:F,"&lt;"&amp;Conciliacao!BG289+1,df_extratos!G:G,"DEBITO")
+SUMIFS(df_extratos!I:I,df_extratos!F:F,"&gt;="&amp;Conciliacao!BH289,df_extratos!F:F,"&lt;"&amp;Conciliacao!BH289+1,df_extratos!G:G,"DEBITO")</f>
        <v/>
      </c>
      <c r="O289" s="11">
        <f>N289-SUM(J289:M289)</f>
        <v/>
      </c>
      <c r="P289" s="25">
        <f>SUMIFS(df_ajustes_conciliaco!D:D,df_ajustes_conciliaco!C:C,Conciliacao!A289)</f>
        <v/>
      </c>
      <c r="Q289" s="22">
        <f>O289+I289-P289</f>
        <v/>
      </c>
      <c r="BE289" s="20" t="n">
        <v>45945.5</v>
      </c>
      <c r="BF289" s="20" t="n">
        <v>45945.125</v>
      </c>
      <c r="BG289" s="20" t="n">
        <v>45945.54166666666</v>
      </c>
      <c r="BH289" s="20" t="n">
        <v>45945.625</v>
      </c>
    </row>
    <row r="290">
      <c r="A290" s="5">
        <f>A289+1</f>
        <v/>
      </c>
      <c r="B290" s="3">
        <f>-SUMIFS(df_extrato_zig!G:G,df_extrato_zig!E:E,Conciliacao!A290,df_extrato_zig!D:D,"Saque")-SUMIFS(df_extrato_zig!G:G,df_extrato_zig!E:E,Conciliacao!A290,df_extrato_zig!D:D,"Antecipação")</f>
        <v/>
      </c>
      <c r="C290" s="3">
        <f>SUMIFS(df_extrato_zig!E:E,df_extrato_zig!L:L,Conciliacao!A290,df_extrato_zig!F:F,"DINHEIRO")</f>
        <v/>
      </c>
      <c r="D290" s="3">
        <f>SUMIFS(view_parc_agrup!H:H,view_parc_agrup!G:G,Conciliacao!A290)</f>
        <v/>
      </c>
      <c r="E290" s="3">
        <f>SUMIFS(df_eventos!F:F,df_eventos!H:H,Conciliacao!A290)</f>
        <v/>
      </c>
      <c r="F290" s="3">
        <f>SUMIFS(df_mutuos!M:M,df_mutuos!B:B,Conciliacao!A290)</f>
        <v/>
      </c>
      <c r="G290" s="6">
        <f>SUMIFS(df_bloqueios_judiciais!G:G,df_bloqueios_judiciais!D:D,Conciliacao!A290,df_bloqueios_judiciais!G:G,"&gt;0")</f>
        <v/>
      </c>
      <c r="H290" s="7">
        <f>SUMIFS(df_extratos!I:I,df_extratos!F:F,"&gt;="&amp;Conciliacao!BE290,df_extratos!F:F,"&lt;"&amp;Conciliacao!BE290+1,df_extratos!G:G,"CREDITO")
+SUMIFS(df_extratos!I:I,df_extratos!F:F,"&gt;="&amp;Conciliacao!A290, df_extratos!F:F,"&lt;"&amp;Conciliacao!A290+1, df_extratos!G:G,"CREDITO")
+SUMIFS(df_extratos!I:I,df_extratos!F:F,"&gt;="&amp;Conciliacao!BF290,df_extratos!F:F,"&lt;"&amp;Conciliacao!BF290+1,df_extratos!G:G,"CREDITO")
+SUMIFS(df_extratos!I:I,df_extratos!F:F,"&gt;="&amp;Conciliacao!BG290,df_extratos!F:F,"&lt;"&amp;Conciliacao!BG290+1,df_extratos!G:G,"CREDITO")
+SUMIFS(df_extratos!I:I,df_extratos!F:F,"&gt;="&amp;Conciliacao!BH290,df_extratos!F:F,"&lt;"&amp;Conciliacao!BH290+1,df_extratos!G:G,"CREDITO")</f>
        <v/>
      </c>
      <c r="I290" s="9">
        <f>H290-SUM(B290:G290)</f>
        <v/>
      </c>
      <c r="J290" s="4">
        <f>SUMIFS(df_blueme_sem_parcelamento!E:E,df_blueme_sem_parcelamento!H:H,Conciliacao!A290)*(-1)</f>
        <v/>
      </c>
      <c r="K290" s="4">
        <f>SUMIFS(df_blueme_com_parcelamento!J:J,df_blueme_com_parcelamento!M:M,Conciliacao!A290)*(-1)</f>
        <v/>
      </c>
      <c r="L290" s="4">
        <f>SUMIFS(df_mutuos!N:N,df_mutuos!B:B,Conciliacao!A290)*(-1)</f>
        <v/>
      </c>
      <c r="M290" s="8">
        <f>SUMIFS(df_bloqueios_judiciais!G:G,df_bloqueios_judiciais!D:D,Conciliacao!A290,df_bloqueios_judiciais!G:G,"&lt;0")</f>
        <v/>
      </c>
      <c r="N290" s="10">
        <f>SUMIFS(df_extratos!I:I,df_extratos!F:F,"&gt;="&amp;Conciliacao!BE290,df_extratos!F:F,"&lt;"&amp;Conciliacao!BE290+1,df_extratos!G:G,"DEBITO")
+SUMIFS(df_extratos!I:I,df_extratos!F:F,"&gt;="&amp;Conciliacao!A290, df_extratos!F:F,"&lt;"&amp;Conciliacao!A290+1, df_extratos!G:G,"DEBITO")
+SUMIFS(df_extratos!I:I,df_extratos!F:F,"&gt;="&amp;Conciliacao!BF290,df_extratos!F:F,"&lt;"&amp;Conciliacao!BF290+1,df_extratos!G:G,"DEBITO")
+SUMIFS(df_extratos!I:I,df_extratos!F:F,"&gt;="&amp;Conciliacao!BG290,df_extratos!F:F,"&lt;"&amp;Conciliacao!BG290+1,df_extratos!G:G,"DEBITO")
+SUMIFS(df_extratos!I:I,df_extratos!F:F,"&gt;="&amp;Conciliacao!BH290,df_extratos!F:F,"&lt;"&amp;Conciliacao!BH290+1,df_extratos!G:G,"DEBITO")</f>
        <v/>
      </c>
      <c r="O290" s="11">
        <f>N290-SUM(J290:M290)</f>
        <v/>
      </c>
      <c r="P290" s="25">
        <f>SUMIFS(df_ajustes_conciliaco!D:D,df_ajustes_conciliaco!C:C,Conciliacao!A290)</f>
        <v/>
      </c>
      <c r="Q290" s="22">
        <f>O290+I290-P290</f>
        <v/>
      </c>
      <c r="BE290" s="20" t="n">
        <v>45946.5</v>
      </c>
      <c r="BF290" s="20" t="n">
        <v>45946.125</v>
      </c>
      <c r="BG290" s="20" t="n">
        <v>45946.54166666666</v>
      </c>
      <c r="BH290" s="20" t="n">
        <v>45946.625</v>
      </c>
    </row>
    <row r="291">
      <c r="A291" s="5">
        <f>A290+1</f>
        <v/>
      </c>
      <c r="B291" s="3">
        <f>-SUMIFS(df_extrato_zig!G:G,df_extrato_zig!E:E,Conciliacao!A291,df_extrato_zig!D:D,"Saque")-SUMIFS(df_extrato_zig!G:G,df_extrato_zig!E:E,Conciliacao!A291,df_extrato_zig!D:D,"Antecipação")</f>
        <v/>
      </c>
      <c r="C291" s="3">
        <f>SUMIFS(df_extrato_zig!E:E,df_extrato_zig!L:L,Conciliacao!A291,df_extrato_zig!F:F,"DINHEIRO")</f>
        <v/>
      </c>
      <c r="D291" s="3">
        <f>SUMIFS(view_parc_agrup!H:H,view_parc_agrup!G:G,Conciliacao!A291)</f>
        <v/>
      </c>
      <c r="E291" s="3">
        <f>SUMIFS(df_eventos!F:F,df_eventos!H:H,Conciliacao!A291)</f>
        <v/>
      </c>
      <c r="F291" s="3">
        <f>SUMIFS(df_mutuos!M:M,df_mutuos!B:B,Conciliacao!A291)</f>
        <v/>
      </c>
      <c r="G291" s="6">
        <f>SUMIFS(df_bloqueios_judiciais!G:G,df_bloqueios_judiciais!D:D,Conciliacao!A291,df_bloqueios_judiciais!G:G,"&gt;0")</f>
        <v/>
      </c>
      <c r="H291" s="7">
        <f>SUMIFS(df_extratos!I:I,df_extratos!F:F,"&gt;="&amp;Conciliacao!BE291,df_extratos!F:F,"&lt;"&amp;Conciliacao!BE291+1,df_extratos!G:G,"CREDITO")
+SUMIFS(df_extratos!I:I,df_extratos!F:F,"&gt;="&amp;Conciliacao!A291, df_extratos!F:F,"&lt;"&amp;Conciliacao!A291+1, df_extratos!G:G,"CREDITO")
+SUMIFS(df_extratos!I:I,df_extratos!F:F,"&gt;="&amp;Conciliacao!BF291,df_extratos!F:F,"&lt;"&amp;Conciliacao!BF291+1,df_extratos!G:G,"CREDITO")
+SUMIFS(df_extratos!I:I,df_extratos!F:F,"&gt;="&amp;Conciliacao!BG291,df_extratos!F:F,"&lt;"&amp;Conciliacao!BG291+1,df_extratos!G:G,"CREDITO")
+SUMIFS(df_extratos!I:I,df_extratos!F:F,"&gt;="&amp;Conciliacao!BH291,df_extratos!F:F,"&lt;"&amp;Conciliacao!BH291+1,df_extratos!G:G,"CREDITO")</f>
        <v/>
      </c>
      <c r="I291" s="9">
        <f>H291-SUM(B291:G291)</f>
        <v/>
      </c>
      <c r="J291" s="4">
        <f>SUMIFS(df_blueme_sem_parcelamento!E:E,df_blueme_sem_parcelamento!H:H,Conciliacao!A291)*(-1)</f>
        <v/>
      </c>
      <c r="K291" s="4">
        <f>SUMIFS(df_blueme_com_parcelamento!J:J,df_blueme_com_parcelamento!M:M,Conciliacao!A291)*(-1)</f>
        <v/>
      </c>
      <c r="L291" s="4">
        <f>SUMIFS(df_mutuos!N:N,df_mutuos!B:B,Conciliacao!A291)*(-1)</f>
        <v/>
      </c>
      <c r="M291" s="8">
        <f>SUMIFS(df_bloqueios_judiciais!G:G,df_bloqueios_judiciais!D:D,Conciliacao!A291,df_bloqueios_judiciais!G:G,"&lt;0")</f>
        <v/>
      </c>
      <c r="N291" s="10">
        <f>SUMIFS(df_extratos!I:I,df_extratos!F:F,"&gt;="&amp;Conciliacao!BE291,df_extratos!F:F,"&lt;"&amp;Conciliacao!BE291+1,df_extratos!G:G,"DEBITO")
+SUMIFS(df_extratos!I:I,df_extratos!F:F,"&gt;="&amp;Conciliacao!A291, df_extratos!F:F,"&lt;"&amp;Conciliacao!A291+1, df_extratos!G:G,"DEBITO")
+SUMIFS(df_extratos!I:I,df_extratos!F:F,"&gt;="&amp;Conciliacao!BF291,df_extratos!F:F,"&lt;"&amp;Conciliacao!BF291+1,df_extratos!G:G,"DEBITO")
+SUMIFS(df_extratos!I:I,df_extratos!F:F,"&gt;="&amp;Conciliacao!BG291,df_extratos!F:F,"&lt;"&amp;Conciliacao!BG291+1,df_extratos!G:G,"DEBITO")
+SUMIFS(df_extratos!I:I,df_extratos!F:F,"&gt;="&amp;Conciliacao!BH291,df_extratos!F:F,"&lt;"&amp;Conciliacao!BH291+1,df_extratos!G:G,"DEBITO")</f>
        <v/>
      </c>
      <c r="O291" s="11">
        <f>N291-SUM(J291:M291)</f>
        <v/>
      </c>
      <c r="P291" s="25">
        <f>SUMIFS(df_ajustes_conciliaco!D:D,df_ajustes_conciliaco!C:C,Conciliacao!A291)</f>
        <v/>
      </c>
      <c r="Q291" s="22">
        <f>O291+I291-P291</f>
        <v/>
      </c>
      <c r="BE291" s="20" t="n">
        <v>45947.5</v>
      </c>
      <c r="BF291" s="20" t="n">
        <v>45947.125</v>
      </c>
      <c r="BG291" s="20" t="n">
        <v>45947.54166666666</v>
      </c>
      <c r="BH291" s="20" t="n">
        <v>45947.625</v>
      </c>
    </row>
    <row r="292">
      <c r="A292" s="5">
        <f>A291+1</f>
        <v/>
      </c>
      <c r="B292" s="3">
        <f>-SUMIFS(df_extrato_zig!G:G,df_extrato_zig!E:E,Conciliacao!A292,df_extrato_zig!D:D,"Saque")-SUMIFS(df_extrato_zig!G:G,df_extrato_zig!E:E,Conciliacao!A292,df_extrato_zig!D:D,"Antecipação")</f>
        <v/>
      </c>
      <c r="C292" s="3">
        <f>SUMIFS(df_extrato_zig!E:E,df_extrato_zig!L:L,Conciliacao!A292,df_extrato_zig!F:F,"DINHEIRO")</f>
        <v/>
      </c>
      <c r="D292" s="3">
        <f>SUMIFS(view_parc_agrup!H:H,view_parc_agrup!G:G,Conciliacao!A292)</f>
        <v/>
      </c>
      <c r="E292" s="3">
        <f>SUMIFS(df_eventos!F:F,df_eventos!H:H,Conciliacao!A292)</f>
        <v/>
      </c>
      <c r="F292" s="3">
        <f>SUMIFS(df_mutuos!M:M,df_mutuos!B:B,Conciliacao!A292)</f>
        <v/>
      </c>
      <c r="G292" s="6">
        <f>SUMIFS(df_bloqueios_judiciais!G:G,df_bloqueios_judiciais!D:D,Conciliacao!A292,df_bloqueios_judiciais!G:G,"&gt;0")</f>
        <v/>
      </c>
      <c r="H292" s="7">
        <f>SUMIFS(df_extratos!I:I,df_extratos!F:F,"&gt;="&amp;Conciliacao!BE292,df_extratos!F:F,"&lt;"&amp;Conciliacao!BE292+1,df_extratos!G:G,"CREDITO")
+SUMIFS(df_extratos!I:I,df_extratos!F:F,"&gt;="&amp;Conciliacao!A292, df_extratos!F:F,"&lt;"&amp;Conciliacao!A292+1, df_extratos!G:G,"CREDITO")
+SUMIFS(df_extratos!I:I,df_extratos!F:F,"&gt;="&amp;Conciliacao!BF292,df_extratos!F:F,"&lt;"&amp;Conciliacao!BF292+1,df_extratos!G:G,"CREDITO")
+SUMIFS(df_extratos!I:I,df_extratos!F:F,"&gt;="&amp;Conciliacao!BG292,df_extratos!F:F,"&lt;"&amp;Conciliacao!BG292+1,df_extratos!G:G,"CREDITO")
+SUMIFS(df_extratos!I:I,df_extratos!F:F,"&gt;="&amp;Conciliacao!BH292,df_extratos!F:F,"&lt;"&amp;Conciliacao!BH292+1,df_extratos!G:G,"CREDITO")</f>
        <v/>
      </c>
      <c r="I292" s="9">
        <f>H292-SUM(B292:G292)</f>
        <v/>
      </c>
      <c r="J292" s="4">
        <f>SUMIFS(df_blueme_sem_parcelamento!E:E,df_blueme_sem_parcelamento!H:H,Conciliacao!A292)*(-1)</f>
        <v/>
      </c>
      <c r="K292" s="4">
        <f>SUMIFS(df_blueme_com_parcelamento!J:J,df_blueme_com_parcelamento!M:M,Conciliacao!A292)*(-1)</f>
        <v/>
      </c>
      <c r="L292" s="4">
        <f>SUMIFS(df_mutuos!N:N,df_mutuos!B:B,Conciliacao!A292)*(-1)</f>
        <v/>
      </c>
      <c r="M292" s="8">
        <f>SUMIFS(df_bloqueios_judiciais!G:G,df_bloqueios_judiciais!D:D,Conciliacao!A292,df_bloqueios_judiciais!G:G,"&lt;0")</f>
        <v/>
      </c>
      <c r="N292" s="10">
        <f>SUMIFS(df_extratos!I:I,df_extratos!F:F,"&gt;="&amp;Conciliacao!BE292,df_extratos!F:F,"&lt;"&amp;Conciliacao!BE292+1,df_extratos!G:G,"DEBITO")
+SUMIFS(df_extratos!I:I,df_extratos!F:F,"&gt;="&amp;Conciliacao!A292, df_extratos!F:F,"&lt;"&amp;Conciliacao!A292+1, df_extratos!G:G,"DEBITO")
+SUMIFS(df_extratos!I:I,df_extratos!F:F,"&gt;="&amp;Conciliacao!BF292,df_extratos!F:F,"&lt;"&amp;Conciliacao!BF292+1,df_extratos!G:G,"DEBITO")
+SUMIFS(df_extratos!I:I,df_extratos!F:F,"&gt;="&amp;Conciliacao!BG292,df_extratos!F:F,"&lt;"&amp;Conciliacao!BG292+1,df_extratos!G:G,"DEBITO")
+SUMIFS(df_extratos!I:I,df_extratos!F:F,"&gt;="&amp;Conciliacao!BH292,df_extratos!F:F,"&lt;"&amp;Conciliacao!BH292+1,df_extratos!G:G,"DEBITO")</f>
        <v/>
      </c>
      <c r="O292" s="11">
        <f>N292-SUM(J292:M292)</f>
        <v/>
      </c>
      <c r="P292" s="25">
        <f>SUMIFS(df_ajustes_conciliaco!D:D,df_ajustes_conciliaco!C:C,Conciliacao!A292)</f>
        <v/>
      </c>
      <c r="Q292" s="22">
        <f>O292+I292-P292</f>
        <v/>
      </c>
      <c r="BE292" s="20" t="n">
        <v>45948.5</v>
      </c>
      <c r="BF292" s="20" t="n">
        <v>45948.125</v>
      </c>
      <c r="BG292" s="20" t="n">
        <v>45948.54166666666</v>
      </c>
      <c r="BH292" s="20" t="n">
        <v>45948.625</v>
      </c>
    </row>
    <row r="293">
      <c r="A293" s="5">
        <f>A292+1</f>
        <v/>
      </c>
      <c r="B293" s="3">
        <f>-SUMIFS(df_extrato_zig!G:G,df_extrato_zig!E:E,Conciliacao!A293,df_extrato_zig!D:D,"Saque")-SUMIFS(df_extrato_zig!G:G,df_extrato_zig!E:E,Conciliacao!A293,df_extrato_zig!D:D,"Antecipação")</f>
        <v/>
      </c>
      <c r="C293" s="3">
        <f>SUMIFS(df_extrato_zig!E:E,df_extrato_zig!L:L,Conciliacao!A293,df_extrato_zig!F:F,"DINHEIRO")</f>
        <v/>
      </c>
      <c r="D293" s="3">
        <f>SUMIFS(view_parc_agrup!H:H,view_parc_agrup!G:G,Conciliacao!A293)</f>
        <v/>
      </c>
      <c r="E293" s="3">
        <f>SUMIFS(df_eventos!F:F,df_eventos!H:H,Conciliacao!A293)</f>
        <v/>
      </c>
      <c r="F293" s="3">
        <f>SUMIFS(df_mutuos!M:M,df_mutuos!B:B,Conciliacao!A293)</f>
        <v/>
      </c>
      <c r="G293" s="6">
        <f>SUMIFS(df_bloqueios_judiciais!G:G,df_bloqueios_judiciais!D:D,Conciliacao!A293,df_bloqueios_judiciais!G:G,"&gt;0")</f>
        <v/>
      </c>
      <c r="H293" s="7">
        <f>SUMIFS(df_extratos!I:I,df_extratos!F:F,"&gt;="&amp;Conciliacao!BE293,df_extratos!F:F,"&lt;"&amp;Conciliacao!BE293+1,df_extratos!G:G,"CREDITO")
+SUMIFS(df_extratos!I:I,df_extratos!F:F,"&gt;="&amp;Conciliacao!A293, df_extratos!F:F,"&lt;"&amp;Conciliacao!A293+1, df_extratos!G:G,"CREDITO")
+SUMIFS(df_extratos!I:I,df_extratos!F:F,"&gt;="&amp;Conciliacao!BF293,df_extratos!F:F,"&lt;"&amp;Conciliacao!BF293+1,df_extratos!G:G,"CREDITO")
+SUMIFS(df_extratos!I:I,df_extratos!F:F,"&gt;="&amp;Conciliacao!BG293,df_extratos!F:F,"&lt;"&amp;Conciliacao!BG293+1,df_extratos!G:G,"CREDITO")
+SUMIFS(df_extratos!I:I,df_extratos!F:F,"&gt;="&amp;Conciliacao!BH293,df_extratos!F:F,"&lt;"&amp;Conciliacao!BH293+1,df_extratos!G:G,"CREDITO")</f>
        <v/>
      </c>
      <c r="I293" s="9">
        <f>H293-SUM(B293:G293)</f>
        <v/>
      </c>
      <c r="J293" s="4">
        <f>SUMIFS(df_blueme_sem_parcelamento!E:E,df_blueme_sem_parcelamento!H:H,Conciliacao!A293)*(-1)</f>
        <v/>
      </c>
      <c r="K293" s="4">
        <f>SUMIFS(df_blueme_com_parcelamento!J:J,df_blueme_com_parcelamento!M:M,Conciliacao!A293)*(-1)</f>
        <v/>
      </c>
      <c r="L293" s="4">
        <f>SUMIFS(df_mutuos!N:N,df_mutuos!B:B,Conciliacao!A293)*(-1)</f>
        <v/>
      </c>
      <c r="M293" s="8">
        <f>SUMIFS(df_bloqueios_judiciais!G:G,df_bloqueios_judiciais!D:D,Conciliacao!A293,df_bloqueios_judiciais!G:G,"&lt;0")</f>
        <v/>
      </c>
      <c r="N293" s="10">
        <f>SUMIFS(df_extratos!I:I,df_extratos!F:F,"&gt;="&amp;Conciliacao!BE293,df_extratos!F:F,"&lt;"&amp;Conciliacao!BE293+1,df_extratos!G:G,"DEBITO")
+SUMIFS(df_extratos!I:I,df_extratos!F:F,"&gt;="&amp;Conciliacao!A293, df_extratos!F:F,"&lt;"&amp;Conciliacao!A293+1, df_extratos!G:G,"DEBITO")
+SUMIFS(df_extratos!I:I,df_extratos!F:F,"&gt;="&amp;Conciliacao!BF293,df_extratos!F:F,"&lt;"&amp;Conciliacao!BF293+1,df_extratos!G:G,"DEBITO")
+SUMIFS(df_extratos!I:I,df_extratos!F:F,"&gt;="&amp;Conciliacao!BG293,df_extratos!F:F,"&lt;"&amp;Conciliacao!BG293+1,df_extratos!G:G,"DEBITO")
+SUMIFS(df_extratos!I:I,df_extratos!F:F,"&gt;="&amp;Conciliacao!BH293,df_extratos!F:F,"&lt;"&amp;Conciliacao!BH293+1,df_extratos!G:G,"DEBITO")</f>
        <v/>
      </c>
      <c r="O293" s="11">
        <f>N293-SUM(J293:M293)</f>
        <v/>
      </c>
      <c r="P293" s="25">
        <f>SUMIFS(df_ajustes_conciliaco!D:D,df_ajustes_conciliaco!C:C,Conciliacao!A293)</f>
        <v/>
      </c>
      <c r="Q293" s="22">
        <f>O293+I293-P293</f>
        <v/>
      </c>
      <c r="BE293" s="20" t="n">
        <v>45949.5</v>
      </c>
      <c r="BF293" s="20" t="n">
        <v>45949.125</v>
      </c>
      <c r="BG293" s="20" t="n">
        <v>45949.54166666666</v>
      </c>
      <c r="BH293" s="20" t="n">
        <v>45949.625</v>
      </c>
    </row>
    <row r="294">
      <c r="A294" s="5">
        <f>A293+1</f>
        <v/>
      </c>
      <c r="B294" s="3">
        <f>-SUMIFS(df_extrato_zig!G:G,df_extrato_zig!E:E,Conciliacao!A294,df_extrato_zig!D:D,"Saque")-SUMIFS(df_extrato_zig!G:G,df_extrato_zig!E:E,Conciliacao!A294,df_extrato_zig!D:D,"Antecipação")</f>
        <v/>
      </c>
      <c r="C294" s="3">
        <f>SUMIFS(df_extrato_zig!E:E,df_extrato_zig!L:L,Conciliacao!A294,df_extrato_zig!F:F,"DINHEIRO")</f>
        <v/>
      </c>
      <c r="D294" s="3">
        <f>SUMIFS(view_parc_agrup!H:H,view_parc_agrup!G:G,Conciliacao!A294)</f>
        <v/>
      </c>
      <c r="E294" s="3">
        <f>SUMIFS(df_eventos!F:F,df_eventos!H:H,Conciliacao!A294)</f>
        <v/>
      </c>
      <c r="F294" s="3">
        <f>SUMIFS(df_mutuos!M:M,df_mutuos!B:B,Conciliacao!A294)</f>
        <v/>
      </c>
      <c r="G294" s="6">
        <f>SUMIFS(df_bloqueios_judiciais!G:G,df_bloqueios_judiciais!D:D,Conciliacao!A294,df_bloqueios_judiciais!G:G,"&gt;0")</f>
        <v/>
      </c>
      <c r="H294" s="7">
        <f>SUMIFS(df_extratos!I:I,df_extratos!F:F,"&gt;="&amp;Conciliacao!BE294,df_extratos!F:F,"&lt;"&amp;Conciliacao!BE294+1,df_extratos!G:G,"CREDITO")
+SUMIFS(df_extratos!I:I,df_extratos!F:F,"&gt;="&amp;Conciliacao!A294, df_extratos!F:F,"&lt;"&amp;Conciliacao!A294+1, df_extratos!G:G,"CREDITO")
+SUMIFS(df_extratos!I:I,df_extratos!F:F,"&gt;="&amp;Conciliacao!BF294,df_extratos!F:F,"&lt;"&amp;Conciliacao!BF294+1,df_extratos!G:G,"CREDITO")
+SUMIFS(df_extratos!I:I,df_extratos!F:F,"&gt;="&amp;Conciliacao!BG294,df_extratos!F:F,"&lt;"&amp;Conciliacao!BG294+1,df_extratos!G:G,"CREDITO")
+SUMIFS(df_extratos!I:I,df_extratos!F:F,"&gt;="&amp;Conciliacao!BH294,df_extratos!F:F,"&lt;"&amp;Conciliacao!BH294+1,df_extratos!G:G,"CREDITO")</f>
        <v/>
      </c>
      <c r="I294" s="9">
        <f>H294-SUM(B294:G294)</f>
        <v/>
      </c>
      <c r="J294" s="4">
        <f>SUMIFS(df_blueme_sem_parcelamento!E:E,df_blueme_sem_parcelamento!H:H,Conciliacao!A294)*(-1)</f>
        <v/>
      </c>
      <c r="K294" s="4">
        <f>SUMIFS(df_blueme_com_parcelamento!J:J,df_blueme_com_parcelamento!M:M,Conciliacao!A294)*(-1)</f>
        <v/>
      </c>
      <c r="L294" s="4">
        <f>SUMIFS(df_mutuos!N:N,df_mutuos!B:B,Conciliacao!A294)*(-1)</f>
        <v/>
      </c>
      <c r="M294" s="8">
        <f>SUMIFS(df_bloqueios_judiciais!G:G,df_bloqueios_judiciais!D:D,Conciliacao!A294,df_bloqueios_judiciais!G:G,"&lt;0")</f>
        <v/>
      </c>
      <c r="N294" s="10">
        <f>SUMIFS(df_extratos!I:I,df_extratos!F:F,"&gt;="&amp;Conciliacao!BE294,df_extratos!F:F,"&lt;"&amp;Conciliacao!BE294+1,df_extratos!G:G,"DEBITO")
+SUMIFS(df_extratos!I:I,df_extratos!F:F,"&gt;="&amp;Conciliacao!A294, df_extratos!F:F,"&lt;"&amp;Conciliacao!A294+1, df_extratos!G:G,"DEBITO")
+SUMIFS(df_extratos!I:I,df_extratos!F:F,"&gt;="&amp;Conciliacao!BF294,df_extratos!F:F,"&lt;"&amp;Conciliacao!BF294+1,df_extratos!G:G,"DEBITO")
+SUMIFS(df_extratos!I:I,df_extratos!F:F,"&gt;="&amp;Conciliacao!BG294,df_extratos!F:F,"&lt;"&amp;Conciliacao!BG294+1,df_extratos!G:G,"DEBITO")
+SUMIFS(df_extratos!I:I,df_extratos!F:F,"&gt;="&amp;Conciliacao!BH294,df_extratos!F:F,"&lt;"&amp;Conciliacao!BH294+1,df_extratos!G:G,"DEBITO")</f>
        <v/>
      </c>
      <c r="O294" s="11">
        <f>N294-SUM(J294:M294)</f>
        <v/>
      </c>
      <c r="P294" s="25">
        <f>SUMIFS(df_ajustes_conciliaco!D:D,df_ajustes_conciliaco!C:C,Conciliacao!A294)</f>
        <v/>
      </c>
      <c r="Q294" s="22">
        <f>O294+I294-P294</f>
        <v/>
      </c>
      <c r="BE294" s="20" t="n">
        <v>45950.5</v>
      </c>
      <c r="BF294" s="20" t="n">
        <v>45950.125</v>
      </c>
      <c r="BG294" s="20" t="n">
        <v>45950.54166666666</v>
      </c>
      <c r="BH294" s="20" t="n">
        <v>45950.625</v>
      </c>
    </row>
    <row r="295">
      <c r="A295" s="5">
        <f>A294+1</f>
        <v/>
      </c>
      <c r="B295" s="3">
        <f>-SUMIFS(df_extrato_zig!G:G,df_extrato_zig!E:E,Conciliacao!A295,df_extrato_zig!D:D,"Saque")-SUMIFS(df_extrato_zig!G:G,df_extrato_zig!E:E,Conciliacao!A295,df_extrato_zig!D:D,"Antecipação")</f>
        <v/>
      </c>
      <c r="C295" s="3">
        <f>SUMIFS(df_extrato_zig!E:E,df_extrato_zig!L:L,Conciliacao!A295,df_extrato_zig!F:F,"DINHEIRO")</f>
        <v/>
      </c>
      <c r="D295" s="3">
        <f>SUMIFS(view_parc_agrup!H:H,view_parc_agrup!G:G,Conciliacao!A295)</f>
        <v/>
      </c>
      <c r="E295" s="3">
        <f>SUMIFS(df_eventos!F:F,df_eventos!H:H,Conciliacao!A295)</f>
        <v/>
      </c>
      <c r="F295" s="3">
        <f>SUMIFS(df_mutuos!M:M,df_mutuos!B:B,Conciliacao!A295)</f>
        <v/>
      </c>
      <c r="G295" s="6">
        <f>SUMIFS(df_bloqueios_judiciais!G:G,df_bloqueios_judiciais!D:D,Conciliacao!A295,df_bloqueios_judiciais!G:G,"&gt;0")</f>
        <v/>
      </c>
      <c r="H295" s="7">
        <f>SUMIFS(df_extratos!I:I,df_extratos!F:F,"&gt;="&amp;Conciliacao!BE295,df_extratos!F:F,"&lt;"&amp;Conciliacao!BE295+1,df_extratos!G:G,"CREDITO")
+SUMIFS(df_extratos!I:I,df_extratos!F:F,"&gt;="&amp;Conciliacao!A295, df_extratos!F:F,"&lt;"&amp;Conciliacao!A295+1, df_extratos!G:G,"CREDITO")
+SUMIFS(df_extratos!I:I,df_extratos!F:F,"&gt;="&amp;Conciliacao!BF295,df_extratos!F:F,"&lt;"&amp;Conciliacao!BF295+1,df_extratos!G:G,"CREDITO")
+SUMIFS(df_extratos!I:I,df_extratos!F:F,"&gt;="&amp;Conciliacao!BG295,df_extratos!F:F,"&lt;"&amp;Conciliacao!BG295+1,df_extratos!G:G,"CREDITO")
+SUMIFS(df_extratos!I:I,df_extratos!F:F,"&gt;="&amp;Conciliacao!BH295,df_extratos!F:F,"&lt;"&amp;Conciliacao!BH295+1,df_extratos!G:G,"CREDITO")</f>
        <v/>
      </c>
      <c r="I295" s="9">
        <f>H295-SUM(B295:G295)</f>
        <v/>
      </c>
      <c r="J295" s="4">
        <f>SUMIFS(df_blueme_sem_parcelamento!E:E,df_blueme_sem_parcelamento!H:H,Conciliacao!A295)*(-1)</f>
        <v/>
      </c>
      <c r="K295" s="4">
        <f>SUMIFS(df_blueme_com_parcelamento!J:J,df_blueme_com_parcelamento!M:M,Conciliacao!A295)*(-1)</f>
        <v/>
      </c>
      <c r="L295" s="4">
        <f>SUMIFS(df_mutuos!N:N,df_mutuos!B:B,Conciliacao!A295)*(-1)</f>
        <v/>
      </c>
      <c r="M295" s="8">
        <f>SUMIFS(df_bloqueios_judiciais!G:G,df_bloqueios_judiciais!D:D,Conciliacao!A295,df_bloqueios_judiciais!G:G,"&lt;0")</f>
        <v/>
      </c>
      <c r="N295" s="10">
        <f>SUMIFS(df_extratos!I:I,df_extratos!F:F,"&gt;="&amp;Conciliacao!BE295,df_extratos!F:F,"&lt;"&amp;Conciliacao!BE295+1,df_extratos!G:G,"DEBITO")
+SUMIFS(df_extratos!I:I,df_extratos!F:F,"&gt;="&amp;Conciliacao!A295, df_extratos!F:F,"&lt;"&amp;Conciliacao!A295+1, df_extratos!G:G,"DEBITO")
+SUMIFS(df_extratos!I:I,df_extratos!F:F,"&gt;="&amp;Conciliacao!BF295,df_extratos!F:F,"&lt;"&amp;Conciliacao!BF295+1,df_extratos!G:G,"DEBITO")
+SUMIFS(df_extratos!I:I,df_extratos!F:F,"&gt;="&amp;Conciliacao!BG295,df_extratos!F:F,"&lt;"&amp;Conciliacao!BG295+1,df_extratos!G:G,"DEBITO")
+SUMIFS(df_extratos!I:I,df_extratos!F:F,"&gt;="&amp;Conciliacao!BH295,df_extratos!F:F,"&lt;"&amp;Conciliacao!BH295+1,df_extratos!G:G,"DEBITO")</f>
        <v/>
      </c>
      <c r="O295" s="11">
        <f>N295-SUM(J295:M295)</f>
        <v/>
      </c>
      <c r="P295" s="25">
        <f>SUMIFS(df_ajustes_conciliaco!D:D,df_ajustes_conciliaco!C:C,Conciliacao!A295)</f>
        <v/>
      </c>
      <c r="Q295" s="22">
        <f>O295+I295-P295</f>
        <v/>
      </c>
      <c r="BE295" s="20" t="n">
        <v>45951.5</v>
      </c>
      <c r="BF295" s="20" t="n">
        <v>45951.125</v>
      </c>
      <c r="BG295" s="20" t="n">
        <v>45951.54166666666</v>
      </c>
      <c r="BH295" s="20" t="n">
        <v>45951.625</v>
      </c>
    </row>
    <row r="296">
      <c r="A296" s="5">
        <f>A295+1</f>
        <v/>
      </c>
      <c r="B296" s="3">
        <f>-SUMIFS(df_extrato_zig!G:G,df_extrato_zig!E:E,Conciliacao!A296,df_extrato_zig!D:D,"Saque")-SUMIFS(df_extrato_zig!G:G,df_extrato_zig!E:E,Conciliacao!A296,df_extrato_zig!D:D,"Antecipação")</f>
        <v/>
      </c>
      <c r="C296" s="3">
        <f>SUMIFS(df_extrato_zig!E:E,df_extrato_zig!L:L,Conciliacao!A296,df_extrato_zig!F:F,"DINHEIRO")</f>
        <v/>
      </c>
      <c r="D296" s="3">
        <f>SUMIFS(view_parc_agrup!H:H,view_parc_agrup!G:G,Conciliacao!A296)</f>
        <v/>
      </c>
      <c r="E296" s="3">
        <f>SUMIFS(df_eventos!F:F,df_eventos!H:H,Conciliacao!A296)</f>
        <v/>
      </c>
      <c r="F296" s="3">
        <f>SUMIFS(df_mutuos!M:M,df_mutuos!B:B,Conciliacao!A296)</f>
        <v/>
      </c>
      <c r="G296" s="6">
        <f>SUMIFS(df_bloqueios_judiciais!G:G,df_bloqueios_judiciais!D:D,Conciliacao!A296,df_bloqueios_judiciais!G:G,"&gt;0")</f>
        <v/>
      </c>
      <c r="H296" s="7">
        <f>SUMIFS(df_extratos!I:I,df_extratos!F:F,"&gt;="&amp;Conciliacao!BE296,df_extratos!F:F,"&lt;"&amp;Conciliacao!BE296+1,df_extratos!G:G,"CREDITO")
+SUMIFS(df_extratos!I:I,df_extratos!F:F,"&gt;="&amp;Conciliacao!A296, df_extratos!F:F,"&lt;"&amp;Conciliacao!A296+1, df_extratos!G:G,"CREDITO")
+SUMIFS(df_extratos!I:I,df_extratos!F:F,"&gt;="&amp;Conciliacao!BF296,df_extratos!F:F,"&lt;"&amp;Conciliacao!BF296+1,df_extratos!G:G,"CREDITO")
+SUMIFS(df_extratos!I:I,df_extratos!F:F,"&gt;="&amp;Conciliacao!BG296,df_extratos!F:F,"&lt;"&amp;Conciliacao!BG296+1,df_extratos!G:G,"CREDITO")
+SUMIFS(df_extratos!I:I,df_extratos!F:F,"&gt;="&amp;Conciliacao!BH296,df_extratos!F:F,"&lt;"&amp;Conciliacao!BH296+1,df_extratos!G:G,"CREDITO")</f>
        <v/>
      </c>
      <c r="I296" s="9">
        <f>H296-SUM(B296:G296)</f>
        <v/>
      </c>
      <c r="J296" s="4">
        <f>SUMIFS(df_blueme_sem_parcelamento!E:E,df_blueme_sem_parcelamento!H:H,Conciliacao!A296)*(-1)</f>
        <v/>
      </c>
      <c r="K296" s="4">
        <f>SUMIFS(df_blueme_com_parcelamento!J:J,df_blueme_com_parcelamento!M:M,Conciliacao!A296)*(-1)</f>
        <v/>
      </c>
      <c r="L296" s="4">
        <f>SUMIFS(df_mutuos!N:N,df_mutuos!B:B,Conciliacao!A296)*(-1)</f>
        <v/>
      </c>
      <c r="M296" s="8">
        <f>SUMIFS(df_bloqueios_judiciais!G:G,df_bloqueios_judiciais!D:D,Conciliacao!A296,df_bloqueios_judiciais!G:G,"&lt;0")</f>
        <v/>
      </c>
      <c r="N296" s="10">
        <f>SUMIFS(df_extratos!I:I,df_extratos!F:F,"&gt;="&amp;Conciliacao!BE296,df_extratos!F:F,"&lt;"&amp;Conciliacao!BE296+1,df_extratos!G:G,"DEBITO")
+SUMIFS(df_extratos!I:I,df_extratos!F:F,"&gt;="&amp;Conciliacao!A296, df_extratos!F:F,"&lt;"&amp;Conciliacao!A296+1, df_extratos!G:G,"DEBITO")
+SUMIFS(df_extratos!I:I,df_extratos!F:F,"&gt;="&amp;Conciliacao!BF296,df_extratos!F:F,"&lt;"&amp;Conciliacao!BF296+1,df_extratos!G:G,"DEBITO")
+SUMIFS(df_extratos!I:I,df_extratos!F:F,"&gt;="&amp;Conciliacao!BG296,df_extratos!F:F,"&lt;"&amp;Conciliacao!BG296+1,df_extratos!G:G,"DEBITO")
+SUMIFS(df_extratos!I:I,df_extratos!F:F,"&gt;="&amp;Conciliacao!BH296,df_extratos!F:F,"&lt;"&amp;Conciliacao!BH296+1,df_extratos!G:G,"DEBITO")</f>
        <v/>
      </c>
      <c r="O296" s="11">
        <f>N296-SUM(J296:M296)</f>
        <v/>
      </c>
      <c r="P296" s="25">
        <f>SUMIFS(df_ajustes_conciliaco!D:D,df_ajustes_conciliaco!C:C,Conciliacao!A296)</f>
        <v/>
      </c>
      <c r="Q296" s="22">
        <f>O296+I296-P296</f>
        <v/>
      </c>
      <c r="BE296" s="20" t="n">
        <v>45952.5</v>
      </c>
      <c r="BF296" s="20" t="n">
        <v>45952.125</v>
      </c>
      <c r="BG296" s="20" t="n">
        <v>45952.54166666666</v>
      </c>
      <c r="BH296" s="20" t="n">
        <v>45952.625</v>
      </c>
    </row>
    <row r="297">
      <c r="A297" s="5">
        <f>A296+1</f>
        <v/>
      </c>
      <c r="B297" s="3">
        <f>-SUMIFS(df_extrato_zig!G:G,df_extrato_zig!E:E,Conciliacao!A297,df_extrato_zig!D:D,"Saque")-SUMIFS(df_extrato_zig!G:G,df_extrato_zig!E:E,Conciliacao!A297,df_extrato_zig!D:D,"Antecipação")</f>
        <v/>
      </c>
      <c r="C297" s="3">
        <f>SUMIFS(df_extrato_zig!E:E,df_extrato_zig!L:L,Conciliacao!A297,df_extrato_zig!F:F,"DINHEIRO")</f>
        <v/>
      </c>
      <c r="D297" s="3">
        <f>SUMIFS(view_parc_agrup!H:H,view_parc_agrup!G:G,Conciliacao!A297)</f>
        <v/>
      </c>
      <c r="E297" s="3">
        <f>SUMIFS(df_eventos!F:F,df_eventos!H:H,Conciliacao!A297)</f>
        <v/>
      </c>
      <c r="F297" s="3">
        <f>SUMIFS(df_mutuos!M:M,df_mutuos!B:B,Conciliacao!A297)</f>
        <v/>
      </c>
      <c r="G297" s="6">
        <f>SUMIFS(df_bloqueios_judiciais!G:G,df_bloqueios_judiciais!D:D,Conciliacao!A297,df_bloqueios_judiciais!G:G,"&gt;0")</f>
        <v/>
      </c>
      <c r="H297" s="7">
        <f>SUMIFS(df_extratos!I:I,df_extratos!F:F,"&gt;="&amp;Conciliacao!BE297,df_extratos!F:F,"&lt;"&amp;Conciliacao!BE297+1,df_extratos!G:G,"CREDITO")
+SUMIFS(df_extratos!I:I,df_extratos!F:F,"&gt;="&amp;Conciliacao!A297, df_extratos!F:F,"&lt;"&amp;Conciliacao!A297+1, df_extratos!G:G,"CREDITO")
+SUMIFS(df_extratos!I:I,df_extratos!F:F,"&gt;="&amp;Conciliacao!BF297,df_extratos!F:F,"&lt;"&amp;Conciliacao!BF297+1,df_extratos!G:G,"CREDITO")
+SUMIFS(df_extratos!I:I,df_extratos!F:F,"&gt;="&amp;Conciliacao!BG297,df_extratos!F:F,"&lt;"&amp;Conciliacao!BG297+1,df_extratos!G:G,"CREDITO")
+SUMIFS(df_extratos!I:I,df_extratos!F:F,"&gt;="&amp;Conciliacao!BH297,df_extratos!F:F,"&lt;"&amp;Conciliacao!BH297+1,df_extratos!G:G,"CREDITO")</f>
        <v/>
      </c>
      <c r="I297" s="9">
        <f>H297-SUM(B297:G297)</f>
        <v/>
      </c>
      <c r="J297" s="4">
        <f>SUMIFS(df_blueme_sem_parcelamento!E:E,df_blueme_sem_parcelamento!H:H,Conciliacao!A297)*(-1)</f>
        <v/>
      </c>
      <c r="K297" s="4">
        <f>SUMIFS(df_blueme_com_parcelamento!J:J,df_blueme_com_parcelamento!M:M,Conciliacao!A297)*(-1)</f>
        <v/>
      </c>
      <c r="L297" s="4">
        <f>SUMIFS(df_mutuos!N:N,df_mutuos!B:B,Conciliacao!A297)*(-1)</f>
        <v/>
      </c>
      <c r="M297" s="8">
        <f>SUMIFS(df_bloqueios_judiciais!G:G,df_bloqueios_judiciais!D:D,Conciliacao!A297,df_bloqueios_judiciais!G:G,"&lt;0")</f>
        <v/>
      </c>
      <c r="N297" s="10">
        <f>SUMIFS(df_extratos!I:I,df_extratos!F:F,"&gt;="&amp;Conciliacao!BE297,df_extratos!F:F,"&lt;"&amp;Conciliacao!BE297+1,df_extratos!G:G,"DEBITO")
+SUMIFS(df_extratos!I:I,df_extratos!F:F,"&gt;="&amp;Conciliacao!A297, df_extratos!F:F,"&lt;"&amp;Conciliacao!A297+1, df_extratos!G:G,"DEBITO")
+SUMIFS(df_extratos!I:I,df_extratos!F:F,"&gt;="&amp;Conciliacao!BF297,df_extratos!F:F,"&lt;"&amp;Conciliacao!BF297+1,df_extratos!G:G,"DEBITO")
+SUMIFS(df_extratos!I:I,df_extratos!F:F,"&gt;="&amp;Conciliacao!BG297,df_extratos!F:F,"&lt;"&amp;Conciliacao!BG297+1,df_extratos!G:G,"DEBITO")
+SUMIFS(df_extratos!I:I,df_extratos!F:F,"&gt;="&amp;Conciliacao!BH297,df_extratos!F:F,"&lt;"&amp;Conciliacao!BH297+1,df_extratos!G:G,"DEBITO")</f>
        <v/>
      </c>
      <c r="O297" s="11">
        <f>N297-SUM(J297:M297)</f>
        <v/>
      </c>
      <c r="P297" s="25">
        <f>SUMIFS(df_ajustes_conciliaco!D:D,df_ajustes_conciliaco!C:C,Conciliacao!A297)</f>
        <v/>
      </c>
      <c r="Q297" s="22">
        <f>O297+I297-P297</f>
        <v/>
      </c>
      <c r="BE297" s="20" t="n">
        <v>45953.5</v>
      </c>
      <c r="BF297" s="20" t="n">
        <v>45953.125</v>
      </c>
      <c r="BG297" s="20" t="n">
        <v>45953.54166666666</v>
      </c>
      <c r="BH297" s="20" t="n">
        <v>45953.625</v>
      </c>
    </row>
    <row r="298">
      <c r="A298" s="5">
        <f>A297+1</f>
        <v/>
      </c>
      <c r="B298" s="3">
        <f>-SUMIFS(df_extrato_zig!G:G,df_extrato_zig!E:E,Conciliacao!A298,df_extrato_zig!D:D,"Saque")-SUMIFS(df_extrato_zig!G:G,df_extrato_zig!E:E,Conciliacao!A298,df_extrato_zig!D:D,"Antecipação")</f>
        <v/>
      </c>
      <c r="C298" s="3">
        <f>SUMIFS(df_extrato_zig!E:E,df_extrato_zig!L:L,Conciliacao!A298,df_extrato_zig!F:F,"DINHEIRO")</f>
        <v/>
      </c>
      <c r="D298" s="3">
        <f>SUMIFS(view_parc_agrup!H:H,view_parc_agrup!G:G,Conciliacao!A298)</f>
        <v/>
      </c>
      <c r="E298" s="3">
        <f>SUMIFS(df_eventos!F:F,df_eventos!H:H,Conciliacao!A298)</f>
        <v/>
      </c>
      <c r="F298" s="3">
        <f>SUMIFS(df_mutuos!M:M,df_mutuos!B:B,Conciliacao!A298)</f>
        <v/>
      </c>
      <c r="G298" s="6">
        <f>SUMIFS(df_bloqueios_judiciais!G:G,df_bloqueios_judiciais!D:D,Conciliacao!A298,df_bloqueios_judiciais!G:G,"&gt;0")</f>
        <v/>
      </c>
      <c r="H298" s="7">
        <f>SUMIFS(df_extratos!I:I,df_extratos!F:F,"&gt;="&amp;Conciliacao!BE298,df_extratos!F:F,"&lt;"&amp;Conciliacao!BE298+1,df_extratos!G:G,"CREDITO")
+SUMIFS(df_extratos!I:I,df_extratos!F:F,"&gt;="&amp;Conciliacao!A298, df_extratos!F:F,"&lt;"&amp;Conciliacao!A298+1, df_extratos!G:G,"CREDITO")
+SUMIFS(df_extratos!I:I,df_extratos!F:F,"&gt;="&amp;Conciliacao!BF298,df_extratos!F:F,"&lt;"&amp;Conciliacao!BF298+1,df_extratos!G:G,"CREDITO")
+SUMIFS(df_extratos!I:I,df_extratos!F:F,"&gt;="&amp;Conciliacao!BG298,df_extratos!F:F,"&lt;"&amp;Conciliacao!BG298+1,df_extratos!G:G,"CREDITO")
+SUMIFS(df_extratos!I:I,df_extratos!F:F,"&gt;="&amp;Conciliacao!BH298,df_extratos!F:F,"&lt;"&amp;Conciliacao!BH298+1,df_extratos!G:G,"CREDITO")</f>
        <v/>
      </c>
      <c r="I298" s="9">
        <f>H298-SUM(B298:G298)</f>
        <v/>
      </c>
      <c r="J298" s="4">
        <f>SUMIFS(df_blueme_sem_parcelamento!E:E,df_blueme_sem_parcelamento!H:H,Conciliacao!A298)*(-1)</f>
        <v/>
      </c>
      <c r="K298" s="4">
        <f>SUMIFS(df_blueme_com_parcelamento!J:J,df_blueme_com_parcelamento!M:M,Conciliacao!A298)*(-1)</f>
        <v/>
      </c>
      <c r="L298" s="4">
        <f>SUMIFS(df_mutuos!N:N,df_mutuos!B:B,Conciliacao!A298)*(-1)</f>
        <v/>
      </c>
      <c r="M298" s="8">
        <f>SUMIFS(df_bloqueios_judiciais!G:G,df_bloqueios_judiciais!D:D,Conciliacao!A298,df_bloqueios_judiciais!G:G,"&lt;0")</f>
        <v/>
      </c>
      <c r="N298" s="10">
        <f>SUMIFS(df_extratos!I:I,df_extratos!F:F,"&gt;="&amp;Conciliacao!BE298,df_extratos!F:F,"&lt;"&amp;Conciliacao!BE298+1,df_extratos!G:G,"DEBITO")
+SUMIFS(df_extratos!I:I,df_extratos!F:F,"&gt;="&amp;Conciliacao!A298, df_extratos!F:F,"&lt;"&amp;Conciliacao!A298+1, df_extratos!G:G,"DEBITO")
+SUMIFS(df_extratos!I:I,df_extratos!F:F,"&gt;="&amp;Conciliacao!BF298,df_extratos!F:F,"&lt;"&amp;Conciliacao!BF298+1,df_extratos!G:G,"DEBITO")
+SUMIFS(df_extratos!I:I,df_extratos!F:F,"&gt;="&amp;Conciliacao!BG298,df_extratos!F:F,"&lt;"&amp;Conciliacao!BG298+1,df_extratos!G:G,"DEBITO")
+SUMIFS(df_extratos!I:I,df_extratos!F:F,"&gt;="&amp;Conciliacao!BH298,df_extratos!F:F,"&lt;"&amp;Conciliacao!BH298+1,df_extratos!G:G,"DEBITO")</f>
        <v/>
      </c>
      <c r="O298" s="11">
        <f>N298-SUM(J298:M298)</f>
        <v/>
      </c>
      <c r="P298" s="25">
        <f>SUMIFS(df_ajustes_conciliaco!D:D,df_ajustes_conciliaco!C:C,Conciliacao!A298)</f>
        <v/>
      </c>
      <c r="Q298" s="22">
        <f>O298+I298-P298</f>
        <v/>
      </c>
      <c r="BE298" s="20" t="n">
        <v>45954.5</v>
      </c>
      <c r="BF298" s="20" t="n">
        <v>45954.125</v>
      </c>
      <c r="BG298" s="20" t="n">
        <v>45954.54166666666</v>
      </c>
      <c r="BH298" s="20" t="n">
        <v>45954.625</v>
      </c>
    </row>
    <row r="299">
      <c r="A299" s="5">
        <f>A298+1</f>
        <v/>
      </c>
      <c r="B299" s="3">
        <f>-SUMIFS(df_extrato_zig!G:G,df_extrato_zig!E:E,Conciliacao!A299,df_extrato_zig!D:D,"Saque")-SUMIFS(df_extrato_zig!G:G,df_extrato_zig!E:E,Conciliacao!A299,df_extrato_zig!D:D,"Antecipação")</f>
        <v/>
      </c>
      <c r="C299" s="3">
        <f>SUMIFS(df_extrato_zig!E:E,df_extrato_zig!L:L,Conciliacao!A299,df_extrato_zig!F:F,"DINHEIRO")</f>
        <v/>
      </c>
      <c r="D299" s="3">
        <f>SUMIFS(view_parc_agrup!H:H,view_parc_agrup!G:G,Conciliacao!A299)</f>
        <v/>
      </c>
      <c r="E299" s="3">
        <f>SUMIFS(df_eventos!F:F,df_eventos!H:H,Conciliacao!A299)</f>
        <v/>
      </c>
      <c r="F299" s="3">
        <f>SUMIFS(df_mutuos!M:M,df_mutuos!B:B,Conciliacao!A299)</f>
        <v/>
      </c>
      <c r="G299" s="6">
        <f>SUMIFS(df_bloqueios_judiciais!G:G,df_bloqueios_judiciais!D:D,Conciliacao!A299,df_bloqueios_judiciais!G:G,"&gt;0")</f>
        <v/>
      </c>
      <c r="H299" s="7">
        <f>SUMIFS(df_extratos!I:I,df_extratos!F:F,"&gt;="&amp;Conciliacao!BE299,df_extratos!F:F,"&lt;"&amp;Conciliacao!BE299+1,df_extratos!G:G,"CREDITO")
+SUMIFS(df_extratos!I:I,df_extratos!F:F,"&gt;="&amp;Conciliacao!A299, df_extratos!F:F,"&lt;"&amp;Conciliacao!A299+1, df_extratos!G:G,"CREDITO")
+SUMIFS(df_extratos!I:I,df_extratos!F:F,"&gt;="&amp;Conciliacao!BF299,df_extratos!F:F,"&lt;"&amp;Conciliacao!BF299+1,df_extratos!G:G,"CREDITO")
+SUMIFS(df_extratos!I:I,df_extratos!F:F,"&gt;="&amp;Conciliacao!BG299,df_extratos!F:F,"&lt;"&amp;Conciliacao!BG299+1,df_extratos!G:G,"CREDITO")
+SUMIFS(df_extratos!I:I,df_extratos!F:F,"&gt;="&amp;Conciliacao!BH299,df_extratos!F:F,"&lt;"&amp;Conciliacao!BH299+1,df_extratos!G:G,"CREDITO")</f>
        <v/>
      </c>
      <c r="I299" s="9">
        <f>H299-SUM(B299:G299)</f>
        <v/>
      </c>
      <c r="J299" s="4">
        <f>SUMIFS(df_blueme_sem_parcelamento!E:E,df_blueme_sem_parcelamento!H:H,Conciliacao!A299)*(-1)</f>
        <v/>
      </c>
      <c r="K299" s="4">
        <f>SUMIFS(df_blueme_com_parcelamento!J:J,df_blueme_com_parcelamento!M:M,Conciliacao!A299)*(-1)</f>
        <v/>
      </c>
      <c r="L299" s="4">
        <f>SUMIFS(df_mutuos!N:N,df_mutuos!B:B,Conciliacao!A299)*(-1)</f>
        <v/>
      </c>
      <c r="M299" s="8">
        <f>SUMIFS(df_bloqueios_judiciais!G:G,df_bloqueios_judiciais!D:D,Conciliacao!A299,df_bloqueios_judiciais!G:G,"&lt;0")</f>
        <v/>
      </c>
      <c r="N299" s="10">
        <f>SUMIFS(df_extratos!I:I,df_extratos!F:F,"&gt;="&amp;Conciliacao!BE299,df_extratos!F:F,"&lt;"&amp;Conciliacao!BE299+1,df_extratos!G:G,"DEBITO")
+SUMIFS(df_extratos!I:I,df_extratos!F:F,"&gt;="&amp;Conciliacao!A299, df_extratos!F:F,"&lt;"&amp;Conciliacao!A299+1, df_extratos!G:G,"DEBITO")
+SUMIFS(df_extratos!I:I,df_extratos!F:F,"&gt;="&amp;Conciliacao!BF299,df_extratos!F:F,"&lt;"&amp;Conciliacao!BF299+1,df_extratos!G:G,"DEBITO")
+SUMIFS(df_extratos!I:I,df_extratos!F:F,"&gt;="&amp;Conciliacao!BG299,df_extratos!F:F,"&lt;"&amp;Conciliacao!BG299+1,df_extratos!G:G,"DEBITO")
+SUMIFS(df_extratos!I:I,df_extratos!F:F,"&gt;="&amp;Conciliacao!BH299,df_extratos!F:F,"&lt;"&amp;Conciliacao!BH299+1,df_extratos!G:G,"DEBITO")</f>
        <v/>
      </c>
      <c r="O299" s="11">
        <f>N299-SUM(J299:M299)</f>
        <v/>
      </c>
      <c r="P299" s="25">
        <f>SUMIFS(df_ajustes_conciliaco!D:D,df_ajustes_conciliaco!C:C,Conciliacao!A299)</f>
        <v/>
      </c>
      <c r="Q299" s="22">
        <f>O299+I299-P299</f>
        <v/>
      </c>
      <c r="BE299" s="20" t="n">
        <v>45955.5</v>
      </c>
      <c r="BF299" s="20" t="n">
        <v>45955.125</v>
      </c>
      <c r="BG299" s="20" t="n">
        <v>45955.54166666666</v>
      </c>
      <c r="BH299" s="20" t="n">
        <v>45955.625</v>
      </c>
    </row>
    <row r="300">
      <c r="A300" s="5">
        <f>A299+1</f>
        <v/>
      </c>
      <c r="B300" s="3">
        <f>-SUMIFS(df_extrato_zig!G:G,df_extrato_zig!E:E,Conciliacao!A300,df_extrato_zig!D:D,"Saque")-SUMIFS(df_extrato_zig!G:G,df_extrato_zig!E:E,Conciliacao!A300,df_extrato_zig!D:D,"Antecipação")</f>
        <v/>
      </c>
      <c r="C300" s="3">
        <f>SUMIFS(df_extrato_zig!E:E,df_extrato_zig!L:L,Conciliacao!A300,df_extrato_zig!F:F,"DINHEIRO")</f>
        <v/>
      </c>
      <c r="D300" s="3">
        <f>SUMIFS(view_parc_agrup!H:H,view_parc_agrup!G:G,Conciliacao!A300)</f>
        <v/>
      </c>
      <c r="E300" s="3">
        <f>SUMIFS(df_eventos!F:F,df_eventos!H:H,Conciliacao!A300)</f>
        <v/>
      </c>
      <c r="F300" s="3">
        <f>SUMIFS(df_mutuos!M:M,df_mutuos!B:B,Conciliacao!A300)</f>
        <v/>
      </c>
      <c r="G300" s="6">
        <f>SUMIFS(df_bloqueios_judiciais!G:G,df_bloqueios_judiciais!D:D,Conciliacao!A300,df_bloqueios_judiciais!G:G,"&gt;0")</f>
        <v/>
      </c>
      <c r="H300" s="7">
        <f>SUMIFS(df_extratos!I:I,df_extratos!F:F,"&gt;="&amp;Conciliacao!BE300,df_extratos!F:F,"&lt;"&amp;Conciliacao!BE300+1,df_extratos!G:G,"CREDITO")
+SUMIFS(df_extratos!I:I,df_extratos!F:F,"&gt;="&amp;Conciliacao!A300, df_extratos!F:F,"&lt;"&amp;Conciliacao!A300+1, df_extratos!G:G,"CREDITO")
+SUMIFS(df_extratos!I:I,df_extratos!F:F,"&gt;="&amp;Conciliacao!BF300,df_extratos!F:F,"&lt;"&amp;Conciliacao!BF300+1,df_extratos!G:G,"CREDITO")
+SUMIFS(df_extratos!I:I,df_extratos!F:F,"&gt;="&amp;Conciliacao!BG300,df_extratos!F:F,"&lt;"&amp;Conciliacao!BG300+1,df_extratos!G:G,"CREDITO")
+SUMIFS(df_extratos!I:I,df_extratos!F:F,"&gt;="&amp;Conciliacao!BH300,df_extratos!F:F,"&lt;"&amp;Conciliacao!BH300+1,df_extratos!G:G,"CREDITO")</f>
        <v/>
      </c>
      <c r="I300" s="9">
        <f>H300-SUM(B300:G300)</f>
        <v/>
      </c>
      <c r="J300" s="4">
        <f>SUMIFS(df_blueme_sem_parcelamento!E:E,df_blueme_sem_parcelamento!H:H,Conciliacao!A300)*(-1)</f>
        <v/>
      </c>
      <c r="K300" s="4">
        <f>SUMIFS(df_blueme_com_parcelamento!J:J,df_blueme_com_parcelamento!M:M,Conciliacao!A300)*(-1)</f>
        <v/>
      </c>
      <c r="L300" s="4">
        <f>SUMIFS(df_mutuos!N:N,df_mutuos!B:B,Conciliacao!A300)*(-1)</f>
        <v/>
      </c>
      <c r="M300" s="8">
        <f>SUMIFS(df_bloqueios_judiciais!G:G,df_bloqueios_judiciais!D:D,Conciliacao!A300,df_bloqueios_judiciais!G:G,"&lt;0")</f>
        <v/>
      </c>
      <c r="N300" s="10">
        <f>SUMIFS(df_extratos!I:I,df_extratos!F:F,"&gt;="&amp;Conciliacao!BE300,df_extratos!F:F,"&lt;"&amp;Conciliacao!BE300+1,df_extratos!G:G,"DEBITO")
+SUMIFS(df_extratos!I:I,df_extratos!F:F,"&gt;="&amp;Conciliacao!A300, df_extratos!F:F,"&lt;"&amp;Conciliacao!A300+1, df_extratos!G:G,"DEBITO")
+SUMIFS(df_extratos!I:I,df_extratos!F:F,"&gt;="&amp;Conciliacao!BF300,df_extratos!F:F,"&lt;"&amp;Conciliacao!BF300+1,df_extratos!G:G,"DEBITO")
+SUMIFS(df_extratos!I:I,df_extratos!F:F,"&gt;="&amp;Conciliacao!BG300,df_extratos!F:F,"&lt;"&amp;Conciliacao!BG300+1,df_extratos!G:G,"DEBITO")
+SUMIFS(df_extratos!I:I,df_extratos!F:F,"&gt;="&amp;Conciliacao!BH300,df_extratos!F:F,"&lt;"&amp;Conciliacao!BH300+1,df_extratos!G:G,"DEBITO")</f>
        <v/>
      </c>
      <c r="O300" s="11">
        <f>N300-SUM(J300:M300)</f>
        <v/>
      </c>
      <c r="P300" s="25">
        <f>SUMIFS(df_ajustes_conciliaco!D:D,df_ajustes_conciliaco!C:C,Conciliacao!A300)</f>
        <v/>
      </c>
      <c r="Q300" s="22">
        <f>O300+I300-P300</f>
        <v/>
      </c>
      <c r="BE300" s="20" t="n">
        <v>45956.5</v>
      </c>
      <c r="BF300" s="20" t="n">
        <v>45956.125</v>
      </c>
      <c r="BG300" s="20" t="n">
        <v>45956.54166666666</v>
      </c>
      <c r="BH300" s="20" t="n">
        <v>45956.625</v>
      </c>
    </row>
    <row r="301">
      <c r="A301" s="5">
        <f>A300+1</f>
        <v/>
      </c>
      <c r="B301" s="3">
        <f>-SUMIFS(df_extrato_zig!G:G,df_extrato_zig!E:E,Conciliacao!A301,df_extrato_zig!D:D,"Saque")-SUMIFS(df_extrato_zig!G:G,df_extrato_zig!E:E,Conciliacao!A301,df_extrato_zig!D:D,"Antecipação")</f>
        <v/>
      </c>
      <c r="C301" s="3">
        <f>SUMIFS(df_extrato_zig!E:E,df_extrato_zig!L:L,Conciliacao!A301,df_extrato_zig!F:F,"DINHEIRO")</f>
        <v/>
      </c>
      <c r="D301" s="3">
        <f>SUMIFS(view_parc_agrup!H:H,view_parc_agrup!G:G,Conciliacao!A301)</f>
        <v/>
      </c>
      <c r="E301" s="3">
        <f>SUMIFS(df_eventos!F:F,df_eventos!H:H,Conciliacao!A301)</f>
        <v/>
      </c>
      <c r="F301" s="3">
        <f>SUMIFS(df_mutuos!M:M,df_mutuos!B:B,Conciliacao!A301)</f>
        <v/>
      </c>
      <c r="G301" s="6">
        <f>SUMIFS(df_bloqueios_judiciais!G:G,df_bloqueios_judiciais!D:D,Conciliacao!A301,df_bloqueios_judiciais!G:G,"&gt;0")</f>
        <v/>
      </c>
      <c r="H301" s="7">
        <f>SUMIFS(df_extratos!I:I,df_extratos!F:F,"&gt;="&amp;Conciliacao!BE301,df_extratos!F:F,"&lt;"&amp;Conciliacao!BE301+1,df_extratos!G:G,"CREDITO")
+SUMIFS(df_extratos!I:I,df_extratos!F:F,"&gt;="&amp;Conciliacao!A301, df_extratos!F:F,"&lt;"&amp;Conciliacao!A301+1, df_extratos!G:G,"CREDITO")
+SUMIFS(df_extratos!I:I,df_extratos!F:F,"&gt;="&amp;Conciliacao!BF301,df_extratos!F:F,"&lt;"&amp;Conciliacao!BF301+1,df_extratos!G:G,"CREDITO")
+SUMIFS(df_extratos!I:I,df_extratos!F:F,"&gt;="&amp;Conciliacao!BG301,df_extratos!F:F,"&lt;"&amp;Conciliacao!BG301+1,df_extratos!G:G,"CREDITO")
+SUMIFS(df_extratos!I:I,df_extratos!F:F,"&gt;="&amp;Conciliacao!BH301,df_extratos!F:F,"&lt;"&amp;Conciliacao!BH301+1,df_extratos!G:G,"CREDITO")</f>
        <v/>
      </c>
      <c r="I301" s="9">
        <f>H301-SUM(B301:G301)</f>
        <v/>
      </c>
      <c r="J301" s="4">
        <f>SUMIFS(df_blueme_sem_parcelamento!E:E,df_blueme_sem_parcelamento!H:H,Conciliacao!A301)*(-1)</f>
        <v/>
      </c>
      <c r="K301" s="4">
        <f>SUMIFS(df_blueme_com_parcelamento!J:J,df_blueme_com_parcelamento!M:M,Conciliacao!A301)*(-1)</f>
        <v/>
      </c>
      <c r="L301" s="4">
        <f>SUMIFS(df_mutuos!N:N,df_mutuos!B:B,Conciliacao!A301)*(-1)</f>
        <v/>
      </c>
      <c r="M301" s="8">
        <f>SUMIFS(df_bloqueios_judiciais!G:G,df_bloqueios_judiciais!D:D,Conciliacao!A301,df_bloqueios_judiciais!G:G,"&lt;0")</f>
        <v/>
      </c>
      <c r="N301" s="10">
        <f>SUMIFS(df_extratos!I:I,df_extratos!F:F,"&gt;="&amp;Conciliacao!BE301,df_extratos!F:F,"&lt;"&amp;Conciliacao!BE301+1,df_extratos!G:G,"DEBITO")
+SUMIFS(df_extratos!I:I,df_extratos!F:F,"&gt;="&amp;Conciliacao!A301, df_extratos!F:F,"&lt;"&amp;Conciliacao!A301+1, df_extratos!G:G,"DEBITO")
+SUMIFS(df_extratos!I:I,df_extratos!F:F,"&gt;="&amp;Conciliacao!BF301,df_extratos!F:F,"&lt;"&amp;Conciliacao!BF301+1,df_extratos!G:G,"DEBITO")
+SUMIFS(df_extratos!I:I,df_extratos!F:F,"&gt;="&amp;Conciliacao!BG301,df_extratos!F:F,"&lt;"&amp;Conciliacao!BG301+1,df_extratos!G:G,"DEBITO")
+SUMIFS(df_extratos!I:I,df_extratos!F:F,"&gt;="&amp;Conciliacao!BH301,df_extratos!F:F,"&lt;"&amp;Conciliacao!BH301+1,df_extratos!G:G,"DEBITO")</f>
        <v/>
      </c>
      <c r="O301" s="11">
        <f>N301-SUM(J301:M301)</f>
        <v/>
      </c>
      <c r="P301" s="25">
        <f>SUMIFS(df_ajustes_conciliaco!D:D,df_ajustes_conciliaco!C:C,Conciliacao!A301)</f>
        <v/>
      </c>
      <c r="Q301" s="22">
        <f>O301+I301-P301</f>
        <v/>
      </c>
      <c r="BE301" s="20" t="n">
        <v>45957.5</v>
      </c>
      <c r="BF301" s="20" t="n">
        <v>45957.125</v>
      </c>
      <c r="BG301" s="20" t="n">
        <v>45957.54166666666</v>
      </c>
      <c r="BH301" s="20" t="n">
        <v>45957.625</v>
      </c>
    </row>
    <row r="302">
      <c r="A302" s="5">
        <f>A301+1</f>
        <v/>
      </c>
      <c r="B302" s="3">
        <f>-SUMIFS(df_extrato_zig!G:G,df_extrato_zig!E:E,Conciliacao!A302,df_extrato_zig!D:D,"Saque")-SUMIFS(df_extrato_zig!G:G,df_extrato_zig!E:E,Conciliacao!A302,df_extrato_zig!D:D,"Antecipação")</f>
        <v/>
      </c>
      <c r="C302" s="3">
        <f>SUMIFS(df_extrato_zig!E:E,df_extrato_zig!L:L,Conciliacao!A302,df_extrato_zig!F:F,"DINHEIRO")</f>
        <v/>
      </c>
      <c r="D302" s="3">
        <f>SUMIFS(view_parc_agrup!H:H,view_parc_agrup!G:G,Conciliacao!A302)</f>
        <v/>
      </c>
      <c r="E302" s="3">
        <f>SUMIFS(df_eventos!F:F,df_eventos!H:H,Conciliacao!A302)</f>
        <v/>
      </c>
      <c r="F302" s="3">
        <f>SUMIFS(df_mutuos!M:M,df_mutuos!B:B,Conciliacao!A302)</f>
        <v/>
      </c>
      <c r="G302" s="6">
        <f>SUMIFS(df_bloqueios_judiciais!G:G,df_bloqueios_judiciais!D:D,Conciliacao!A302,df_bloqueios_judiciais!G:G,"&gt;0")</f>
        <v/>
      </c>
      <c r="H302" s="7">
        <f>SUMIFS(df_extratos!I:I,df_extratos!F:F,"&gt;="&amp;Conciliacao!BE302,df_extratos!F:F,"&lt;"&amp;Conciliacao!BE302+1,df_extratos!G:G,"CREDITO")
+SUMIFS(df_extratos!I:I,df_extratos!F:F,"&gt;="&amp;Conciliacao!A302, df_extratos!F:F,"&lt;"&amp;Conciliacao!A302+1, df_extratos!G:G,"CREDITO")
+SUMIFS(df_extratos!I:I,df_extratos!F:F,"&gt;="&amp;Conciliacao!BF302,df_extratos!F:F,"&lt;"&amp;Conciliacao!BF302+1,df_extratos!G:G,"CREDITO")
+SUMIFS(df_extratos!I:I,df_extratos!F:F,"&gt;="&amp;Conciliacao!BG302,df_extratos!F:F,"&lt;"&amp;Conciliacao!BG302+1,df_extratos!G:G,"CREDITO")
+SUMIFS(df_extratos!I:I,df_extratos!F:F,"&gt;="&amp;Conciliacao!BH302,df_extratos!F:F,"&lt;"&amp;Conciliacao!BH302+1,df_extratos!G:G,"CREDITO")</f>
        <v/>
      </c>
      <c r="I302" s="9">
        <f>H302-SUM(B302:G302)</f>
        <v/>
      </c>
      <c r="J302" s="4">
        <f>SUMIFS(df_blueme_sem_parcelamento!E:E,df_blueme_sem_parcelamento!H:H,Conciliacao!A302)*(-1)</f>
        <v/>
      </c>
      <c r="K302" s="4">
        <f>SUMIFS(df_blueme_com_parcelamento!J:J,df_blueme_com_parcelamento!M:M,Conciliacao!A302)*(-1)</f>
        <v/>
      </c>
      <c r="L302" s="4">
        <f>SUMIFS(df_mutuos!N:N,df_mutuos!B:B,Conciliacao!A302)*(-1)</f>
        <v/>
      </c>
      <c r="M302" s="8">
        <f>SUMIFS(df_bloqueios_judiciais!G:G,df_bloqueios_judiciais!D:D,Conciliacao!A302,df_bloqueios_judiciais!G:G,"&lt;0")</f>
        <v/>
      </c>
      <c r="N302" s="10">
        <f>SUMIFS(df_extratos!I:I,df_extratos!F:F,"&gt;="&amp;Conciliacao!BE302,df_extratos!F:F,"&lt;"&amp;Conciliacao!BE302+1,df_extratos!G:G,"DEBITO")
+SUMIFS(df_extratos!I:I,df_extratos!F:F,"&gt;="&amp;Conciliacao!A302, df_extratos!F:F,"&lt;"&amp;Conciliacao!A302+1, df_extratos!G:G,"DEBITO")
+SUMIFS(df_extratos!I:I,df_extratos!F:F,"&gt;="&amp;Conciliacao!BF302,df_extratos!F:F,"&lt;"&amp;Conciliacao!BF302+1,df_extratos!G:G,"DEBITO")
+SUMIFS(df_extratos!I:I,df_extratos!F:F,"&gt;="&amp;Conciliacao!BG302,df_extratos!F:F,"&lt;"&amp;Conciliacao!BG302+1,df_extratos!G:G,"DEBITO")
+SUMIFS(df_extratos!I:I,df_extratos!F:F,"&gt;="&amp;Conciliacao!BH302,df_extratos!F:F,"&lt;"&amp;Conciliacao!BH302+1,df_extratos!G:G,"DEBITO")</f>
        <v/>
      </c>
      <c r="O302" s="11">
        <f>N302-SUM(J302:M302)</f>
        <v/>
      </c>
      <c r="P302" s="25">
        <f>SUMIFS(df_ajustes_conciliaco!D:D,df_ajustes_conciliaco!C:C,Conciliacao!A302)</f>
        <v/>
      </c>
      <c r="Q302" s="22">
        <f>O302+I302-P302</f>
        <v/>
      </c>
      <c r="BE302" s="20" t="n">
        <v>45958.5</v>
      </c>
      <c r="BF302" s="20" t="n">
        <v>45958.125</v>
      </c>
      <c r="BG302" s="20" t="n">
        <v>45958.54166666666</v>
      </c>
      <c r="BH302" s="20" t="n">
        <v>45958.625</v>
      </c>
    </row>
    <row r="303">
      <c r="A303" s="5">
        <f>A302+1</f>
        <v/>
      </c>
      <c r="B303" s="3">
        <f>-SUMIFS(df_extrato_zig!G:G,df_extrato_zig!E:E,Conciliacao!A303,df_extrato_zig!D:D,"Saque")-SUMIFS(df_extrato_zig!G:G,df_extrato_zig!E:E,Conciliacao!A303,df_extrato_zig!D:D,"Antecipação")</f>
        <v/>
      </c>
      <c r="C303" s="3">
        <f>SUMIFS(df_extrato_zig!E:E,df_extrato_zig!L:L,Conciliacao!A303,df_extrato_zig!F:F,"DINHEIRO")</f>
        <v/>
      </c>
      <c r="D303" s="3">
        <f>SUMIFS(view_parc_agrup!H:H,view_parc_agrup!G:G,Conciliacao!A303)</f>
        <v/>
      </c>
      <c r="E303" s="3">
        <f>SUMIFS(df_eventos!F:F,df_eventos!H:H,Conciliacao!A303)</f>
        <v/>
      </c>
      <c r="F303" s="3">
        <f>SUMIFS(df_mutuos!M:M,df_mutuos!B:B,Conciliacao!A303)</f>
        <v/>
      </c>
      <c r="G303" s="6">
        <f>SUMIFS(df_bloqueios_judiciais!G:G,df_bloqueios_judiciais!D:D,Conciliacao!A303,df_bloqueios_judiciais!G:G,"&gt;0")</f>
        <v/>
      </c>
      <c r="H303" s="7">
        <f>SUMIFS(df_extratos!I:I,df_extratos!F:F,"&gt;="&amp;Conciliacao!BE303,df_extratos!F:F,"&lt;"&amp;Conciliacao!BE303+1,df_extratos!G:G,"CREDITO")
+SUMIFS(df_extratos!I:I,df_extratos!F:F,"&gt;="&amp;Conciliacao!A303, df_extratos!F:F,"&lt;"&amp;Conciliacao!A303+1, df_extratos!G:G,"CREDITO")
+SUMIFS(df_extratos!I:I,df_extratos!F:F,"&gt;="&amp;Conciliacao!BF303,df_extratos!F:F,"&lt;"&amp;Conciliacao!BF303+1,df_extratos!G:G,"CREDITO")
+SUMIFS(df_extratos!I:I,df_extratos!F:F,"&gt;="&amp;Conciliacao!BG303,df_extratos!F:F,"&lt;"&amp;Conciliacao!BG303+1,df_extratos!G:G,"CREDITO")
+SUMIFS(df_extratos!I:I,df_extratos!F:F,"&gt;="&amp;Conciliacao!BH303,df_extratos!F:F,"&lt;"&amp;Conciliacao!BH303+1,df_extratos!G:G,"CREDITO")</f>
        <v/>
      </c>
      <c r="I303" s="9">
        <f>H303-SUM(B303:G303)</f>
        <v/>
      </c>
      <c r="J303" s="4">
        <f>SUMIFS(df_blueme_sem_parcelamento!E:E,df_blueme_sem_parcelamento!H:H,Conciliacao!A303)*(-1)</f>
        <v/>
      </c>
      <c r="K303" s="4">
        <f>SUMIFS(df_blueme_com_parcelamento!J:J,df_blueme_com_parcelamento!M:M,Conciliacao!A303)*(-1)</f>
        <v/>
      </c>
      <c r="L303" s="4">
        <f>SUMIFS(df_mutuos!N:N,df_mutuos!B:B,Conciliacao!A303)*(-1)</f>
        <v/>
      </c>
      <c r="M303" s="8">
        <f>SUMIFS(df_bloqueios_judiciais!G:G,df_bloqueios_judiciais!D:D,Conciliacao!A303,df_bloqueios_judiciais!G:G,"&lt;0")</f>
        <v/>
      </c>
      <c r="N303" s="10">
        <f>SUMIFS(df_extratos!I:I,df_extratos!F:F,"&gt;="&amp;Conciliacao!BE303,df_extratos!F:F,"&lt;"&amp;Conciliacao!BE303+1,df_extratos!G:G,"DEBITO")
+SUMIFS(df_extratos!I:I,df_extratos!F:F,"&gt;="&amp;Conciliacao!A303, df_extratos!F:F,"&lt;"&amp;Conciliacao!A303+1, df_extratos!G:G,"DEBITO")
+SUMIFS(df_extratos!I:I,df_extratos!F:F,"&gt;="&amp;Conciliacao!BF303,df_extratos!F:F,"&lt;"&amp;Conciliacao!BF303+1,df_extratos!G:G,"DEBITO")
+SUMIFS(df_extratos!I:I,df_extratos!F:F,"&gt;="&amp;Conciliacao!BG303,df_extratos!F:F,"&lt;"&amp;Conciliacao!BG303+1,df_extratos!G:G,"DEBITO")
+SUMIFS(df_extratos!I:I,df_extratos!F:F,"&gt;="&amp;Conciliacao!BH303,df_extratos!F:F,"&lt;"&amp;Conciliacao!BH303+1,df_extratos!G:G,"DEBITO")</f>
        <v/>
      </c>
      <c r="O303" s="11">
        <f>N303-SUM(J303:M303)</f>
        <v/>
      </c>
      <c r="P303" s="25">
        <f>SUMIFS(df_ajustes_conciliaco!D:D,df_ajustes_conciliaco!C:C,Conciliacao!A303)</f>
        <v/>
      </c>
      <c r="Q303" s="22">
        <f>O303+I303-P303</f>
        <v/>
      </c>
      <c r="BE303" s="20" t="n">
        <v>45959.5</v>
      </c>
      <c r="BF303" s="20" t="n">
        <v>45959.125</v>
      </c>
      <c r="BG303" s="20" t="n">
        <v>45959.54166666666</v>
      </c>
      <c r="BH303" s="20" t="n">
        <v>45959.625</v>
      </c>
    </row>
    <row r="304">
      <c r="A304" s="5">
        <f>A303+1</f>
        <v/>
      </c>
      <c r="B304" s="3">
        <f>-SUMIFS(df_extrato_zig!G:G,df_extrato_zig!E:E,Conciliacao!A304,df_extrato_zig!D:D,"Saque")-SUMIFS(df_extrato_zig!G:G,df_extrato_zig!E:E,Conciliacao!A304,df_extrato_zig!D:D,"Antecipação")</f>
        <v/>
      </c>
      <c r="C304" s="3">
        <f>SUMIFS(df_extrato_zig!E:E,df_extrato_zig!L:L,Conciliacao!A304,df_extrato_zig!F:F,"DINHEIRO")</f>
        <v/>
      </c>
      <c r="D304" s="3">
        <f>SUMIFS(view_parc_agrup!H:H,view_parc_agrup!G:G,Conciliacao!A304)</f>
        <v/>
      </c>
      <c r="E304" s="3">
        <f>SUMIFS(df_eventos!F:F,df_eventos!H:H,Conciliacao!A304)</f>
        <v/>
      </c>
      <c r="F304" s="3">
        <f>SUMIFS(df_mutuos!M:M,df_mutuos!B:B,Conciliacao!A304)</f>
        <v/>
      </c>
      <c r="G304" s="6">
        <f>SUMIFS(df_bloqueios_judiciais!G:G,df_bloqueios_judiciais!D:D,Conciliacao!A304,df_bloqueios_judiciais!G:G,"&gt;0")</f>
        <v/>
      </c>
      <c r="H304" s="7">
        <f>SUMIFS(df_extratos!I:I,df_extratos!F:F,"&gt;="&amp;Conciliacao!BE304,df_extratos!F:F,"&lt;"&amp;Conciliacao!BE304+1,df_extratos!G:G,"CREDITO")
+SUMIFS(df_extratos!I:I,df_extratos!F:F,"&gt;="&amp;Conciliacao!A304, df_extratos!F:F,"&lt;"&amp;Conciliacao!A304+1, df_extratos!G:G,"CREDITO")
+SUMIFS(df_extratos!I:I,df_extratos!F:F,"&gt;="&amp;Conciliacao!BF304,df_extratos!F:F,"&lt;"&amp;Conciliacao!BF304+1,df_extratos!G:G,"CREDITO")
+SUMIFS(df_extratos!I:I,df_extratos!F:F,"&gt;="&amp;Conciliacao!BG304,df_extratos!F:F,"&lt;"&amp;Conciliacao!BG304+1,df_extratos!G:G,"CREDITO")
+SUMIFS(df_extratos!I:I,df_extratos!F:F,"&gt;="&amp;Conciliacao!BH304,df_extratos!F:F,"&lt;"&amp;Conciliacao!BH304+1,df_extratos!G:G,"CREDITO")</f>
        <v/>
      </c>
      <c r="I304" s="9">
        <f>H304-SUM(B304:G304)</f>
        <v/>
      </c>
      <c r="J304" s="4">
        <f>SUMIFS(df_blueme_sem_parcelamento!E:E,df_blueme_sem_parcelamento!H:H,Conciliacao!A304)*(-1)</f>
        <v/>
      </c>
      <c r="K304" s="4">
        <f>SUMIFS(df_blueme_com_parcelamento!J:J,df_blueme_com_parcelamento!M:M,Conciliacao!A304)*(-1)</f>
        <v/>
      </c>
      <c r="L304" s="4">
        <f>SUMIFS(df_mutuos!N:N,df_mutuos!B:B,Conciliacao!A304)*(-1)</f>
        <v/>
      </c>
      <c r="M304" s="8">
        <f>SUMIFS(df_bloqueios_judiciais!G:G,df_bloqueios_judiciais!D:D,Conciliacao!A304,df_bloqueios_judiciais!G:G,"&lt;0")</f>
        <v/>
      </c>
      <c r="N304" s="10">
        <f>SUMIFS(df_extratos!I:I,df_extratos!F:F,"&gt;="&amp;Conciliacao!BE304,df_extratos!F:F,"&lt;"&amp;Conciliacao!BE304+1,df_extratos!G:G,"DEBITO")
+SUMIFS(df_extratos!I:I,df_extratos!F:F,"&gt;="&amp;Conciliacao!A304, df_extratos!F:F,"&lt;"&amp;Conciliacao!A304+1, df_extratos!G:G,"DEBITO")
+SUMIFS(df_extratos!I:I,df_extratos!F:F,"&gt;="&amp;Conciliacao!BF304,df_extratos!F:F,"&lt;"&amp;Conciliacao!BF304+1,df_extratos!G:G,"DEBITO")
+SUMIFS(df_extratos!I:I,df_extratos!F:F,"&gt;="&amp;Conciliacao!BG304,df_extratos!F:F,"&lt;"&amp;Conciliacao!BG304+1,df_extratos!G:G,"DEBITO")
+SUMIFS(df_extratos!I:I,df_extratos!F:F,"&gt;="&amp;Conciliacao!BH304,df_extratos!F:F,"&lt;"&amp;Conciliacao!BH304+1,df_extratos!G:G,"DEBITO")</f>
        <v/>
      </c>
      <c r="O304" s="11">
        <f>N304-SUM(J304:M304)</f>
        <v/>
      </c>
      <c r="P304" s="25">
        <f>SUMIFS(df_ajustes_conciliaco!D:D,df_ajustes_conciliaco!C:C,Conciliacao!A304)</f>
        <v/>
      </c>
      <c r="Q304" s="22">
        <f>O304+I304-P304</f>
        <v/>
      </c>
      <c r="BE304" s="20" t="n">
        <v>45960.5</v>
      </c>
      <c r="BF304" s="20" t="n">
        <v>45960.125</v>
      </c>
      <c r="BG304" s="20" t="n">
        <v>45960.54166666666</v>
      </c>
      <c r="BH304" s="20" t="n">
        <v>45960.625</v>
      </c>
    </row>
    <row r="305">
      <c r="A305" s="5">
        <f>A304+1</f>
        <v/>
      </c>
      <c r="B305" s="3">
        <f>-SUMIFS(df_extrato_zig!G:G,df_extrato_zig!E:E,Conciliacao!A305,df_extrato_zig!D:D,"Saque")-SUMIFS(df_extrato_zig!G:G,df_extrato_zig!E:E,Conciliacao!A305,df_extrato_zig!D:D,"Antecipação")</f>
        <v/>
      </c>
      <c r="C305" s="3">
        <f>SUMIFS(df_extrato_zig!E:E,df_extrato_zig!L:L,Conciliacao!A305,df_extrato_zig!F:F,"DINHEIRO")</f>
        <v/>
      </c>
      <c r="D305" s="3">
        <f>SUMIFS(view_parc_agrup!H:H,view_parc_agrup!G:G,Conciliacao!A305)</f>
        <v/>
      </c>
      <c r="E305" s="3">
        <f>SUMIFS(df_eventos!F:F,df_eventos!H:H,Conciliacao!A305)</f>
        <v/>
      </c>
      <c r="F305" s="3">
        <f>SUMIFS(df_mutuos!M:M,df_mutuos!B:B,Conciliacao!A305)</f>
        <v/>
      </c>
      <c r="G305" s="6">
        <f>SUMIFS(df_bloqueios_judiciais!G:G,df_bloqueios_judiciais!D:D,Conciliacao!A305,df_bloqueios_judiciais!G:G,"&gt;0")</f>
        <v/>
      </c>
      <c r="H305" s="7">
        <f>SUMIFS(df_extratos!I:I,df_extratos!F:F,"&gt;="&amp;Conciliacao!BE305,df_extratos!F:F,"&lt;"&amp;Conciliacao!BE305+1,df_extratos!G:G,"CREDITO")
+SUMIFS(df_extratos!I:I,df_extratos!F:F,"&gt;="&amp;Conciliacao!A305, df_extratos!F:F,"&lt;"&amp;Conciliacao!A305+1, df_extratos!G:G,"CREDITO")
+SUMIFS(df_extratos!I:I,df_extratos!F:F,"&gt;="&amp;Conciliacao!BF305,df_extratos!F:F,"&lt;"&amp;Conciliacao!BF305+1,df_extratos!G:G,"CREDITO")
+SUMIFS(df_extratos!I:I,df_extratos!F:F,"&gt;="&amp;Conciliacao!BG305,df_extratos!F:F,"&lt;"&amp;Conciliacao!BG305+1,df_extratos!G:G,"CREDITO")
+SUMIFS(df_extratos!I:I,df_extratos!F:F,"&gt;="&amp;Conciliacao!BH305,df_extratos!F:F,"&lt;"&amp;Conciliacao!BH305+1,df_extratos!G:G,"CREDITO")</f>
        <v/>
      </c>
      <c r="I305" s="9">
        <f>H305-SUM(B305:G305)</f>
        <v/>
      </c>
      <c r="J305" s="4">
        <f>SUMIFS(df_blueme_sem_parcelamento!E:E,df_blueme_sem_parcelamento!H:H,Conciliacao!A305)*(-1)</f>
        <v/>
      </c>
      <c r="K305" s="4">
        <f>SUMIFS(df_blueme_com_parcelamento!J:J,df_blueme_com_parcelamento!M:M,Conciliacao!A305)*(-1)</f>
        <v/>
      </c>
      <c r="L305" s="4">
        <f>SUMIFS(df_mutuos!N:N,df_mutuos!B:B,Conciliacao!A305)*(-1)</f>
        <v/>
      </c>
      <c r="M305" s="8">
        <f>SUMIFS(df_bloqueios_judiciais!G:G,df_bloqueios_judiciais!D:D,Conciliacao!A305,df_bloqueios_judiciais!G:G,"&lt;0")</f>
        <v/>
      </c>
      <c r="N305" s="10">
        <f>SUMIFS(df_extratos!I:I,df_extratos!F:F,"&gt;="&amp;Conciliacao!BE305,df_extratos!F:F,"&lt;"&amp;Conciliacao!BE305+1,df_extratos!G:G,"DEBITO")
+SUMIFS(df_extratos!I:I,df_extratos!F:F,"&gt;="&amp;Conciliacao!A305, df_extratos!F:F,"&lt;"&amp;Conciliacao!A305+1, df_extratos!G:G,"DEBITO")
+SUMIFS(df_extratos!I:I,df_extratos!F:F,"&gt;="&amp;Conciliacao!BF305,df_extratos!F:F,"&lt;"&amp;Conciliacao!BF305+1,df_extratos!G:G,"DEBITO")
+SUMIFS(df_extratos!I:I,df_extratos!F:F,"&gt;="&amp;Conciliacao!BG305,df_extratos!F:F,"&lt;"&amp;Conciliacao!BG305+1,df_extratos!G:G,"DEBITO")
+SUMIFS(df_extratos!I:I,df_extratos!F:F,"&gt;="&amp;Conciliacao!BH305,df_extratos!F:F,"&lt;"&amp;Conciliacao!BH305+1,df_extratos!G:G,"DEBITO")</f>
        <v/>
      </c>
      <c r="O305" s="11">
        <f>N305-SUM(J305:M305)</f>
        <v/>
      </c>
      <c r="P305" s="25">
        <f>SUMIFS(df_ajustes_conciliaco!D:D,df_ajustes_conciliaco!C:C,Conciliacao!A305)</f>
        <v/>
      </c>
      <c r="Q305" s="22">
        <f>O305+I305-P305</f>
        <v/>
      </c>
      <c r="BE305" s="20" t="n">
        <v>45961.5</v>
      </c>
      <c r="BF305" s="20" t="n">
        <v>45961.125</v>
      </c>
      <c r="BG305" s="20" t="n">
        <v>45961.54166666666</v>
      </c>
      <c r="BH305" s="20" t="n">
        <v>45961.625</v>
      </c>
    </row>
    <row r="306">
      <c r="A306" s="5">
        <f>A305+1</f>
        <v/>
      </c>
      <c r="B306" s="3">
        <f>-SUMIFS(df_extrato_zig!G:G,df_extrato_zig!E:E,Conciliacao!A306,df_extrato_zig!D:D,"Saque")-SUMIFS(df_extrato_zig!G:G,df_extrato_zig!E:E,Conciliacao!A306,df_extrato_zig!D:D,"Antecipação")</f>
        <v/>
      </c>
      <c r="C306" s="3">
        <f>SUMIFS(df_extrato_zig!E:E,df_extrato_zig!L:L,Conciliacao!A306,df_extrato_zig!F:F,"DINHEIRO")</f>
        <v/>
      </c>
      <c r="D306" s="3">
        <f>SUMIFS(view_parc_agrup!H:H,view_parc_agrup!G:G,Conciliacao!A306)</f>
        <v/>
      </c>
      <c r="E306" s="3">
        <f>SUMIFS(df_eventos!F:F,df_eventos!H:H,Conciliacao!A306)</f>
        <v/>
      </c>
      <c r="F306" s="3">
        <f>SUMIFS(df_mutuos!M:M,df_mutuos!B:B,Conciliacao!A306)</f>
        <v/>
      </c>
      <c r="G306" s="6">
        <f>SUMIFS(df_bloqueios_judiciais!G:G,df_bloqueios_judiciais!D:D,Conciliacao!A306,df_bloqueios_judiciais!G:G,"&gt;0")</f>
        <v/>
      </c>
      <c r="H306" s="7">
        <f>SUMIFS(df_extratos!I:I,df_extratos!F:F,"&gt;="&amp;Conciliacao!BE306,df_extratos!F:F,"&lt;"&amp;Conciliacao!BE306+1,df_extratos!G:G,"CREDITO")
+SUMIFS(df_extratos!I:I,df_extratos!F:F,"&gt;="&amp;Conciliacao!A306, df_extratos!F:F,"&lt;"&amp;Conciliacao!A306+1, df_extratos!G:G,"CREDITO")
+SUMIFS(df_extratos!I:I,df_extratos!F:F,"&gt;="&amp;Conciliacao!BF306,df_extratos!F:F,"&lt;"&amp;Conciliacao!BF306+1,df_extratos!G:G,"CREDITO")
+SUMIFS(df_extratos!I:I,df_extratos!F:F,"&gt;="&amp;Conciliacao!BG306,df_extratos!F:F,"&lt;"&amp;Conciliacao!BG306+1,df_extratos!G:G,"CREDITO")
+SUMIFS(df_extratos!I:I,df_extratos!F:F,"&gt;="&amp;Conciliacao!BH306,df_extratos!F:F,"&lt;"&amp;Conciliacao!BH306+1,df_extratos!G:G,"CREDITO")</f>
        <v/>
      </c>
      <c r="I306" s="9">
        <f>H306-SUM(B306:G306)</f>
        <v/>
      </c>
      <c r="J306" s="4">
        <f>SUMIFS(df_blueme_sem_parcelamento!E:E,df_blueme_sem_parcelamento!H:H,Conciliacao!A306)*(-1)</f>
        <v/>
      </c>
      <c r="K306" s="4">
        <f>SUMIFS(df_blueme_com_parcelamento!J:J,df_blueme_com_parcelamento!M:M,Conciliacao!A306)*(-1)</f>
        <v/>
      </c>
      <c r="L306" s="4">
        <f>SUMIFS(df_mutuos!N:N,df_mutuos!B:B,Conciliacao!A306)*(-1)</f>
        <v/>
      </c>
      <c r="M306" s="8">
        <f>SUMIFS(df_bloqueios_judiciais!G:G,df_bloqueios_judiciais!D:D,Conciliacao!A306,df_bloqueios_judiciais!G:G,"&lt;0")</f>
        <v/>
      </c>
      <c r="N306" s="10">
        <f>SUMIFS(df_extratos!I:I,df_extratos!F:F,"&gt;="&amp;Conciliacao!BE306,df_extratos!F:F,"&lt;"&amp;Conciliacao!BE306+1,df_extratos!G:G,"DEBITO")
+SUMIFS(df_extratos!I:I,df_extratos!F:F,"&gt;="&amp;Conciliacao!A306, df_extratos!F:F,"&lt;"&amp;Conciliacao!A306+1, df_extratos!G:G,"DEBITO")
+SUMIFS(df_extratos!I:I,df_extratos!F:F,"&gt;="&amp;Conciliacao!BF306,df_extratos!F:F,"&lt;"&amp;Conciliacao!BF306+1,df_extratos!G:G,"DEBITO")
+SUMIFS(df_extratos!I:I,df_extratos!F:F,"&gt;="&amp;Conciliacao!BG306,df_extratos!F:F,"&lt;"&amp;Conciliacao!BG306+1,df_extratos!G:G,"DEBITO")
+SUMIFS(df_extratos!I:I,df_extratos!F:F,"&gt;="&amp;Conciliacao!BH306,df_extratos!F:F,"&lt;"&amp;Conciliacao!BH306+1,df_extratos!G:G,"DEBITO")</f>
        <v/>
      </c>
      <c r="O306" s="11">
        <f>N306-SUM(J306:M306)</f>
        <v/>
      </c>
      <c r="P306" s="25">
        <f>SUMIFS(df_ajustes_conciliaco!D:D,df_ajustes_conciliaco!C:C,Conciliacao!A306)</f>
        <v/>
      </c>
      <c r="Q306" s="22">
        <f>O306+I306-P306</f>
        <v/>
      </c>
      <c r="BE306" s="20" t="n">
        <v>45962.5</v>
      </c>
      <c r="BF306" s="20" t="n">
        <v>45962.125</v>
      </c>
      <c r="BG306" s="20" t="n">
        <v>45962.54166666666</v>
      </c>
      <c r="BH306" s="20" t="n">
        <v>45962.625</v>
      </c>
    </row>
    <row r="307">
      <c r="A307" s="5">
        <f>A306+1</f>
        <v/>
      </c>
      <c r="B307" s="3">
        <f>-SUMIFS(df_extrato_zig!G:G,df_extrato_zig!E:E,Conciliacao!A307,df_extrato_zig!D:D,"Saque")-SUMIFS(df_extrato_zig!G:G,df_extrato_zig!E:E,Conciliacao!A307,df_extrato_zig!D:D,"Antecipação")</f>
        <v/>
      </c>
      <c r="C307" s="3">
        <f>SUMIFS(df_extrato_zig!E:E,df_extrato_zig!L:L,Conciliacao!A307,df_extrato_zig!F:F,"DINHEIRO")</f>
        <v/>
      </c>
      <c r="D307" s="3">
        <f>SUMIFS(view_parc_agrup!H:H,view_parc_agrup!G:G,Conciliacao!A307)</f>
        <v/>
      </c>
      <c r="E307" s="3">
        <f>SUMIFS(df_eventos!F:F,df_eventos!H:H,Conciliacao!A307)</f>
        <v/>
      </c>
      <c r="F307" s="3">
        <f>SUMIFS(df_mutuos!M:M,df_mutuos!B:B,Conciliacao!A307)</f>
        <v/>
      </c>
      <c r="G307" s="6">
        <f>SUMIFS(df_bloqueios_judiciais!G:G,df_bloqueios_judiciais!D:D,Conciliacao!A307,df_bloqueios_judiciais!G:G,"&gt;0")</f>
        <v/>
      </c>
      <c r="H307" s="7">
        <f>SUMIFS(df_extratos!I:I,df_extratos!F:F,"&gt;="&amp;Conciliacao!BE307,df_extratos!F:F,"&lt;"&amp;Conciliacao!BE307+1,df_extratos!G:G,"CREDITO")
+SUMIFS(df_extratos!I:I,df_extratos!F:F,"&gt;="&amp;Conciliacao!A307, df_extratos!F:F,"&lt;"&amp;Conciliacao!A307+1, df_extratos!G:G,"CREDITO")
+SUMIFS(df_extratos!I:I,df_extratos!F:F,"&gt;="&amp;Conciliacao!BF307,df_extratos!F:F,"&lt;"&amp;Conciliacao!BF307+1,df_extratos!G:G,"CREDITO")
+SUMIFS(df_extratos!I:I,df_extratos!F:F,"&gt;="&amp;Conciliacao!BG307,df_extratos!F:F,"&lt;"&amp;Conciliacao!BG307+1,df_extratos!G:G,"CREDITO")
+SUMIFS(df_extratos!I:I,df_extratos!F:F,"&gt;="&amp;Conciliacao!BH307,df_extratos!F:F,"&lt;"&amp;Conciliacao!BH307+1,df_extratos!G:G,"CREDITO")</f>
        <v/>
      </c>
      <c r="I307" s="9">
        <f>H307-SUM(B307:G307)</f>
        <v/>
      </c>
      <c r="J307" s="4">
        <f>SUMIFS(df_blueme_sem_parcelamento!E:E,df_blueme_sem_parcelamento!H:H,Conciliacao!A307)*(-1)</f>
        <v/>
      </c>
      <c r="K307" s="4">
        <f>SUMIFS(df_blueme_com_parcelamento!J:J,df_blueme_com_parcelamento!M:M,Conciliacao!A307)*(-1)</f>
        <v/>
      </c>
      <c r="L307" s="4">
        <f>SUMIFS(df_mutuos!N:N,df_mutuos!B:B,Conciliacao!A307)*(-1)</f>
        <v/>
      </c>
      <c r="M307" s="8">
        <f>SUMIFS(df_bloqueios_judiciais!G:G,df_bloqueios_judiciais!D:D,Conciliacao!A307,df_bloqueios_judiciais!G:G,"&lt;0")</f>
        <v/>
      </c>
      <c r="N307" s="10">
        <f>SUMIFS(df_extratos!I:I,df_extratos!F:F,"&gt;="&amp;Conciliacao!BE307,df_extratos!F:F,"&lt;"&amp;Conciliacao!BE307+1,df_extratos!G:G,"DEBITO")
+SUMIFS(df_extratos!I:I,df_extratos!F:F,"&gt;="&amp;Conciliacao!A307, df_extratos!F:F,"&lt;"&amp;Conciliacao!A307+1, df_extratos!G:G,"DEBITO")
+SUMIFS(df_extratos!I:I,df_extratos!F:F,"&gt;="&amp;Conciliacao!BF307,df_extratos!F:F,"&lt;"&amp;Conciliacao!BF307+1,df_extratos!G:G,"DEBITO")
+SUMIFS(df_extratos!I:I,df_extratos!F:F,"&gt;="&amp;Conciliacao!BG307,df_extratos!F:F,"&lt;"&amp;Conciliacao!BG307+1,df_extratos!G:G,"DEBITO")
+SUMIFS(df_extratos!I:I,df_extratos!F:F,"&gt;="&amp;Conciliacao!BH307,df_extratos!F:F,"&lt;"&amp;Conciliacao!BH307+1,df_extratos!G:G,"DEBITO")</f>
        <v/>
      </c>
      <c r="O307" s="11">
        <f>N307-SUM(J307:M307)</f>
        <v/>
      </c>
      <c r="P307" s="25">
        <f>SUMIFS(df_ajustes_conciliaco!D:D,df_ajustes_conciliaco!C:C,Conciliacao!A307)</f>
        <v/>
      </c>
      <c r="Q307" s="22">
        <f>O307+I307-P307</f>
        <v/>
      </c>
      <c r="BE307" s="20" t="n">
        <v>45963.5</v>
      </c>
      <c r="BF307" s="20" t="n">
        <v>45963.125</v>
      </c>
      <c r="BG307" s="20" t="n">
        <v>45963.54166666666</v>
      </c>
      <c r="BH307" s="20" t="n">
        <v>45963.625</v>
      </c>
    </row>
    <row r="308">
      <c r="A308" s="5">
        <f>A307+1</f>
        <v/>
      </c>
      <c r="B308" s="3">
        <f>-SUMIFS(df_extrato_zig!G:G,df_extrato_zig!E:E,Conciliacao!A308,df_extrato_zig!D:D,"Saque")-SUMIFS(df_extrato_zig!G:G,df_extrato_zig!E:E,Conciliacao!A308,df_extrato_zig!D:D,"Antecipação")</f>
        <v/>
      </c>
      <c r="C308" s="3">
        <f>SUMIFS(df_extrato_zig!E:E,df_extrato_zig!L:L,Conciliacao!A308,df_extrato_zig!F:F,"DINHEIRO")</f>
        <v/>
      </c>
      <c r="D308" s="3">
        <f>SUMIFS(view_parc_agrup!H:H,view_parc_agrup!G:G,Conciliacao!A308)</f>
        <v/>
      </c>
      <c r="E308" s="3">
        <f>SUMIFS(df_eventos!F:F,df_eventos!H:H,Conciliacao!A308)</f>
        <v/>
      </c>
      <c r="F308" s="3">
        <f>SUMIFS(df_mutuos!M:M,df_mutuos!B:B,Conciliacao!A308)</f>
        <v/>
      </c>
      <c r="G308" s="6">
        <f>SUMIFS(df_bloqueios_judiciais!G:G,df_bloqueios_judiciais!D:D,Conciliacao!A308,df_bloqueios_judiciais!G:G,"&gt;0")</f>
        <v/>
      </c>
      <c r="H308" s="7">
        <f>SUMIFS(df_extratos!I:I,df_extratos!F:F,"&gt;="&amp;Conciliacao!BE308,df_extratos!F:F,"&lt;"&amp;Conciliacao!BE308+1,df_extratos!G:G,"CREDITO")
+SUMIFS(df_extratos!I:I,df_extratos!F:F,"&gt;="&amp;Conciliacao!A308, df_extratos!F:F,"&lt;"&amp;Conciliacao!A308+1, df_extratos!G:G,"CREDITO")
+SUMIFS(df_extratos!I:I,df_extratos!F:F,"&gt;="&amp;Conciliacao!BF308,df_extratos!F:F,"&lt;"&amp;Conciliacao!BF308+1,df_extratos!G:G,"CREDITO")
+SUMIFS(df_extratos!I:I,df_extratos!F:F,"&gt;="&amp;Conciliacao!BG308,df_extratos!F:F,"&lt;"&amp;Conciliacao!BG308+1,df_extratos!G:G,"CREDITO")
+SUMIFS(df_extratos!I:I,df_extratos!F:F,"&gt;="&amp;Conciliacao!BH308,df_extratos!F:F,"&lt;"&amp;Conciliacao!BH308+1,df_extratos!G:G,"CREDITO")</f>
        <v/>
      </c>
      <c r="I308" s="9">
        <f>H308-SUM(B308:G308)</f>
        <v/>
      </c>
      <c r="J308" s="4">
        <f>SUMIFS(df_blueme_sem_parcelamento!E:E,df_blueme_sem_parcelamento!H:H,Conciliacao!A308)*(-1)</f>
        <v/>
      </c>
      <c r="K308" s="4">
        <f>SUMIFS(df_blueme_com_parcelamento!J:J,df_blueme_com_parcelamento!M:M,Conciliacao!A308)*(-1)</f>
        <v/>
      </c>
      <c r="L308" s="4">
        <f>SUMIFS(df_mutuos!N:N,df_mutuos!B:B,Conciliacao!A308)*(-1)</f>
        <v/>
      </c>
      <c r="M308" s="8">
        <f>SUMIFS(df_bloqueios_judiciais!G:G,df_bloqueios_judiciais!D:D,Conciliacao!A308,df_bloqueios_judiciais!G:G,"&lt;0")</f>
        <v/>
      </c>
      <c r="N308" s="10">
        <f>SUMIFS(df_extratos!I:I,df_extratos!F:F,"&gt;="&amp;Conciliacao!BE308,df_extratos!F:F,"&lt;"&amp;Conciliacao!BE308+1,df_extratos!G:G,"DEBITO")
+SUMIFS(df_extratos!I:I,df_extratos!F:F,"&gt;="&amp;Conciliacao!A308, df_extratos!F:F,"&lt;"&amp;Conciliacao!A308+1, df_extratos!G:G,"DEBITO")
+SUMIFS(df_extratos!I:I,df_extratos!F:F,"&gt;="&amp;Conciliacao!BF308,df_extratos!F:F,"&lt;"&amp;Conciliacao!BF308+1,df_extratos!G:G,"DEBITO")
+SUMIFS(df_extratos!I:I,df_extratos!F:F,"&gt;="&amp;Conciliacao!BG308,df_extratos!F:F,"&lt;"&amp;Conciliacao!BG308+1,df_extratos!G:G,"DEBITO")
+SUMIFS(df_extratos!I:I,df_extratos!F:F,"&gt;="&amp;Conciliacao!BH308,df_extratos!F:F,"&lt;"&amp;Conciliacao!BH308+1,df_extratos!G:G,"DEBITO")</f>
        <v/>
      </c>
      <c r="O308" s="11">
        <f>N308-SUM(J308:M308)</f>
        <v/>
      </c>
      <c r="P308" s="25">
        <f>SUMIFS(df_ajustes_conciliaco!D:D,df_ajustes_conciliaco!C:C,Conciliacao!A308)</f>
        <v/>
      </c>
      <c r="Q308" s="22">
        <f>O308+I308-P308</f>
        <v/>
      </c>
      <c r="BE308" s="20" t="n">
        <v>45964.5</v>
      </c>
      <c r="BF308" s="20" t="n">
        <v>45964.125</v>
      </c>
      <c r="BG308" s="20" t="n">
        <v>45964.54166666666</v>
      </c>
      <c r="BH308" s="20" t="n">
        <v>45964.625</v>
      </c>
    </row>
    <row r="309">
      <c r="A309" s="5">
        <f>A308+1</f>
        <v/>
      </c>
      <c r="B309" s="3">
        <f>-SUMIFS(df_extrato_zig!G:G,df_extrato_zig!E:E,Conciliacao!A309,df_extrato_zig!D:D,"Saque")-SUMIFS(df_extrato_zig!G:G,df_extrato_zig!E:E,Conciliacao!A309,df_extrato_zig!D:D,"Antecipação")</f>
        <v/>
      </c>
      <c r="C309" s="3">
        <f>SUMIFS(df_extrato_zig!E:E,df_extrato_zig!L:L,Conciliacao!A309,df_extrato_zig!F:F,"DINHEIRO")</f>
        <v/>
      </c>
      <c r="D309" s="3">
        <f>SUMIFS(view_parc_agrup!H:H,view_parc_agrup!G:G,Conciliacao!A309)</f>
        <v/>
      </c>
      <c r="E309" s="3">
        <f>SUMIFS(df_eventos!F:F,df_eventos!H:H,Conciliacao!A309)</f>
        <v/>
      </c>
      <c r="F309" s="3">
        <f>SUMIFS(df_mutuos!M:M,df_mutuos!B:B,Conciliacao!A309)</f>
        <v/>
      </c>
      <c r="G309" s="6">
        <f>SUMIFS(df_bloqueios_judiciais!G:G,df_bloqueios_judiciais!D:D,Conciliacao!A309,df_bloqueios_judiciais!G:G,"&gt;0")</f>
        <v/>
      </c>
      <c r="H309" s="7">
        <f>SUMIFS(df_extratos!I:I,df_extratos!F:F,"&gt;="&amp;Conciliacao!BE309,df_extratos!F:F,"&lt;"&amp;Conciliacao!BE309+1,df_extratos!G:G,"CREDITO")
+SUMIFS(df_extratos!I:I,df_extratos!F:F,"&gt;="&amp;Conciliacao!A309, df_extratos!F:F,"&lt;"&amp;Conciliacao!A309+1, df_extratos!G:G,"CREDITO")
+SUMIFS(df_extratos!I:I,df_extratos!F:F,"&gt;="&amp;Conciliacao!BF309,df_extratos!F:F,"&lt;"&amp;Conciliacao!BF309+1,df_extratos!G:G,"CREDITO")
+SUMIFS(df_extratos!I:I,df_extratos!F:F,"&gt;="&amp;Conciliacao!BG309,df_extratos!F:F,"&lt;"&amp;Conciliacao!BG309+1,df_extratos!G:G,"CREDITO")
+SUMIFS(df_extratos!I:I,df_extratos!F:F,"&gt;="&amp;Conciliacao!BH309,df_extratos!F:F,"&lt;"&amp;Conciliacao!BH309+1,df_extratos!G:G,"CREDITO")</f>
        <v/>
      </c>
      <c r="I309" s="9">
        <f>H309-SUM(B309:G309)</f>
        <v/>
      </c>
      <c r="J309" s="4">
        <f>SUMIFS(df_blueme_sem_parcelamento!E:E,df_blueme_sem_parcelamento!H:H,Conciliacao!A309)*(-1)</f>
        <v/>
      </c>
      <c r="K309" s="4">
        <f>SUMIFS(df_blueme_com_parcelamento!J:J,df_blueme_com_parcelamento!M:M,Conciliacao!A309)*(-1)</f>
        <v/>
      </c>
      <c r="L309" s="4">
        <f>SUMIFS(df_mutuos!N:N,df_mutuos!B:B,Conciliacao!A309)*(-1)</f>
        <v/>
      </c>
      <c r="M309" s="8">
        <f>SUMIFS(df_bloqueios_judiciais!G:G,df_bloqueios_judiciais!D:D,Conciliacao!A309,df_bloqueios_judiciais!G:G,"&lt;0")</f>
        <v/>
      </c>
      <c r="N309" s="10">
        <f>SUMIFS(df_extratos!I:I,df_extratos!F:F,"&gt;="&amp;Conciliacao!BE309,df_extratos!F:F,"&lt;"&amp;Conciliacao!BE309+1,df_extratos!G:G,"DEBITO")
+SUMIFS(df_extratos!I:I,df_extratos!F:F,"&gt;="&amp;Conciliacao!A309, df_extratos!F:F,"&lt;"&amp;Conciliacao!A309+1, df_extratos!G:G,"DEBITO")
+SUMIFS(df_extratos!I:I,df_extratos!F:F,"&gt;="&amp;Conciliacao!BF309,df_extratos!F:F,"&lt;"&amp;Conciliacao!BF309+1,df_extratos!G:G,"DEBITO")
+SUMIFS(df_extratos!I:I,df_extratos!F:F,"&gt;="&amp;Conciliacao!BG309,df_extratos!F:F,"&lt;"&amp;Conciliacao!BG309+1,df_extratos!G:G,"DEBITO")
+SUMIFS(df_extratos!I:I,df_extratos!F:F,"&gt;="&amp;Conciliacao!BH309,df_extratos!F:F,"&lt;"&amp;Conciliacao!BH309+1,df_extratos!G:G,"DEBITO")</f>
        <v/>
      </c>
      <c r="O309" s="11">
        <f>N309-SUM(J309:M309)</f>
        <v/>
      </c>
      <c r="P309" s="25">
        <f>SUMIFS(df_ajustes_conciliaco!D:D,df_ajustes_conciliaco!C:C,Conciliacao!A309)</f>
        <v/>
      </c>
      <c r="Q309" s="22">
        <f>O309+I309-P309</f>
        <v/>
      </c>
      <c r="BE309" s="20" t="n">
        <v>45965.5</v>
      </c>
      <c r="BF309" s="20" t="n">
        <v>45965.125</v>
      </c>
      <c r="BG309" s="20" t="n">
        <v>45965.54166666666</v>
      </c>
      <c r="BH309" s="20" t="n">
        <v>45965.625</v>
      </c>
    </row>
    <row r="310">
      <c r="A310" s="5">
        <f>A309+1</f>
        <v/>
      </c>
      <c r="B310" s="3">
        <f>-SUMIFS(df_extrato_zig!G:G,df_extrato_zig!E:E,Conciliacao!A310,df_extrato_zig!D:D,"Saque")-SUMIFS(df_extrato_zig!G:G,df_extrato_zig!E:E,Conciliacao!A310,df_extrato_zig!D:D,"Antecipação")</f>
        <v/>
      </c>
      <c r="C310" s="3">
        <f>SUMIFS(df_extrato_zig!E:E,df_extrato_zig!L:L,Conciliacao!A310,df_extrato_zig!F:F,"DINHEIRO")</f>
        <v/>
      </c>
      <c r="D310" s="3">
        <f>SUMIFS(view_parc_agrup!H:H,view_parc_agrup!G:G,Conciliacao!A310)</f>
        <v/>
      </c>
      <c r="E310" s="3">
        <f>SUMIFS(df_eventos!F:F,df_eventos!H:H,Conciliacao!A310)</f>
        <v/>
      </c>
      <c r="F310" s="3">
        <f>SUMIFS(df_mutuos!M:M,df_mutuos!B:B,Conciliacao!A310)</f>
        <v/>
      </c>
      <c r="G310" s="6">
        <f>SUMIFS(df_bloqueios_judiciais!G:G,df_bloqueios_judiciais!D:D,Conciliacao!A310,df_bloqueios_judiciais!G:G,"&gt;0")</f>
        <v/>
      </c>
      <c r="H310" s="7">
        <f>SUMIFS(df_extratos!I:I,df_extratos!F:F,"&gt;="&amp;Conciliacao!BE310,df_extratos!F:F,"&lt;"&amp;Conciliacao!BE310+1,df_extratos!G:G,"CREDITO")
+SUMIFS(df_extratos!I:I,df_extratos!F:F,"&gt;="&amp;Conciliacao!A310, df_extratos!F:F,"&lt;"&amp;Conciliacao!A310+1, df_extratos!G:G,"CREDITO")
+SUMIFS(df_extratos!I:I,df_extratos!F:F,"&gt;="&amp;Conciliacao!BF310,df_extratos!F:F,"&lt;"&amp;Conciliacao!BF310+1,df_extratos!G:G,"CREDITO")
+SUMIFS(df_extratos!I:I,df_extratos!F:F,"&gt;="&amp;Conciliacao!BG310,df_extratos!F:F,"&lt;"&amp;Conciliacao!BG310+1,df_extratos!G:G,"CREDITO")
+SUMIFS(df_extratos!I:I,df_extratos!F:F,"&gt;="&amp;Conciliacao!BH310,df_extratos!F:F,"&lt;"&amp;Conciliacao!BH310+1,df_extratos!G:G,"CREDITO")</f>
        <v/>
      </c>
      <c r="I310" s="9">
        <f>H310-SUM(B310:G310)</f>
        <v/>
      </c>
      <c r="J310" s="4">
        <f>SUMIFS(df_blueme_sem_parcelamento!E:E,df_blueme_sem_parcelamento!H:H,Conciliacao!A310)*(-1)</f>
        <v/>
      </c>
      <c r="K310" s="4">
        <f>SUMIFS(df_blueme_com_parcelamento!J:J,df_blueme_com_parcelamento!M:M,Conciliacao!A310)*(-1)</f>
        <v/>
      </c>
      <c r="L310" s="4">
        <f>SUMIFS(df_mutuos!N:N,df_mutuos!B:B,Conciliacao!A310)*(-1)</f>
        <v/>
      </c>
      <c r="M310" s="8">
        <f>SUMIFS(df_bloqueios_judiciais!G:G,df_bloqueios_judiciais!D:D,Conciliacao!A310,df_bloqueios_judiciais!G:G,"&lt;0")</f>
        <v/>
      </c>
      <c r="N310" s="10">
        <f>SUMIFS(df_extratos!I:I,df_extratos!F:F,"&gt;="&amp;Conciliacao!BE310,df_extratos!F:F,"&lt;"&amp;Conciliacao!BE310+1,df_extratos!G:G,"DEBITO")
+SUMIFS(df_extratos!I:I,df_extratos!F:F,"&gt;="&amp;Conciliacao!A310, df_extratos!F:F,"&lt;"&amp;Conciliacao!A310+1, df_extratos!G:G,"DEBITO")
+SUMIFS(df_extratos!I:I,df_extratos!F:F,"&gt;="&amp;Conciliacao!BF310,df_extratos!F:F,"&lt;"&amp;Conciliacao!BF310+1,df_extratos!G:G,"DEBITO")
+SUMIFS(df_extratos!I:I,df_extratos!F:F,"&gt;="&amp;Conciliacao!BG310,df_extratos!F:F,"&lt;"&amp;Conciliacao!BG310+1,df_extratos!G:G,"DEBITO")
+SUMIFS(df_extratos!I:I,df_extratos!F:F,"&gt;="&amp;Conciliacao!BH310,df_extratos!F:F,"&lt;"&amp;Conciliacao!BH310+1,df_extratos!G:G,"DEBITO")</f>
        <v/>
      </c>
      <c r="O310" s="11">
        <f>N310-SUM(J310:M310)</f>
        <v/>
      </c>
      <c r="P310" s="25">
        <f>SUMIFS(df_ajustes_conciliaco!D:D,df_ajustes_conciliaco!C:C,Conciliacao!A310)</f>
        <v/>
      </c>
      <c r="Q310" s="22">
        <f>O310+I310-P310</f>
        <v/>
      </c>
      <c r="BE310" s="20" t="n">
        <v>45966.5</v>
      </c>
      <c r="BF310" s="20" t="n">
        <v>45966.125</v>
      </c>
      <c r="BG310" s="20" t="n">
        <v>45966.54166666666</v>
      </c>
      <c r="BH310" s="20" t="n">
        <v>45966.625</v>
      </c>
    </row>
    <row r="311">
      <c r="A311" s="5">
        <f>A310+1</f>
        <v/>
      </c>
      <c r="B311" s="3">
        <f>-SUMIFS(df_extrato_zig!G:G,df_extrato_zig!E:E,Conciliacao!A311,df_extrato_zig!D:D,"Saque")-SUMIFS(df_extrato_zig!G:G,df_extrato_zig!E:E,Conciliacao!A311,df_extrato_zig!D:D,"Antecipação")</f>
        <v/>
      </c>
      <c r="C311" s="3">
        <f>SUMIFS(df_extrato_zig!E:E,df_extrato_zig!L:L,Conciliacao!A311,df_extrato_zig!F:F,"DINHEIRO")</f>
        <v/>
      </c>
      <c r="D311" s="3">
        <f>SUMIFS(view_parc_agrup!H:H,view_parc_agrup!G:G,Conciliacao!A311)</f>
        <v/>
      </c>
      <c r="E311" s="3">
        <f>SUMIFS(df_eventos!F:F,df_eventos!H:H,Conciliacao!A311)</f>
        <v/>
      </c>
      <c r="F311" s="3">
        <f>SUMIFS(df_mutuos!M:M,df_mutuos!B:B,Conciliacao!A311)</f>
        <v/>
      </c>
      <c r="G311" s="6">
        <f>SUMIFS(df_bloqueios_judiciais!G:G,df_bloqueios_judiciais!D:D,Conciliacao!A311,df_bloqueios_judiciais!G:G,"&gt;0")</f>
        <v/>
      </c>
      <c r="H311" s="7">
        <f>SUMIFS(df_extratos!I:I,df_extratos!F:F,"&gt;="&amp;Conciliacao!BE311,df_extratos!F:F,"&lt;"&amp;Conciliacao!BE311+1,df_extratos!G:G,"CREDITO")
+SUMIFS(df_extratos!I:I,df_extratos!F:F,"&gt;="&amp;Conciliacao!A311, df_extratos!F:F,"&lt;"&amp;Conciliacao!A311+1, df_extratos!G:G,"CREDITO")
+SUMIFS(df_extratos!I:I,df_extratos!F:F,"&gt;="&amp;Conciliacao!BF311,df_extratos!F:F,"&lt;"&amp;Conciliacao!BF311+1,df_extratos!G:G,"CREDITO")
+SUMIFS(df_extratos!I:I,df_extratos!F:F,"&gt;="&amp;Conciliacao!BG311,df_extratos!F:F,"&lt;"&amp;Conciliacao!BG311+1,df_extratos!G:G,"CREDITO")
+SUMIFS(df_extratos!I:I,df_extratos!F:F,"&gt;="&amp;Conciliacao!BH311,df_extratos!F:F,"&lt;"&amp;Conciliacao!BH311+1,df_extratos!G:G,"CREDITO")</f>
        <v/>
      </c>
      <c r="I311" s="9">
        <f>H311-SUM(B311:G311)</f>
        <v/>
      </c>
      <c r="J311" s="4">
        <f>SUMIFS(df_blueme_sem_parcelamento!E:E,df_blueme_sem_parcelamento!H:H,Conciliacao!A311)*(-1)</f>
        <v/>
      </c>
      <c r="K311" s="4">
        <f>SUMIFS(df_blueme_com_parcelamento!J:J,df_blueme_com_parcelamento!M:M,Conciliacao!A311)*(-1)</f>
        <v/>
      </c>
      <c r="L311" s="4">
        <f>SUMIFS(df_mutuos!N:N,df_mutuos!B:B,Conciliacao!A311)*(-1)</f>
        <v/>
      </c>
      <c r="M311" s="8">
        <f>SUMIFS(df_bloqueios_judiciais!G:G,df_bloqueios_judiciais!D:D,Conciliacao!A311,df_bloqueios_judiciais!G:G,"&lt;0")</f>
        <v/>
      </c>
      <c r="N311" s="10">
        <f>SUMIFS(df_extratos!I:I,df_extratos!F:F,"&gt;="&amp;Conciliacao!BE311,df_extratos!F:F,"&lt;"&amp;Conciliacao!BE311+1,df_extratos!G:G,"DEBITO")
+SUMIFS(df_extratos!I:I,df_extratos!F:F,"&gt;="&amp;Conciliacao!A311, df_extratos!F:F,"&lt;"&amp;Conciliacao!A311+1, df_extratos!G:G,"DEBITO")
+SUMIFS(df_extratos!I:I,df_extratos!F:F,"&gt;="&amp;Conciliacao!BF311,df_extratos!F:F,"&lt;"&amp;Conciliacao!BF311+1,df_extratos!G:G,"DEBITO")
+SUMIFS(df_extratos!I:I,df_extratos!F:F,"&gt;="&amp;Conciliacao!BG311,df_extratos!F:F,"&lt;"&amp;Conciliacao!BG311+1,df_extratos!G:G,"DEBITO")
+SUMIFS(df_extratos!I:I,df_extratos!F:F,"&gt;="&amp;Conciliacao!BH311,df_extratos!F:F,"&lt;"&amp;Conciliacao!BH311+1,df_extratos!G:G,"DEBITO")</f>
        <v/>
      </c>
      <c r="O311" s="11">
        <f>N311-SUM(J311:M311)</f>
        <v/>
      </c>
      <c r="P311" s="25">
        <f>SUMIFS(df_ajustes_conciliaco!D:D,df_ajustes_conciliaco!C:C,Conciliacao!A311)</f>
        <v/>
      </c>
      <c r="Q311" s="22">
        <f>O311+I311-P311</f>
        <v/>
      </c>
      <c r="BE311" s="20" t="n">
        <v>45967.5</v>
      </c>
      <c r="BF311" s="20" t="n">
        <v>45967.125</v>
      </c>
      <c r="BG311" s="20" t="n">
        <v>45967.54166666666</v>
      </c>
      <c r="BH311" s="20" t="n">
        <v>45967.625</v>
      </c>
    </row>
    <row r="312">
      <c r="A312" s="5">
        <f>A311+1</f>
        <v/>
      </c>
      <c r="B312" s="3">
        <f>-SUMIFS(df_extrato_zig!G:G,df_extrato_zig!E:E,Conciliacao!A312,df_extrato_zig!D:D,"Saque")-SUMIFS(df_extrato_zig!G:G,df_extrato_zig!E:E,Conciliacao!A312,df_extrato_zig!D:D,"Antecipação")</f>
        <v/>
      </c>
      <c r="C312" s="3">
        <f>SUMIFS(df_extrato_zig!E:E,df_extrato_zig!L:L,Conciliacao!A312,df_extrato_zig!F:F,"DINHEIRO")</f>
        <v/>
      </c>
      <c r="D312" s="3">
        <f>SUMIFS(view_parc_agrup!H:H,view_parc_agrup!G:G,Conciliacao!A312)</f>
        <v/>
      </c>
      <c r="E312" s="3">
        <f>SUMIFS(df_eventos!F:F,df_eventos!H:H,Conciliacao!A312)</f>
        <v/>
      </c>
      <c r="F312" s="3">
        <f>SUMIFS(df_mutuos!M:M,df_mutuos!B:B,Conciliacao!A312)</f>
        <v/>
      </c>
      <c r="G312" s="6">
        <f>SUMIFS(df_bloqueios_judiciais!G:G,df_bloqueios_judiciais!D:D,Conciliacao!A312,df_bloqueios_judiciais!G:G,"&gt;0")</f>
        <v/>
      </c>
      <c r="H312" s="7">
        <f>SUMIFS(df_extratos!I:I,df_extratos!F:F,"&gt;="&amp;Conciliacao!BE312,df_extratos!F:F,"&lt;"&amp;Conciliacao!BE312+1,df_extratos!G:G,"CREDITO")
+SUMIFS(df_extratos!I:I,df_extratos!F:F,"&gt;="&amp;Conciliacao!A312, df_extratos!F:F,"&lt;"&amp;Conciliacao!A312+1, df_extratos!G:G,"CREDITO")
+SUMIFS(df_extratos!I:I,df_extratos!F:F,"&gt;="&amp;Conciliacao!BF312,df_extratos!F:F,"&lt;"&amp;Conciliacao!BF312+1,df_extratos!G:G,"CREDITO")
+SUMIFS(df_extratos!I:I,df_extratos!F:F,"&gt;="&amp;Conciliacao!BG312,df_extratos!F:F,"&lt;"&amp;Conciliacao!BG312+1,df_extratos!G:G,"CREDITO")
+SUMIFS(df_extratos!I:I,df_extratos!F:F,"&gt;="&amp;Conciliacao!BH312,df_extratos!F:F,"&lt;"&amp;Conciliacao!BH312+1,df_extratos!G:G,"CREDITO")</f>
        <v/>
      </c>
      <c r="I312" s="9">
        <f>H312-SUM(B312:G312)</f>
        <v/>
      </c>
      <c r="J312" s="4">
        <f>SUMIFS(df_blueme_sem_parcelamento!E:E,df_blueme_sem_parcelamento!H:H,Conciliacao!A312)*(-1)</f>
        <v/>
      </c>
      <c r="K312" s="4">
        <f>SUMIFS(df_blueme_com_parcelamento!J:J,df_blueme_com_parcelamento!M:M,Conciliacao!A312)*(-1)</f>
        <v/>
      </c>
      <c r="L312" s="4">
        <f>SUMIFS(df_mutuos!N:N,df_mutuos!B:B,Conciliacao!A312)*(-1)</f>
        <v/>
      </c>
      <c r="M312" s="8">
        <f>SUMIFS(df_bloqueios_judiciais!G:G,df_bloqueios_judiciais!D:D,Conciliacao!A312,df_bloqueios_judiciais!G:G,"&lt;0")</f>
        <v/>
      </c>
      <c r="N312" s="10">
        <f>SUMIFS(df_extratos!I:I,df_extratos!F:F,"&gt;="&amp;Conciliacao!BE312,df_extratos!F:F,"&lt;"&amp;Conciliacao!BE312+1,df_extratos!G:G,"DEBITO")
+SUMIFS(df_extratos!I:I,df_extratos!F:F,"&gt;="&amp;Conciliacao!A312, df_extratos!F:F,"&lt;"&amp;Conciliacao!A312+1, df_extratos!G:G,"DEBITO")
+SUMIFS(df_extratos!I:I,df_extratos!F:F,"&gt;="&amp;Conciliacao!BF312,df_extratos!F:F,"&lt;"&amp;Conciliacao!BF312+1,df_extratos!G:G,"DEBITO")
+SUMIFS(df_extratos!I:I,df_extratos!F:F,"&gt;="&amp;Conciliacao!BG312,df_extratos!F:F,"&lt;"&amp;Conciliacao!BG312+1,df_extratos!G:G,"DEBITO")
+SUMIFS(df_extratos!I:I,df_extratos!F:F,"&gt;="&amp;Conciliacao!BH312,df_extratos!F:F,"&lt;"&amp;Conciliacao!BH312+1,df_extratos!G:G,"DEBITO")</f>
        <v/>
      </c>
      <c r="O312" s="11">
        <f>N312-SUM(J312:M312)</f>
        <v/>
      </c>
      <c r="P312" s="25">
        <f>SUMIFS(df_ajustes_conciliaco!D:D,df_ajustes_conciliaco!C:C,Conciliacao!A312)</f>
        <v/>
      </c>
      <c r="Q312" s="22">
        <f>O312+I312-P312</f>
        <v/>
      </c>
      <c r="BE312" s="20" t="n">
        <v>45968.5</v>
      </c>
      <c r="BF312" s="20" t="n">
        <v>45968.125</v>
      </c>
      <c r="BG312" s="20" t="n">
        <v>45968.54166666666</v>
      </c>
      <c r="BH312" s="20" t="n">
        <v>45968.625</v>
      </c>
    </row>
    <row r="313">
      <c r="A313" s="5">
        <f>A312+1</f>
        <v/>
      </c>
      <c r="B313" s="3">
        <f>-SUMIFS(df_extrato_zig!G:G,df_extrato_zig!E:E,Conciliacao!A313,df_extrato_zig!D:D,"Saque")-SUMIFS(df_extrato_zig!G:G,df_extrato_zig!E:E,Conciliacao!A313,df_extrato_zig!D:D,"Antecipação")</f>
        <v/>
      </c>
      <c r="C313" s="3">
        <f>SUMIFS(df_extrato_zig!E:E,df_extrato_zig!L:L,Conciliacao!A313,df_extrato_zig!F:F,"DINHEIRO")</f>
        <v/>
      </c>
      <c r="D313" s="3">
        <f>SUMIFS(view_parc_agrup!H:H,view_parc_agrup!G:G,Conciliacao!A313)</f>
        <v/>
      </c>
      <c r="E313" s="3">
        <f>SUMIFS(df_eventos!F:F,df_eventos!H:H,Conciliacao!A313)</f>
        <v/>
      </c>
      <c r="F313" s="3">
        <f>SUMIFS(df_mutuos!M:M,df_mutuos!B:B,Conciliacao!A313)</f>
        <v/>
      </c>
      <c r="G313" s="6">
        <f>SUMIFS(df_bloqueios_judiciais!G:G,df_bloqueios_judiciais!D:D,Conciliacao!A313,df_bloqueios_judiciais!G:G,"&gt;0")</f>
        <v/>
      </c>
      <c r="H313" s="7">
        <f>SUMIFS(df_extratos!I:I,df_extratos!F:F,"&gt;="&amp;Conciliacao!BE313,df_extratos!F:F,"&lt;"&amp;Conciliacao!BE313+1,df_extratos!G:G,"CREDITO")
+SUMIFS(df_extratos!I:I,df_extratos!F:F,"&gt;="&amp;Conciliacao!A313, df_extratos!F:F,"&lt;"&amp;Conciliacao!A313+1, df_extratos!G:G,"CREDITO")
+SUMIFS(df_extratos!I:I,df_extratos!F:F,"&gt;="&amp;Conciliacao!BF313,df_extratos!F:F,"&lt;"&amp;Conciliacao!BF313+1,df_extratos!G:G,"CREDITO")
+SUMIFS(df_extratos!I:I,df_extratos!F:F,"&gt;="&amp;Conciliacao!BG313,df_extratos!F:F,"&lt;"&amp;Conciliacao!BG313+1,df_extratos!G:G,"CREDITO")
+SUMIFS(df_extratos!I:I,df_extratos!F:F,"&gt;="&amp;Conciliacao!BH313,df_extratos!F:F,"&lt;"&amp;Conciliacao!BH313+1,df_extratos!G:G,"CREDITO")</f>
        <v/>
      </c>
      <c r="I313" s="9">
        <f>H313-SUM(B313:G313)</f>
        <v/>
      </c>
      <c r="J313" s="4">
        <f>SUMIFS(df_blueme_sem_parcelamento!E:E,df_blueme_sem_parcelamento!H:H,Conciliacao!A313)*(-1)</f>
        <v/>
      </c>
      <c r="K313" s="4">
        <f>SUMIFS(df_blueme_com_parcelamento!J:J,df_blueme_com_parcelamento!M:M,Conciliacao!A313)*(-1)</f>
        <v/>
      </c>
      <c r="L313" s="4">
        <f>SUMIFS(df_mutuos!N:N,df_mutuos!B:B,Conciliacao!A313)*(-1)</f>
        <v/>
      </c>
      <c r="M313" s="8">
        <f>SUMIFS(df_bloqueios_judiciais!G:G,df_bloqueios_judiciais!D:D,Conciliacao!A313,df_bloqueios_judiciais!G:G,"&lt;0")</f>
        <v/>
      </c>
      <c r="N313" s="10">
        <f>SUMIFS(df_extratos!I:I,df_extratos!F:F,"&gt;="&amp;Conciliacao!BE313,df_extratos!F:F,"&lt;"&amp;Conciliacao!BE313+1,df_extratos!G:G,"DEBITO")
+SUMIFS(df_extratos!I:I,df_extratos!F:F,"&gt;="&amp;Conciliacao!A313, df_extratos!F:F,"&lt;"&amp;Conciliacao!A313+1, df_extratos!G:G,"DEBITO")
+SUMIFS(df_extratos!I:I,df_extratos!F:F,"&gt;="&amp;Conciliacao!BF313,df_extratos!F:F,"&lt;"&amp;Conciliacao!BF313+1,df_extratos!G:G,"DEBITO")
+SUMIFS(df_extratos!I:I,df_extratos!F:F,"&gt;="&amp;Conciliacao!BG313,df_extratos!F:F,"&lt;"&amp;Conciliacao!BG313+1,df_extratos!G:G,"DEBITO")
+SUMIFS(df_extratos!I:I,df_extratos!F:F,"&gt;="&amp;Conciliacao!BH313,df_extratos!F:F,"&lt;"&amp;Conciliacao!BH313+1,df_extratos!G:G,"DEBITO")</f>
        <v/>
      </c>
      <c r="O313" s="11">
        <f>N313-SUM(J313:M313)</f>
        <v/>
      </c>
      <c r="P313" s="25">
        <f>SUMIFS(df_ajustes_conciliaco!D:D,df_ajustes_conciliaco!C:C,Conciliacao!A313)</f>
        <v/>
      </c>
      <c r="Q313" s="22">
        <f>O313+I313-P313</f>
        <v/>
      </c>
      <c r="BE313" s="20" t="n">
        <v>45969.5</v>
      </c>
      <c r="BF313" s="20" t="n">
        <v>45969.125</v>
      </c>
      <c r="BG313" s="20" t="n">
        <v>45969.54166666666</v>
      </c>
      <c r="BH313" s="20" t="n">
        <v>45969.625</v>
      </c>
    </row>
    <row r="314">
      <c r="A314" s="5">
        <f>A313+1</f>
        <v/>
      </c>
      <c r="B314" s="3">
        <f>-SUMIFS(df_extrato_zig!G:G,df_extrato_zig!E:E,Conciliacao!A314,df_extrato_zig!D:D,"Saque")-SUMIFS(df_extrato_zig!G:G,df_extrato_zig!E:E,Conciliacao!A314,df_extrato_zig!D:D,"Antecipação")</f>
        <v/>
      </c>
      <c r="C314" s="3">
        <f>SUMIFS(df_extrato_zig!E:E,df_extrato_zig!L:L,Conciliacao!A314,df_extrato_zig!F:F,"DINHEIRO")</f>
        <v/>
      </c>
      <c r="D314" s="3">
        <f>SUMIFS(view_parc_agrup!H:H,view_parc_agrup!G:G,Conciliacao!A314)</f>
        <v/>
      </c>
      <c r="E314" s="3">
        <f>SUMIFS(df_eventos!F:F,df_eventos!H:H,Conciliacao!A314)</f>
        <v/>
      </c>
      <c r="F314" s="3">
        <f>SUMIFS(df_mutuos!M:M,df_mutuos!B:B,Conciliacao!A314)</f>
        <v/>
      </c>
      <c r="G314" s="6">
        <f>SUMIFS(df_bloqueios_judiciais!G:G,df_bloqueios_judiciais!D:D,Conciliacao!A314,df_bloqueios_judiciais!G:G,"&gt;0")</f>
        <v/>
      </c>
      <c r="H314" s="7">
        <f>SUMIFS(df_extratos!I:I,df_extratos!F:F,"&gt;="&amp;Conciliacao!BE314,df_extratos!F:F,"&lt;"&amp;Conciliacao!BE314+1,df_extratos!G:G,"CREDITO")
+SUMIFS(df_extratos!I:I,df_extratos!F:F,"&gt;="&amp;Conciliacao!A314, df_extratos!F:F,"&lt;"&amp;Conciliacao!A314+1, df_extratos!G:G,"CREDITO")
+SUMIFS(df_extratos!I:I,df_extratos!F:F,"&gt;="&amp;Conciliacao!BF314,df_extratos!F:F,"&lt;"&amp;Conciliacao!BF314+1,df_extratos!G:G,"CREDITO")
+SUMIFS(df_extratos!I:I,df_extratos!F:F,"&gt;="&amp;Conciliacao!BG314,df_extratos!F:F,"&lt;"&amp;Conciliacao!BG314+1,df_extratos!G:G,"CREDITO")
+SUMIFS(df_extratos!I:I,df_extratos!F:F,"&gt;="&amp;Conciliacao!BH314,df_extratos!F:F,"&lt;"&amp;Conciliacao!BH314+1,df_extratos!G:G,"CREDITO")</f>
        <v/>
      </c>
      <c r="I314" s="9">
        <f>H314-SUM(B314:G314)</f>
        <v/>
      </c>
      <c r="J314" s="4">
        <f>SUMIFS(df_blueme_sem_parcelamento!E:E,df_blueme_sem_parcelamento!H:H,Conciliacao!A314)*(-1)</f>
        <v/>
      </c>
      <c r="K314" s="4">
        <f>SUMIFS(df_blueme_com_parcelamento!J:J,df_blueme_com_parcelamento!M:M,Conciliacao!A314)*(-1)</f>
        <v/>
      </c>
      <c r="L314" s="4">
        <f>SUMIFS(df_mutuos!N:N,df_mutuos!B:B,Conciliacao!A314)*(-1)</f>
        <v/>
      </c>
      <c r="M314" s="8">
        <f>SUMIFS(df_bloqueios_judiciais!G:G,df_bloqueios_judiciais!D:D,Conciliacao!A314,df_bloqueios_judiciais!G:G,"&lt;0")</f>
        <v/>
      </c>
      <c r="N314" s="10">
        <f>SUMIFS(df_extratos!I:I,df_extratos!F:F,"&gt;="&amp;Conciliacao!BE314,df_extratos!F:F,"&lt;"&amp;Conciliacao!BE314+1,df_extratos!G:G,"DEBITO")
+SUMIFS(df_extratos!I:I,df_extratos!F:F,"&gt;="&amp;Conciliacao!A314, df_extratos!F:F,"&lt;"&amp;Conciliacao!A314+1, df_extratos!G:G,"DEBITO")
+SUMIFS(df_extratos!I:I,df_extratos!F:F,"&gt;="&amp;Conciliacao!BF314,df_extratos!F:F,"&lt;"&amp;Conciliacao!BF314+1,df_extratos!G:G,"DEBITO")
+SUMIFS(df_extratos!I:I,df_extratos!F:F,"&gt;="&amp;Conciliacao!BG314,df_extratos!F:F,"&lt;"&amp;Conciliacao!BG314+1,df_extratos!G:G,"DEBITO")
+SUMIFS(df_extratos!I:I,df_extratos!F:F,"&gt;="&amp;Conciliacao!BH314,df_extratos!F:F,"&lt;"&amp;Conciliacao!BH314+1,df_extratos!G:G,"DEBITO")</f>
        <v/>
      </c>
      <c r="O314" s="11">
        <f>N314-SUM(J314:M314)</f>
        <v/>
      </c>
      <c r="P314" s="25">
        <f>SUMIFS(df_ajustes_conciliaco!D:D,df_ajustes_conciliaco!C:C,Conciliacao!A314)</f>
        <v/>
      </c>
      <c r="Q314" s="22">
        <f>O314+I314-P314</f>
        <v/>
      </c>
      <c r="BE314" s="20" t="n">
        <v>45970.5</v>
      </c>
      <c r="BF314" s="20" t="n">
        <v>45970.125</v>
      </c>
      <c r="BG314" s="20" t="n">
        <v>45970.54166666666</v>
      </c>
      <c r="BH314" s="20" t="n">
        <v>45970.625</v>
      </c>
    </row>
    <row r="315">
      <c r="A315" s="5">
        <f>A314+1</f>
        <v/>
      </c>
      <c r="B315" s="3">
        <f>-SUMIFS(df_extrato_zig!G:G,df_extrato_zig!E:E,Conciliacao!A315,df_extrato_zig!D:D,"Saque")-SUMIFS(df_extrato_zig!G:G,df_extrato_zig!E:E,Conciliacao!A315,df_extrato_zig!D:D,"Antecipação")</f>
        <v/>
      </c>
      <c r="C315" s="3">
        <f>SUMIFS(df_extrato_zig!E:E,df_extrato_zig!L:L,Conciliacao!A315,df_extrato_zig!F:F,"DINHEIRO")</f>
        <v/>
      </c>
      <c r="D315" s="3">
        <f>SUMIFS(view_parc_agrup!H:H,view_parc_agrup!G:G,Conciliacao!A315)</f>
        <v/>
      </c>
      <c r="E315" s="3">
        <f>SUMIFS(df_eventos!F:F,df_eventos!H:H,Conciliacao!A315)</f>
        <v/>
      </c>
      <c r="F315" s="3">
        <f>SUMIFS(df_mutuos!M:M,df_mutuos!B:B,Conciliacao!A315)</f>
        <v/>
      </c>
      <c r="G315" s="6">
        <f>SUMIFS(df_bloqueios_judiciais!G:G,df_bloqueios_judiciais!D:D,Conciliacao!A315,df_bloqueios_judiciais!G:G,"&gt;0")</f>
        <v/>
      </c>
      <c r="H315" s="7">
        <f>SUMIFS(df_extratos!I:I,df_extratos!F:F,"&gt;="&amp;Conciliacao!BE315,df_extratos!F:F,"&lt;"&amp;Conciliacao!BE315+1,df_extratos!G:G,"CREDITO")
+SUMIFS(df_extratos!I:I,df_extratos!F:F,"&gt;="&amp;Conciliacao!A315, df_extratos!F:F,"&lt;"&amp;Conciliacao!A315+1, df_extratos!G:G,"CREDITO")
+SUMIFS(df_extratos!I:I,df_extratos!F:F,"&gt;="&amp;Conciliacao!BF315,df_extratos!F:F,"&lt;"&amp;Conciliacao!BF315+1,df_extratos!G:G,"CREDITO")
+SUMIFS(df_extratos!I:I,df_extratos!F:F,"&gt;="&amp;Conciliacao!BG315,df_extratos!F:F,"&lt;"&amp;Conciliacao!BG315+1,df_extratos!G:G,"CREDITO")
+SUMIFS(df_extratos!I:I,df_extratos!F:F,"&gt;="&amp;Conciliacao!BH315,df_extratos!F:F,"&lt;"&amp;Conciliacao!BH315+1,df_extratos!G:G,"CREDITO")</f>
        <v/>
      </c>
      <c r="I315" s="9">
        <f>H315-SUM(B315:G315)</f>
        <v/>
      </c>
      <c r="J315" s="4">
        <f>SUMIFS(df_blueme_sem_parcelamento!E:E,df_blueme_sem_parcelamento!H:H,Conciliacao!A315)*(-1)</f>
        <v/>
      </c>
      <c r="K315" s="4">
        <f>SUMIFS(df_blueme_com_parcelamento!J:J,df_blueme_com_parcelamento!M:M,Conciliacao!A315)*(-1)</f>
        <v/>
      </c>
      <c r="L315" s="4">
        <f>SUMIFS(df_mutuos!N:N,df_mutuos!B:B,Conciliacao!A315)*(-1)</f>
        <v/>
      </c>
      <c r="M315" s="8">
        <f>SUMIFS(df_bloqueios_judiciais!G:G,df_bloqueios_judiciais!D:D,Conciliacao!A315,df_bloqueios_judiciais!G:G,"&lt;0")</f>
        <v/>
      </c>
      <c r="N315" s="10">
        <f>SUMIFS(df_extratos!I:I,df_extratos!F:F,"&gt;="&amp;Conciliacao!BE315,df_extratos!F:F,"&lt;"&amp;Conciliacao!BE315+1,df_extratos!G:G,"DEBITO")
+SUMIFS(df_extratos!I:I,df_extratos!F:F,"&gt;="&amp;Conciliacao!A315, df_extratos!F:F,"&lt;"&amp;Conciliacao!A315+1, df_extratos!G:G,"DEBITO")
+SUMIFS(df_extratos!I:I,df_extratos!F:F,"&gt;="&amp;Conciliacao!BF315,df_extratos!F:F,"&lt;"&amp;Conciliacao!BF315+1,df_extratos!G:G,"DEBITO")
+SUMIFS(df_extratos!I:I,df_extratos!F:F,"&gt;="&amp;Conciliacao!BG315,df_extratos!F:F,"&lt;"&amp;Conciliacao!BG315+1,df_extratos!G:G,"DEBITO")
+SUMIFS(df_extratos!I:I,df_extratos!F:F,"&gt;="&amp;Conciliacao!BH315,df_extratos!F:F,"&lt;"&amp;Conciliacao!BH315+1,df_extratos!G:G,"DEBITO")</f>
        <v/>
      </c>
      <c r="O315" s="11">
        <f>N315-SUM(J315:M315)</f>
        <v/>
      </c>
      <c r="P315" s="25">
        <f>SUMIFS(df_ajustes_conciliaco!D:D,df_ajustes_conciliaco!C:C,Conciliacao!A315)</f>
        <v/>
      </c>
      <c r="Q315" s="22">
        <f>O315+I315-P315</f>
        <v/>
      </c>
      <c r="BE315" s="20" t="n">
        <v>45971.5</v>
      </c>
      <c r="BF315" s="20" t="n">
        <v>45971.125</v>
      </c>
      <c r="BG315" s="20" t="n">
        <v>45971.54166666666</v>
      </c>
      <c r="BH315" s="20" t="n">
        <v>45971.625</v>
      </c>
    </row>
    <row r="316">
      <c r="A316" s="5">
        <f>A315+1</f>
        <v/>
      </c>
      <c r="B316" s="3">
        <f>-SUMIFS(df_extrato_zig!G:G,df_extrato_zig!E:E,Conciliacao!A316,df_extrato_zig!D:D,"Saque")-SUMIFS(df_extrato_zig!G:G,df_extrato_zig!E:E,Conciliacao!A316,df_extrato_zig!D:D,"Antecipação")</f>
        <v/>
      </c>
      <c r="C316" s="3">
        <f>SUMIFS(df_extrato_zig!E:E,df_extrato_zig!L:L,Conciliacao!A316,df_extrato_zig!F:F,"DINHEIRO")</f>
        <v/>
      </c>
      <c r="D316" s="3">
        <f>SUMIFS(view_parc_agrup!H:H,view_parc_agrup!G:G,Conciliacao!A316)</f>
        <v/>
      </c>
      <c r="E316" s="3">
        <f>SUMIFS(df_eventos!F:F,df_eventos!H:H,Conciliacao!A316)</f>
        <v/>
      </c>
      <c r="F316" s="3">
        <f>SUMIFS(df_mutuos!M:M,df_mutuos!B:B,Conciliacao!A316)</f>
        <v/>
      </c>
      <c r="G316" s="6">
        <f>SUMIFS(df_bloqueios_judiciais!G:G,df_bloqueios_judiciais!D:D,Conciliacao!A316,df_bloqueios_judiciais!G:G,"&gt;0")</f>
        <v/>
      </c>
      <c r="H316" s="7">
        <f>SUMIFS(df_extratos!I:I,df_extratos!F:F,"&gt;="&amp;Conciliacao!BE316,df_extratos!F:F,"&lt;"&amp;Conciliacao!BE316+1,df_extratos!G:G,"CREDITO")
+SUMIFS(df_extratos!I:I,df_extratos!F:F,"&gt;="&amp;Conciliacao!A316, df_extratos!F:F,"&lt;"&amp;Conciliacao!A316+1, df_extratos!G:G,"CREDITO")
+SUMIFS(df_extratos!I:I,df_extratos!F:F,"&gt;="&amp;Conciliacao!BF316,df_extratos!F:F,"&lt;"&amp;Conciliacao!BF316+1,df_extratos!G:G,"CREDITO")
+SUMIFS(df_extratos!I:I,df_extratos!F:F,"&gt;="&amp;Conciliacao!BG316,df_extratos!F:F,"&lt;"&amp;Conciliacao!BG316+1,df_extratos!G:G,"CREDITO")
+SUMIFS(df_extratos!I:I,df_extratos!F:F,"&gt;="&amp;Conciliacao!BH316,df_extratos!F:F,"&lt;"&amp;Conciliacao!BH316+1,df_extratos!G:G,"CREDITO")</f>
        <v/>
      </c>
      <c r="I316" s="9">
        <f>H316-SUM(B316:G316)</f>
        <v/>
      </c>
      <c r="J316" s="4">
        <f>SUMIFS(df_blueme_sem_parcelamento!E:E,df_blueme_sem_parcelamento!H:H,Conciliacao!A316)*(-1)</f>
        <v/>
      </c>
      <c r="K316" s="4">
        <f>SUMIFS(df_blueme_com_parcelamento!J:J,df_blueme_com_parcelamento!M:M,Conciliacao!A316)*(-1)</f>
        <v/>
      </c>
      <c r="L316" s="4">
        <f>SUMIFS(df_mutuos!N:N,df_mutuos!B:B,Conciliacao!A316)*(-1)</f>
        <v/>
      </c>
      <c r="M316" s="8">
        <f>SUMIFS(df_bloqueios_judiciais!G:G,df_bloqueios_judiciais!D:D,Conciliacao!A316,df_bloqueios_judiciais!G:G,"&lt;0")</f>
        <v/>
      </c>
      <c r="N316" s="10">
        <f>SUMIFS(df_extratos!I:I,df_extratos!F:F,"&gt;="&amp;Conciliacao!BE316,df_extratos!F:F,"&lt;"&amp;Conciliacao!BE316+1,df_extratos!G:G,"DEBITO")
+SUMIFS(df_extratos!I:I,df_extratos!F:F,"&gt;="&amp;Conciliacao!A316, df_extratos!F:F,"&lt;"&amp;Conciliacao!A316+1, df_extratos!G:G,"DEBITO")
+SUMIFS(df_extratos!I:I,df_extratos!F:F,"&gt;="&amp;Conciliacao!BF316,df_extratos!F:F,"&lt;"&amp;Conciliacao!BF316+1,df_extratos!G:G,"DEBITO")
+SUMIFS(df_extratos!I:I,df_extratos!F:F,"&gt;="&amp;Conciliacao!BG316,df_extratos!F:F,"&lt;"&amp;Conciliacao!BG316+1,df_extratos!G:G,"DEBITO")
+SUMIFS(df_extratos!I:I,df_extratos!F:F,"&gt;="&amp;Conciliacao!BH316,df_extratos!F:F,"&lt;"&amp;Conciliacao!BH316+1,df_extratos!G:G,"DEBITO")</f>
        <v/>
      </c>
      <c r="O316" s="11">
        <f>N316-SUM(J316:M316)</f>
        <v/>
      </c>
      <c r="P316" s="25">
        <f>SUMIFS(df_ajustes_conciliaco!D:D,df_ajustes_conciliaco!C:C,Conciliacao!A316)</f>
        <v/>
      </c>
      <c r="Q316" s="22">
        <f>O316+I316-P316</f>
        <v/>
      </c>
      <c r="BE316" s="20" t="n">
        <v>45972.5</v>
      </c>
      <c r="BF316" s="20" t="n">
        <v>45972.125</v>
      </c>
      <c r="BG316" s="20" t="n">
        <v>45972.54166666666</v>
      </c>
      <c r="BH316" s="20" t="n">
        <v>45972.625</v>
      </c>
    </row>
    <row r="317">
      <c r="A317" s="5">
        <f>A316+1</f>
        <v/>
      </c>
      <c r="B317" s="3">
        <f>-SUMIFS(df_extrato_zig!G:G,df_extrato_zig!E:E,Conciliacao!A317,df_extrato_zig!D:D,"Saque")-SUMIFS(df_extrato_zig!G:G,df_extrato_zig!E:E,Conciliacao!A317,df_extrato_zig!D:D,"Antecipação")</f>
        <v/>
      </c>
      <c r="C317" s="3">
        <f>SUMIFS(df_extrato_zig!E:E,df_extrato_zig!L:L,Conciliacao!A317,df_extrato_zig!F:F,"DINHEIRO")</f>
        <v/>
      </c>
      <c r="D317" s="3">
        <f>SUMIFS(view_parc_agrup!H:H,view_parc_agrup!G:G,Conciliacao!A317)</f>
        <v/>
      </c>
      <c r="E317" s="3">
        <f>SUMIFS(df_eventos!F:F,df_eventos!H:H,Conciliacao!A317)</f>
        <v/>
      </c>
      <c r="F317" s="3">
        <f>SUMIFS(df_mutuos!M:M,df_mutuos!B:B,Conciliacao!A317)</f>
        <v/>
      </c>
      <c r="G317" s="6">
        <f>SUMIFS(df_bloqueios_judiciais!G:G,df_bloqueios_judiciais!D:D,Conciliacao!A317,df_bloqueios_judiciais!G:G,"&gt;0")</f>
        <v/>
      </c>
      <c r="H317" s="7">
        <f>SUMIFS(df_extratos!I:I,df_extratos!F:F,"&gt;="&amp;Conciliacao!BE317,df_extratos!F:F,"&lt;"&amp;Conciliacao!BE317+1,df_extratos!G:G,"CREDITO")
+SUMIFS(df_extratos!I:I,df_extratos!F:F,"&gt;="&amp;Conciliacao!A317, df_extratos!F:F,"&lt;"&amp;Conciliacao!A317+1, df_extratos!G:G,"CREDITO")
+SUMIFS(df_extratos!I:I,df_extratos!F:F,"&gt;="&amp;Conciliacao!BF317,df_extratos!F:F,"&lt;"&amp;Conciliacao!BF317+1,df_extratos!G:G,"CREDITO")
+SUMIFS(df_extratos!I:I,df_extratos!F:F,"&gt;="&amp;Conciliacao!BG317,df_extratos!F:F,"&lt;"&amp;Conciliacao!BG317+1,df_extratos!G:G,"CREDITO")
+SUMIFS(df_extratos!I:I,df_extratos!F:F,"&gt;="&amp;Conciliacao!BH317,df_extratos!F:F,"&lt;"&amp;Conciliacao!BH317+1,df_extratos!G:G,"CREDITO")</f>
        <v/>
      </c>
      <c r="I317" s="9">
        <f>H317-SUM(B317:G317)</f>
        <v/>
      </c>
      <c r="J317" s="4">
        <f>SUMIFS(df_blueme_sem_parcelamento!E:E,df_blueme_sem_parcelamento!H:H,Conciliacao!A317)*(-1)</f>
        <v/>
      </c>
      <c r="K317" s="4">
        <f>SUMIFS(df_blueme_com_parcelamento!J:J,df_blueme_com_parcelamento!M:M,Conciliacao!A317)*(-1)</f>
        <v/>
      </c>
      <c r="L317" s="4">
        <f>SUMIFS(df_mutuos!N:N,df_mutuos!B:B,Conciliacao!A317)*(-1)</f>
        <v/>
      </c>
      <c r="M317" s="8">
        <f>SUMIFS(df_bloqueios_judiciais!G:G,df_bloqueios_judiciais!D:D,Conciliacao!A317,df_bloqueios_judiciais!G:G,"&lt;0")</f>
        <v/>
      </c>
      <c r="N317" s="10">
        <f>SUMIFS(df_extratos!I:I,df_extratos!F:F,"&gt;="&amp;Conciliacao!BE317,df_extratos!F:F,"&lt;"&amp;Conciliacao!BE317+1,df_extratos!G:G,"DEBITO")
+SUMIFS(df_extratos!I:I,df_extratos!F:F,"&gt;="&amp;Conciliacao!A317, df_extratos!F:F,"&lt;"&amp;Conciliacao!A317+1, df_extratos!G:G,"DEBITO")
+SUMIFS(df_extratos!I:I,df_extratos!F:F,"&gt;="&amp;Conciliacao!BF317,df_extratos!F:F,"&lt;"&amp;Conciliacao!BF317+1,df_extratos!G:G,"DEBITO")
+SUMIFS(df_extratos!I:I,df_extratos!F:F,"&gt;="&amp;Conciliacao!BG317,df_extratos!F:F,"&lt;"&amp;Conciliacao!BG317+1,df_extratos!G:G,"DEBITO")
+SUMIFS(df_extratos!I:I,df_extratos!F:F,"&gt;="&amp;Conciliacao!BH317,df_extratos!F:F,"&lt;"&amp;Conciliacao!BH317+1,df_extratos!G:G,"DEBITO")</f>
        <v/>
      </c>
      <c r="O317" s="11">
        <f>N317-SUM(J317:M317)</f>
        <v/>
      </c>
      <c r="P317" s="25">
        <f>SUMIFS(df_ajustes_conciliaco!D:D,df_ajustes_conciliaco!C:C,Conciliacao!A317)</f>
        <v/>
      </c>
      <c r="Q317" s="22">
        <f>O317+I317-P317</f>
        <v/>
      </c>
      <c r="BE317" s="20" t="n">
        <v>45973.5</v>
      </c>
      <c r="BF317" s="20" t="n">
        <v>45973.125</v>
      </c>
      <c r="BG317" s="20" t="n">
        <v>45973.54166666666</v>
      </c>
      <c r="BH317" s="20" t="n">
        <v>45973.625</v>
      </c>
    </row>
    <row r="318">
      <c r="A318" s="5">
        <f>A317+1</f>
        <v/>
      </c>
      <c r="B318" s="3">
        <f>-SUMIFS(df_extrato_zig!G:G,df_extrato_zig!E:E,Conciliacao!A318,df_extrato_zig!D:D,"Saque")-SUMIFS(df_extrato_zig!G:G,df_extrato_zig!E:E,Conciliacao!A318,df_extrato_zig!D:D,"Antecipação")</f>
        <v/>
      </c>
      <c r="C318" s="3">
        <f>SUMIFS(df_extrato_zig!E:E,df_extrato_zig!L:L,Conciliacao!A318,df_extrato_zig!F:F,"DINHEIRO")</f>
        <v/>
      </c>
      <c r="D318" s="3">
        <f>SUMIFS(view_parc_agrup!H:H,view_parc_agrup!G:G,Conciliacao!A318)</f>
        <v/>
      </c>
      <c r="E318" s="3">
        <f>SUMIFS(df_eventos!F:F,df_eventos!H:H,Conciliacao!A318)</f>
        <v/>
      </c>
      <c r="F318" s="3">
        <f>SUMIFS(df_mutuos!M:M,df_mutuos!B:B,Conciliacao!A318)</f>
        <v/>
      </c>
      <c r="G318" s="6">
        <f>SUMIFS(df_bloqueios_judiciais!G:G,df_bloqueios_judiciais!D:D,Conciliacao!A318,df_bloqueios_judiciais!G:G,"&gt;0")</f>
        <v/>
      </c>
      <c r="H318" s="7">
        <f>SUMIFS(df_extratos!I:I,df_extratos!F:F,"&gt;="&amp;Conciliacao!BE318,df_extratos!F:F,"&lt;"&amp;Conciliacao!BE318+1,df_extratos!G:G,"CREDITO")
+SUMIFS(df_extratos!I:I,df_extratos!F:F,"&gt;="&amp;Conciliacao!A318, df_extratos!F:F,"&lt;"&amp;Conciliacao!A318+1, df_extratos!G:G,"CREDITO")
+SUMIFS(df_extratos!I:I,df_extratos!F:F,"&gt;="&amp;Conciliacao!BF318,df_extratos!F:F,"&lt;"&amp;Conciliacao!BF318+1,df_extratos!G:G,"CREDITO")
+SUMIFS(df_extratos!I:I,df_extratos!F:F,"&gt;="&amp;Conciliacao!BG318,df_extratos!F:F,"&lt;"&amp;Conciliacao!BG318+1,df_extratos!G:G,"CREDITO")
+SUMIFS(df_extratos!I:I,df_extratos!F:F,"&gt;="&amp;Conciliacao!BH318,df_extratos!F:F,"&lt;"&amp;Conciliacao!BH318+1,df_extratos!G:G,"CREDITO")</f>
        <v/>
      </c>
      <c r="I318" s="9">
        <f>H318-SUM(B318:G318)</f>
        <v/>
      </c>
      <c r="J318" s="4">
        <f>SUMIFS(df_blueme_sem_parcelamento!E:E,df_blueme_sem_parcelamento!H:H,Conciliacao!A318)*(-1)</f>
        <v/>
      </c>
      <c r="K318" s="4">
        <f>SUMIFS(df_blueme_com_parcelamento!J:J,df_blueme_com_parcelamento!M:M,Conciliacao!A318)*(-1)</f>
        <v/>
      </c>
      <c r="L318" s="4">
        <f>SUMIFS(df_mutuos!N:N,df_mutuos!B:B,Conciliacao!A318)*(-1)</f>
        <v/>
      </c>
      <c r="M318" s="8">
        <f>SUMIFS(df_bloqueios_judiciais!G:G,df_bloqueios_judiciais!D:D,Conciliacao!A318,df_bloqueios_judiciais!G:G,"&lt;0")</f>
        <v/>
      </c>
      <c r="N318" s="10">
        <f>SUMIFS(df_extratos!I:I,df_extratos!F:F,"&gt;="&amp;Conciliacao!BE318,df_extratos!F:F,"&lt;"&amp;Conciliacao!BE318+1,df_extratos!G:G,"DEBITO")
+SUMIFS(df_extratos!I:I,df_extratos!F:F,"&gt;="&amp;Conciliacao!A318, df_extratos!F:F,"&lt;"&amp;Conciliacao!A318+1, df_extratos!G:G,"DEBITO")
+SUMIFS(df_extratos!I:I,df_extratos!F:F,"&gt;="&amp;Conciliacao!BF318,df_extratos!F:F,"&lt;"&amp;Conciliacao!BF318+1,df_extratos!G:G,"DEBITO")
+SUMIFS(df_extratos!I:I,df_extratos!F:F,"&gt;="&amp;Conciliacao!BG318,df_extratos!F:F,"&lt;"&amp;Conciliacao!BG318+1,df_extratos!G:G,"DEBITO")
+SUMIFS(df_extratos!I:I,df_extratos!F:F,"&gt;="&amp;Conciliacao!BH318,df_extratos!F:F,"&lt;"&amp;Conciliacao!BH318+1,df_extratos!G:G,"DEBITO")</f>
        <v/>
      </c>
      <c r="O318" s="11">
        <f>N318-SUM(J318:M318)</f>
        <v/>
      </c>
      <c r="P318" s="25">
        <f>SUMIFS(df_ajustes_conciliaco!D:D,df_ajustes_conciliaco!C:C,Conciliacao!A318)</f>
        <v/>
      </c>
      <c r="Q318" s="22">
        <f>O318+I318-P318</f>
        <v/>
      </c>
      <c r="BE318" s="20" t="n">
        <v>45974.5</v>
      </c>
      <c r="BF318" s="20" t="n">
        <v>45974.125</v>
      </c>
      <c r="BG318" s="20" t="n">
        <v>45974.54166666666</v>
      </c>
      <c r="BH318" s="20" t="n">
        <v>45974.625</v>
      </c>
    </row>
    <row r="319">
      <c r="A319" s="5">
        <f>A318+1</f>
        <v/>
      </c>
      <c r="B319" s="3">
        <f>-SUMIFS(df_extrato_zig!G:G,df_extrato_zig!E:E,Conciliacao!A319,df_extrato_zig!D:D,"Saque")-SUMIFS(df_extrato_zig!G:G,df_extrato_zig!E:E,Conciliacao!A319,df_extrato_zig!D:D,"Antecipação")</f>
        <v/>
      </c>
      <c r="C319" s="3">
        <f>SUMIFS(df_extrato_zig!E:E,df_extrato_zig!L:L,Conciliacao!A319,df_extrato_zig!F:F,"DINHEIRO")</f>
        <v/>
      </c>
      <c r="D319" s="3">
        <f>SUMIFS(view_parc_agrup!H:H,view_parc_agrup!G:G,Conciliacao!A319)</f>
        <v/>
      </c>
      <c r="E319" s="3">
        <f>SUMIFS(df_eventos!F:F,df_eventos!H:H,Conciliacao!A319)</f>
        <v/>
      </c>
      <c r="F319" s="3">
        <f>SUMIFS(df_mutuos!M:M,df_mutuos!B:B,Conciliacao!A319)</f>
        <v/>
      </c>
      <c r="G319" s="6">
        <f>SUMIFS(df_bloqueios_judiciais!G:G,df_bloqueios_judiciais!D:D,Conciliacao!A319,df_bloqueios_judiciais!G:G,"&gt;0")</f>
        <v/>
      </c>
      <c r="H319" s="7">
        <f>SUMIFS(df_extratos!I:I,df_extratos!F:F,"&gt;="&amp;Conciliacao!BE319,df_extratos!F:F,"&lt;"&amp;Conciliacao!BE319+1,df_extratos!G:G,"CREDITO")
+SUMIFS(df_extratos!I:I,df_extratos!F:F,"&gt;="&amp;Conciliacao!A319, df_extratos!F:F,"&lt;"&amp;Conciliacao!A319+1, df_extratos!G:G,"CREDITO")
+SUMIFS(df_extratos!I:I,df_extratos!F:F,"&gt;="&amp;Conciliacao!BF319,df_extratos!F:F,"&lt;"&amp;Conciliacao!BF319+1,df_extratos!G:G,"CREDITO")
+SUMIFS(df_extratos!I:I,df_extratos!F:F,"&gt;="&amp;Conciliacao!BG319,df_extratos!F:F,"&lt;"&amp;Conciliacao!BG319+1,df_extratos!G:G,"CREDITO")
+SUMIFS(df_extratos!I:I,df_extratos!F:F,"&gt;="&amp;Conciliacao!BH319,df_extratos!F:F,"&lt;"&amp;Conciliacao!BH319+1,df_extratos!G:G,"CREDITO")</f>
        <v/>
      </c>
      <c r="I319" s="9">
        <f>H319-SUM(B319:G319)</f>
        <v/>
      </c>
      <c r="J319" s="4">
        <f>SUMIFS(df_blueme_sem_parcelamento!E:E,df_blueme_sem_parcelamento!H:H,Conciliacao!A319)*(-1)</f>
        <v/>
      </c>
      <c r="K319" s="4">
        <f>SUMIFS(df_blueme_com_parcelamento!J:J,df_blueme_com_parcelamento!M:M,Conciliacao!A319)*(-1)</f>
        <v/>
      </c>
      <c r="L319" s="4">
        <f>SUMIFS(df_mutuos!N:N,df_mutuos!B:B,Conciliacao!A319)*(-1)</f>
        <v/>
      </c>
      <c r="M319" s="8">
        <f>SUMIFS(df_bloqueios_judiciais!G:G,df_bloqueios_judiciais!D:D,Conciliacao!A319,df_bloqueios_judiciais!G:G,"&lt;0")</f>
        <v/>
      </c>
      <c r="N319" s="10">
        <f>SUMIFS(df_extratos!I:I,df_extratos!F:F,"&gt;="&amp;Conciliacao!BE319,df_extratos!F:F,"&lt;"&amp;Conciliacao!BE319+1,df_extratos!G:G,"DEBITO")
+SUMIFS(df_extratos!I:I,df_extratos!F:F,"&gt;="&amp;Conciliacao!A319, df_extratos!F:F,"&lt;"&amp;Conciliacao!A319+1, df_extratos!G:G,"DEBITO")
+SUMIFS(df_extratos!I:I,df_extratos!F:F,"&gt;="&amp;Conciliacao!BF319,df_extratos!F:F,"&lt;"&amp;Conciliacao!BF319+1,df_extratos!G:G,"DEBITO")
+SUMIFS(df_extratos!I:I,df_extratos!F:F,"&gt;="&amp;Conciliacao!BG319,df_extratos!F:F,"&lt;"&amp;Conciliacao!BG319+1,df_extratos!G:G,"DEBITO")
+SUMIFS(df_extratos!I:I,df_extratos!F:F,"&gt;="&amp;Conciliacao!BH319,df_extratos!F:F,"&lt;"&amp;Conciliacao!BH319+1,df_extratos!G:G,"DEBITO")</f>
        <v/>
      </c>
      <c r="O319" s="11">
        <f>N319-SUM(J319:M319)</f>
        <v/>
      </c>
      <c r="P319" s="25">
        <f>SUMIFS(df_ajustes_conciliaco!D:D,df_ajustes_conciliaco!C:C,Conciliacao!A319)</f>
        <v/>
      </c>
      <c r="Q319" s="22">
        <f>O319+I319-P319</f>
        <v/>
      </c>
      <c r="BE319" s="20" t="n">
        <v>45975.5</v>
      </c>
      <c r="BF319" s="20" t="n">
        <v>45975.125</v>
      </c>
      <c r="BG319" s="20" t="n">
        <v>45975.54166666666</v>
      </c>
      <c r="BH319" s="20" t="n">
        <v>45975.625</v>
      </c>
    </row>
    <row r="320">
      <c r="A320" s="5">
        <f>A319+1</f>
        <v/>
      </c>
      <c r="B320" s="3">
        <f>-SUMIFS(df_extrato_zig!G:G,df_extrato_zig!E:E,Conciliacao!A320,df_extrato_zig!D:D,"Saque")-SUMIFS(df_extrato_zig!G:G,df_extrato_zig!E:E,Conciliacao!A320,df_extrato_zig!D:D,"Antecipação")</f>
        <v/>
      </c>
      <c r="C320" s="3">
        <f>SUMIFS(df_extrato_zig!E:E,df_extrato_zig!L:L,Conciliacao!A320,df_extrato_zig!F:F,"DINHEIRO")</f>
        <v/>
      </c>
      <c r="D320" s="3">
        <f>SUMIFS(view_parc_agrup!H:H,view_parc_agrup!G:G,Conciliacao!A320)</f>
        <v/>
      </c>
      <c r="E320" s="3">
        <f>SUMIFS(df_eventos!F:F,df_eventos!H:H,Conciliacao!A320)</f>
        <v/>
      </c>
      <c r="F320" s="3">
        <f>SUMIFS(df_mutuos!M:M,df_mutuos!B:B,Conciliacao!A320)</f>
        <v/>
      </c>
      <c r="G320" s="6">
        <f>SUMIFS(df_bloqueios_judiciais!G:G,df_bloqueios_judiciais!D:D,Conciliacao!A320,df_bloqueios_judiciais!G:G,"&gt;0")</f>
        <v/>
      </c>
      <c r="H320" s="7">
        <f>SUMIFS(df_extratos!I:I,df_extratos!F:F,"&gt;="&amp;Conciliacao!BE320,df_extratos!F:F,"&lt;"&amp;Conciliacao!BE320+1,df_extratos!G:G,"CREDITO")
+SUMIFS(df_extratos!I:I,df_extratos!F:F,"&gt;="&amp;Conciliacao!A320, df_extratos!F:F,"&lt;"&amp;Conciliacao!A320+1, df_extratos!G:G,"CREDITO")
+SUMIFS(df_extratos!I:I,df_extratos!F:F,"&gt;="&amp;Conciliacao!BF320,df_extratos!F:F,"&lt;"&amp;Conciliacao!BF320+1,df_extratos!G:G,"CREDITO")
+SUMIFS(df_extratos!I:I,df_extratos!F:F,"&gt;="&amp;Conciliacao!BG320,df_extratos!F:F,"&lt;"&amp;Conciliacao!BG320+1,df_extratos!G:G,"CREDITO")
+SUMIFS(df_extratos!I:I,df_extratos!F:F,"&gt;="&amp;Conciliacao!BH320,df_extratos!F:F,"&lt;"&amp;Conciliacao!BH320+1,df_extratos!G:G,"CREDITO")</f>
        <v/>
      </c>
      <c r="I320" s="9">
        <f>H320-SUM(B320:G320)</f>
        <v/>
      </c>
      <c r="J320" s="4">
        <f>SUMIFS(df_blueme_sem_parcelamento!E:E,df_blueme_sem_parcelamento!H:H,Conciliacao!A320)*(-1)</f>
        <v/>
      </c>
      <c r="K320" s="4">
        <f>SUMIFS(df_blueme_com_parcelamento!J:J,df_blueme_com_parcelamento!M:M,Conciliacao!A320)*(-1)</f>
        <v/>
      </c>
      <c r="L320" s="4">
        <f>SUMIFS(df_mutuos!N:N,df_mutuos!B:B,Conciliacao!A320)*(-1)</f>
        <v/>
      </c>
      <c r="M320" s="8">
        <f>SUMIFS(df_bloqueios_judiciais!G:G,df_bloqueios_judiciais!D:D,Conciliacao!A320,df_bloqueios_judiciais!G:G,"&lt;0")</f>
        <v/>
      </c>
      <c r="N320" s="10">
        <f>SUMIFS(df_extratos!I:I,df_extratos!F:F,"&gt;="&amp;Conciliacao!BE320,df_extratos!F:F,"&lt;"&amp;Conciliacao!BE320+1,df_extratos!G:G,"DEBITO")
+SUMIFS(df_extratos!I:I,df_extratos!F:F,"&gt;="&amp;Conciliacao!A320, df_extratos!F:F,"&lt;"&amp;Conciliacao!A320+1, df_extratos!G:G,"DEBITO")
+SUMIFS(df_extratos!I:I,df_extratos!F:F,"&gt;="&amp;Conciliacao!BF320,df_extratos!F:F,"&lt;"&amp;Conciliacao!BF320+1,df_extratos!G:G,"DEBITO")
+SUMIFS(df_extratos!I:I,df_extratos!F:F,"&gt;="&amp;Conciliacao!BG320,df_extratos!F:F,"&lt;"&amp;Conciliacao!BG320+1,df_extratos!G:G,"DEBITO")
+SUMIFS(df_extratos!I:I,df_extratos!F:F,"&gt;="&amp;Conciliacao!BH320,df_extratos!F:F,"&lt;"&amp;Conciliacao!BH320+1,df_extratos!G:G,"DEBITO")</f>
        <v/>
      </c>
      <c r="O320" s="11">
        <f>N320-SUM(J320:M320)</f>
        <v/>
      </c>
      <c r="P320" s="25">
        <f>SUMIFS(df_ajustes_conciliaco!D:D,df_ajustes_conciliaco!C:C,Conciliacao!A320)</f>
        <v/>
      </c>
      <c r="Q320" s="22">
        <f>O320+I320-P320</f>
        <v/>
      </c>
      <c r="BE320" s="20" t="n">
        <v>45976.5</v>
      </c>
      <c r="BF320" s="20" t="n">
        <v>45976.125</v>
      </c>
      <c r="BG320" s="20" t="n">
        <v>45976.54166666666</v>
      </c>
      <c r="BH320" s="20" t="n">
        <v>45976.625</v>
      </c>
    </row>
    <row r="321">
      <c r="A321" s="5">
        <f>A320+1</f>
        <v/>
      </c>
      <c r="B321" s="3">
        <f>-SUMIFS(df_extrato_zig!G:G,df_extrato_zig!E:E,Conciliacao!A321,df_extrato_zig!D:D,"Saque")-SUMIFS(df_extrato_zig!G:G,df_extrato_zig!E:E,Conciliacao!A321,df_extrato_zig!D:D,"Antecipação")</f>
        <v/>
      </c>
      <c r="C321" s="3">
        <f>SUMIFS(df_extrato_zig!E:E,df_extrato_zig!L:L,Conciliacao!A321,df_extrato_zig!F:F,"DINHEIRO")</f>
        <v/>
      </c>
      <c r="D321" s="3">
        <f>SUMIFS(view_parc_agrup!H:H,view_parc_agrup!G:G,Conciliacao!A321)</f>
        <v/>
      </c>
      <c r="E321" s="3">
        <f>SUMIFS(df_eventos!F:F,df_eventos!H:H,Conciliacao!A321)</f>
        <v/>
      </c>
      <c r="F321" s="3">
        <f>SUMIFS(df_mutuos!M:M,df_mutuos!B:B,Conciliacao!A321)</f>
        <v/>
      </c>
      <c r="G321" s="6">
        <f>SUMIFS(df_bloqueios_judiciais!G:G,df_bloqueios_judiciais!D:D,Conciliacao!A321,df_bloqueios_judiciais!G:G,"&gt;0")</f>
        <v/>
      </c>
      <c r="H321" s="7">
        <f>SUMIFS(df_extratos!I:I,df_extratos!F:F,"&gt;="&amp;Conciliacao!BE321,df_extratos!F:F,"&lt;"&amp;Conciliacao!BE321+1,df_extratos!G:G,"CREDITO")
+SUMIFS(df_extratos!I:I,df_extratos!F:F,"&gt;="&amp;Conciliacao!A321, df_extratos!F:F,"&lt;"&amp;Conciliacao!A321+1, df_extratos!G:G,"CREDITO")
+SUMIFS(df_extratos!I:I,df_extratos!F:F,"&gt;="&amp;Conciliacao!BF321,df_extratos!F:F,"&lt;"&amp;Conciliacao!BF321+1,df_extratos!G:G,"CREDITO")
+SUMIFS(df_extratos!I:I,df_extratos!F:F,"&gt;="&amp;Conciliacao!BG321,df_extratos!F:F,"&lt;"&amp;Conciliacao!BG321+1,df_extratos!G:G,"CREDITO")
+SUMIFS(df_extratos!I:I,df_extratos!F:F,"&gt;="&amp;Conciliacao!BH321,df_extratos!F:F,"&lt;"&amp;Conciliacao!BH321+1,df_extratos!G:G,"CREDITO")</f>
        <v/>
      </c>
      <c r="I321" s="9">
        <f>H321-SUM(B321:G321)</f>
        <v/>
      </c>
      <c r="J321" s="4">
        <f>SUMIFS(df_blueme_sem_parcelamento!E:E,df_blueme_sem_parcelamento!H:H,Conciliacao!A321)*(-1)</f>
        <v/>
      </c>
      <c r="K321" s="4">
        <f>SUMIFS(df_blueme_com_parcelamento!J:J,df_blueme_com_parcelamento!M:M,Conciliacao!A321)*(-1)</f>
        <v/>
      </c>
      <c r="L321" s="4">
        <f>SUMIFS(df_mutuos!N:N,df_mutuos!B:B,Conciliacao!A321)*(-1)</f>
        <v/>
      </c>
      <c r="M321" s="8">
        <f>SUMIFS(df_bloqueios_judiciais!G:G,df_bloqueios_judiciais!D:D,Conciliacao!A321,df_bloqueios_judiciais!G:G,"&lt;0")</f>
        <v/>
      </c>
      <c r="N321" s="10">
        <f>SUMIFS(df_extratos!I:I,df_extratos!F:F,"&gt;="&amp;Conciliacao!BE321,df_extratos!F:F,"&lt;"&amp;Conciliacao!BE321+1,df_extratos!G:G,"DEBITO")
+SUMIFS(df_extratos!I:I,df_extratos!F:F,"&gt;="&amp;Conciliacao!A321, df_extratos!F:F,"&lt;"&amp;Conciliacao!A321+1, df_extratos!G:G,"DEBITO")
+SUMIFS(df_extratos!I:I,df_extratos!F:F,"&gt;="&amp;Conciliacao!BF321,df_extratos!F:F,"&lt;"&amp;Conciliacao!BF321+1,df_extratos!G:G,"DEBITO")
+SUMIFS(df_extratos!I:I,df_extratos!F:F,"&gt;="&amp;Conciliacao!BG321,df_extratos!F:F,"&lt;"&amp;Conciliacao!BG321+1,df_extratos!G:G,"DEBITO")
+SUMIFS(df_extratos!I:I,df_extratos!F:F,"&gt;="&amp;Conciliacao!BH321,df_extratos!F:F,"&lt;"&amp;Conciliacao!BH321+1,df_extratos!G:G,"DEBITO")</f>
        <v/>
      </c>
      <c r="O321" s="11">
        <f>N321-SUM(J321:M321)</f>
        <v/>
      </c>
      <c r="P321" s="25">
        <f>SUMIFS(df_ajustes_conciliaco!D:D,df_ajustes_conciliaco!C:C,Conciliacao!A321)</f>
        <v/>
      </c>
      <c r="Q321" s="22">
        <f>O321+I321-P321</f>
        <v/>
      </c>
      <c r="BE321" s="20" t="n">
        <v>45977.5</v>
      </c>
      <c r="BF321" s="20" t="n">
        <v>45977.125</v>
      </c>
      <c r="BG321" s="20" t="n">
        <v>45977.54166666666</v>
      </c>
      <c r="BH321" s="20" t="n">
        <v>45977.625</v>
      </c>
    </row>
    <row r="322">
      <c r="A322" s="5">
        <f>A321+1</f>
        <v/>
      </c>
      <c r="B322" s="3">
        <f>-SUMIFS(df_extrato_zig!G:G,df_extrato_zig!E:E,Conciliacao!A322,df_extrato_zig!D:D,"Saque")-SUMIFS(df_extrato_zig!G:G,df_extrato_zig!E:E,Conciliacao!A322,df_extrato_zig!D:D,"Antecipação")</f>
        <v/>
      </c>
      <c r="C322" s="3">
        <f>SUMIFS(df_extrato_zig!E:E,df_extrato_zig!L:L,Conciliacao!A322,df_extrato_zig!F:F,"DINHEIRO")</f>
        <v/>
      </c>
      <c r="D322" s="3">
        <f>SUMIFS(view_parc_agrup!H:H,view_parc_agrup!G:G,Conciliacao!A322)</f>
        <v/>
      </c>
      <c r="E322" s="3">
        <f>SUMIFS(df_eventos!F:F,df_eventos!H:H,Conciliacao!A322)</f>
        <v/>
      </c>
      <c r="F322" s="3">
        <f>SUMIFS(df_mutuos!M:M,df_mutuos!B:B,Conciliacao!A322)</f>
        <v/>
      </c>
      <c r="G322" s="6">
        <f>SUMIFS(df_bloqueios_judiciais!G:G,df_bloqueios_judiciais!D:D,Conciliacao!A322,df_bloqueios_judiciais!G:G,"&gt;0")</f>
        <v/>
      </c>
      <c r="H322" s="7">
        <f>SUMIFS(df_extratos!I:I,df_extratos!F:F,"&gt;="&amp;Conciliacao!BE322,df_extratos!F:F,"&lt;"&amp;Conciliacao!BE322+1,df_extratos!G:G,"CREDITO")
+SUMIFS(df_extratos!I:I,df_extratos!F:F,"&gt;="&amp;Conciliacao!A322, df_extratos!F:F,"&lt;"&amp;Conciliacao!A322+1, df_extratos!G:G,"CREDITO")
+SUMIFS(df_extratos!I:I,df_extratos!F:F,"&gt;="&amp;Conciliacao!BF322,df_extratos!F:F,"&lt;"&amp;Conciliacao!BF322+1,df_extratos!G:G,"CREDITO")
+SUMIFS(df_extratos!I:I,df_extratos!F:F,"&gt;="&amp;Conciliacao!BG322,df_extratos!F:F,"&lt;"&amp;Conciliacao!BG322+1,df_extratos!G:G,"CREDITO")
+SUMIFS(df_extratos!I:I,df_extratos!F:F,"&gt;="&amp;Conciliacao!BH322,df_extratos!F:F,"&lt;"&amp;Conciliacao!BH322+1,df_extratos!G:G,"CREDITO")</f>
        <v/>
      </c>
      <c r="I322" s="9">
        <f>H322-SUM(B322:G322)</f>
        <v/>
      </c>
      <c r="J322" s="4">
        <f>SUMIFS(df_blueme_sem_parcelamento!E:E,df_blueme_sem_parcelamento!H:H,Conciliacao!A322)*(-1)</f>
        <v/>
      </c>
      <c r="K322" s="4">
        <f>SUMIFS(df_blueme_com_parcelamento!J:J,df_blueme_com_parcelamento!M:M,Conciliacao!A322)*(-1)</f>
        <v/>
      </c>
      <c r="L322" s="4">
        <f>SUMIFS(df_mutuos!N:N,df_mutuos!B:B,Conciliacao!A322)*(-1)</f>
        <v/>
      </c>
      <c r="M322" s="8">
        <f>SUMIFS(df_bloqueios_judiciais!G:G,df_bloqueios_judiciais!D:D,Conciliacao!A322,df_bloqueios_judiciais!G:G,"&lt;0")</f>
        <v/>
      </c>
      <c r="N322" s="10">
        <f>SUMIFS(df_extratos!I:I,df_extratos!F:F,"&gt;="&amp;Conciliacao!BE322,df_extratos!F:F,"&lt;"&amp;Conciliacao!BE322+1,df_extratos!G:G,"DEBITO")
+SUMIFS(df_extratos!I:I,df_extratos!F:F,"&gt;="&amp;Conciliacao!A322, df_extratos!F:F,"&lt;"&amp;Conciliacao!A322+1, df_extratos!G:G,"DEBITO")
+SUMIFS(df_extratos!I:I,df_extratos!F:F,"&gt;="&amp;Conciliacao!BF322,df_extratos!F:F,"&lt;"&amp;Conciliacao!BF322+1,df_extratos!G:G,"DEBITO")
+SUMIFS(df_extratos!I:I,df_extratos!F:F,"&gt;="&amp;Conciliacao!BG322,df_extratos!F:F,"&lt;"&amp;Conciliacao!BG322+1,df_extratos!G:G,"DEBITO")
+SUMIFS(df_extratos!I:I,df_extratos!F:F,"&gt;="&amp;Conciliacao!BH322,df_extratos!F:F,"&lt;"&amp;Conciliacao!BH322+1,df_extratos!G:G,"DEBITO")</f>
        <v/>
      </c>
      <c r="O322" s="11">
        <f>N322-SUM(J322:M322)</f>
        <v/>
      </c>
      <c r="P322" s="25">
        <f>SUMIFS(df_ajustes_conciliaco!D:D,df_ajustes_conciliaco!C:C,Conciliacao!A322)</f>
        <v/>
      </c>
      <c r="Q322" s="22">
        <f>O322+I322-P322</f>
        <v/>
      </c>
      <c r="BE322" s="20" t="n">
        <v>45978.5</v>
      </c>
      <c r="BF322" s="20" t="n">
        <v>45978.125</v>
      </c>
      <c r="BG322" s="20" t="n">
        <v>45978.54166666666</v>
      </c>
      <c r="BH322" s="20" t="n">
        <v>45978.625</v>
      </c>
    </row>
    <row r="323">
      <c r="A323" s="5">
        <f>A322+1</f>
        <v/>
      </c>
      <c r="B323" s="3">
        <f>-SUMIFS(df_extrato_zig!G:G,df_extrato_zig!E:E,Conciliacao!A323,df_extrato_zig!D:D,"Saque")-SUMIFS(df_extrato_zig!G:G,df_extrato_zig!E:E,Conciliacao!A323,df_extrato_zig!D:D,"Antecipação")</f>
        <v/>
      </c>
      <c r="C323" s="3">
        <f>SUMIFS(df_extrato_zig!E:E,df_extrato_zig!L:L,Conciliacao!A323,df_extrato_zig!F:F,"DINHEIRO")</f>
        <v/>
      </c>
      <c r="D323" s="3">
        <f>SUMIFS(view_parc_agrup!H:H,view_parc_agrup!G:G,Conciliacao!A323)</f>
        <v/>
      </c>
      <c r="E323" s="3">
        <f>SUMIFS(df_eventos!F:F,df_eventos!H:H,Conciliacao!A323)</f>
        <v/>
      </c>
      <c r="F323" s="3">
        <f>SUMIFS(df_mutuos!M:M,df_mutuos!B:B,Conciliacao!A323)</f>
        <v/>
      </c>
      <c r="G323" s="6">
        <f>SUMIFS(df_bloqueios_judiciais!G:G,df_bloqueios_judiciais!D:D,Conciliacao!A323,df_bloqueios_judiciais!G:G,"&gt;0")</f>
        <v/>
      </c>
      <c r="H323" s="7">
        <f>SUMIFS(df_extratos!I:I,df_extratos!F:F,"&gt;="&amp;Conciliacao!BE323,df_extratos!F:F,"&lt;"&amp;Conciliacao!BE323+1,df_extratos!G:G,"CREDITO")
+SUMIFS(df_extratos!I:I,df_extratos!F:F,"&gt;="&amp;Conciliacao!A323, df_extratos!F:F,"&lt;"&amp;Conciliacao!A323+1, df_extratos!G:G,"CREDITO")
+SUMIFS(df_extratos!I:I,df_extratos!F:F,"&gt;="&amp;Conciliacao!BF323,df_extratos!F:F,"&lt;"&amp;Conciliacao!BF323+1,df_extratos!G:G,"CREDITO")
+SUMIFS(df_extratos!I:I,df_extratos!F:F,"&gt;="&amp;Conciliacao!BG323,df_extratos!F:F,"&lt;"&amp;Conciliacao!BG323+1,df_extratos!G:G,"CREDITO")
+SUMIFS(df_extratos!I:I,df_extratos!F:F,"&gt;="&amp;Conciliacao!BH323,df_extratos!F:F,"&lt;"&amp;Conciliacao!BH323+1,df_extratos!G:G,"CREDITO")</f>
        <v/>
      </c>
      <c r="I323" s="9">
        <f>H323-SUM(B323:G323)</f>
        <v/>
      </c>
      <c r="J323" s="4">
        <f>SUMIFS(df_blueme_sem_parcelamento!E:E,df_blueme_sem_parcelamento!H:H,Conciliacao!A323)*(-1)</f>
        <v/>
      </c>
      <c r="K323" s="4">
        <f>SUMIFS(df_blueme_com_parcelamento!J:J,df_blueme_com_parcelamento!M:M,Conciliacao!A323)*(-1)</f>
        <v/>
      </c>
      <c r="L323" s="4">
        <f>SUMIFS(df_mutuos!N:N,df_mutuos!B:B,Conciliacao!A323)*(-1)</f>
        <v/>
      </c>
      <c r="M323" s="8">
        <f>SUMIFS(df_bloqueios_judiciais!G:G,df_bloqueios_judiciais!D:D,Conciliacao!A323,df_bloqueios_judiciais!G:G,"&lt;0")</f>
        <v/>
      </c>
      <c r="N323" s="10">
        <f>SUMIFS(df_extratos!I:I,df_extratos!F:F,"&gt;="&amp;Conciliacao!BE323,df_extratos!F:F,"&lt;"&amp;Conciliacao!BE323+1,df_extratos!G:G,"DEBITO")
+SUMIFS(df_extratos!I:I,df_extratos!F:F,"&gt;="&amp;Conciliacao!A323, df_extratos!F:F,"&lt;"&amp;Conciliacao!A323+1, df_extratos!G:G,"DEBITO")
+SUMIFS(df_extratos!I:I,df_extratos!F:F,"&gt;="&amp;Conciliacao!BF323,df_extratos!F:F,"&lt;"&amp;Conciliacao!BF323+1,df_extratos!G:G,"DEBITO")
+SUMIFS(df_extratos!I:I,df_extratos!F:F,"&gt;="&amp;Conciliacao!BG323,df_extratos!F:F,"&lt;"&amp;Conciliacao!BG323+1,df_extratos!G:G,"DEBITO")
+SUMIFS(df_extratos!I:I,df_extratos!F:F,"&gt;="&amp;Conciliacao!BH323,df_extratos!F:F,"&lt;"&amp;Conciliacao!BH323+1,df_extratos!G:G,"DEBITO")</f>
        <v/>
      </c>
      <c r="O323" s="11">
        <f>N323-SUM(J323:M323)</f>
        <v/>
      </c>
      <c r="P323" s="25">
        <f>SUMIFS(df_ajustes_conciliaco!D:D,df_ajustes_conciliaco!C:C,Conciliacao!A323)</f>
        <v/>
      </c>
      <c r="Q323" s="22">
        <f>O323+I323-P323</f>
        <v/>
      </c>
      <c r="BE323" s="20" t="n">
        <v>45979.5</v>
      </c>
      <c r="BF323" s="20" t="n">
        <v>45979.125</v>
      </c>
      <c r="BG323" s="20" t="n">
        <v>45979.54166666666</v>
      </c>
      <c r="BH323" s="20" t="n">
        <v>45979.625</v>
      </c>
    </row>
    <row r="324">
      <c r="A324" s="5">
        <f>A323+1</f>
        <v/>
      </c>
      <c r="B324" s="3">
        <f>-SUMIFS(df_extrato_zig!G:G,df_extrato_zig!E:E,Conciliacao!A324,df_extrato_zig!D:D,"Saque")-SUMIFS(df_extrato_zig!G:G,df_extrato_zig!E:E,Conciliacao!A324,df_extrato_zig!D:D,"Antecipação")</f>
        <v/>
      </c>
      <c r="C324" s="3">
        <f>SUMIFS(df_extrato_zig!E:E,df_extrato_zig!L:L,Conciliacao!A324,df_extrato_zig!F:F,"DINHEIRO")</f>
        <v/>
      </c>
      <c r="D324" s="3">
        <f>SUMIFS(view_parc_agrup!H:H,view_parc_agrup!G:G,Conciliacao!A324)</f>
        <v/>
      </c>
      <c r="E324" s="3">
        <f>SUMIFS(df_eventos!F:F,df_eventos!H:H,Conciliacao!A324)</f>
        <v/>
      </c>
      <c r="F324" s="3">
        <f>SUMIFS(df_mutuos!M:M,df_mutuos!B:B,Conciliacao!A324)</f>
        <v/>
      </c>
      <c r="G324" s="6">
        <f>SUMIFS(df_bloqueios_judiciais!G:G,df_bloqueios_judiciais!D:D,Conciliacao!A324,df_bloqueios_judiciais!G:G,"&gt;0")</f>
        <v/>
      </c>
      <c r="H324" s="7">
        <f>SUMIFS(df_extratos!I:I,df_extratos!F:F,"&gt;="&amp;Conciliacao!BE324,df_extratos!F:F,"&lt;"&amp;Conciliacao!BE324+1,df_extratos!G:G,"CREDITO")
+SUMIFS(df_extratos!I:I,df_extratos!F:F,"&gt;="&amp;Conciliacao!A324, df_extratos!F:F,"&lt;"&amp;Conciliacao!A324+1, df_extratos!G:G,"CREDITO")
+SUMIFS(df_extratos!I:I,df_extratos!F:F,"&gt;="&amp;Conciliacao!BF324,df_extratos!F:F,"&lt;"&amp;Conciliacao!BF324+1,df_extratos!G:G,"CREDITO")
+SUMIFS(df_extratos!I:I,df_extratos!F:F,"&gt;="&amp;Conciliacao!BG324,df_extratos!F:F,"&lt;"&amp;Conciliacao!BG324+1,df_extratos!G:G,"CREDITO")
+SUMIFS(df_extratos!I:I,df_extratos!F:F,"&gt;="&amp;Conciliacao!BH324,df_extratos!F:F,"&lt;"&amp;Conciliacao!BH324+1,df_extratos!G:G,"CREDITO")</f>
        <v/>
      </c>
      <c r="I324" s="9">
        <f>H324-SUM(B324:G324)</f>
        <v/>
      </c>
      <c r="J324" s="4">
        <f>SUMIFS(df_blueme_sem_parcelamento!E:E,df_blueme_sem_parcelamento!H:H,Conciliacao!A324)*(-1)</f>
        <v/>
      </c>
      <c r="K324" s="4">
        <f>SUMIFS(df_blueme_com_parcelamento!J:J,df_blueme_com_parcelamento!M:M,Conciliacao!A324)*(-1)</f>
        <v/>
      </c>
      <c r="L324" s="4">
        <f>SUMIFS(df_mutuos!N:N,df_mutuos!B:B,Conciliacao!A324)*(-1)</f>
        <v/>
      </c>
      <c r="M324" s="8">
        <f>SUMIFS(df_bloqueios_judiciais!G:G,df_bloqueios_judiciais!D:D,Conciliacao!A324,df_bloqueios_judiciais!G:G,"&lt;0")</f>
        <v/>
      </c>
      <c r="N324" s="10">
        <f>SUMIFS(df_extratos!I:I,df_extratos!F:F,"&gt;="&amp;Conciliacao!BE324,df_extratos!F:F,"&lt;"&amp;Conciliacao!BE324+1,df_extratos!G:G,"DEBITO")
+SUMIFS(df_extratos!I:I,df_extratos!F:F,"&gt;="&amp;Conciliacao!A324, df_extratos!F:F,"&lt;"&amp;Conciliacao!A324+1, df_extratos!G:G,"DEBITO")
+SUMIFS(df_extratos!I:I,df_extratos!F:F,"&gt;="&amp;Conciliacao!BF324,df_extratos!F:F,"&lt;"&amp;Conciliacao!BF324+1,df_extratos!G:G,"DEBITO")
+SUMIFS(df_extratos!I:I,df_extratos!F:F,"&gt;="&amp;Conciliacao!BG324,df_extratos!F:F,"&lt;"&amp;Conciliacao!BG324+1,df_extratos!G:G,"DEBITO")
+SUMIFS(df_extratos!I:I,df_extratos!F:F,"&gt;="&amp;Conciliacao!BH324,df_extratos!F:F,"&lt;"&amp;Conciliacao!BH324+1,df_extratos!G:G,"DEBITO")</f>
        <v/>
      </c>
      <c r="O324" s="11">
        <f>N324-SUM(J324:M324)</f>
        <v/>
      </c>
      <c r="P324" s="25">
        <f>SUMIFS(df_ajustes_conciliaco!D:D,df_ajustes_conciliaco!C:C,Conciliacao!A324)</f>
        <v/>
      </c>
      <c r="Q324" s="22">
        <f>O324+I324-P324</f>
        <v/>
      </c>
      <c r="BE324" s="20" t="n">
        <v>45980.5</v>
      </c>
      <c r="BF324" s="20" t="n">
        <v>45980.125</v>
      </c>
      <c r="BG324" s="20" t="n">
        <v>45980.54166666666</v>
      </c>
      <c r="BH324" s="20" t="n">
        <v>45980.625</v>
      </c>
    </row>
    <row r="325">
      <c r="A325" s="5">
        <f>A324+1</f>
        <v/>
      </c>
      <c r="B325" s="3">
        <f>-SUMIFS(df_extrato_zig!G:G,df_extrato_zig!E:E,Conciliacao!A325,df_extrato_zig!D:D,"Saque")-SUMIFS(df_extrato_zig!G:G,df_extrato_zig!E:E,Conciliacao!A325,df_extrato_zig!D:D,"Antecipação")</f>
        <v/>
      </c>
      <c r="C325" s="3">
        <f>SUMIFS(df_extrato_zig!E:E,df_extrato_zig!L:L,Conciliacao!A325,df_extrato_zig!F:F,"DINHEIRO")</f>
        <v/>
      </c>
      <c r="D325" s="3">
        <f>SUMIFS(view_parc_agrup!H:H,view_parc_agrup!G:G,Conciliacao!A325)</f>
        <v/>
      </c>
      <c r="E325" s="3">
        <f>SUMIFS(df_eventos!F:F,df_eventos!H:H,Conciliacao!A325)</f>
        <v/>
      </c>
      <c r="F325" s="3">
        <f>SUMIFS(df_mutuos!M:M,df_mutuos!B:B,Conciliacao!A325)</f>
        <v/>
      </c>
      <c r="G325" s="6">
        <f>SUMIFS(df_bloqueios_judiciais!G:G,df_bloqueios_judiciais!D:D,Conciliacao!A325,df_bloqueios_judiciais!G:G,"&gt;0")</f>
        <v/>
      </c>
      <c r="H325" s="7">
        <f>SUMIFS(df_extratos!I:I,df_extratos!F:F,"&gt;="&amp;Conciliacao!BE325,df_extratos!F:F,"&lt;"&amp;Conciliacao!BE325+1,df_extratos!G:G,"CREDITO")
+SUMIFS(df_extratos!I:I,df_extratos!F:F,"&gt;="&amp;Conciliacao!A325, df_extratos!F:F,"&lt;"&amp;Conciliacao!A325+1, df_extratos!G:G,"CREDITO")
+SUMIFS(df_extratos!I:I,df_extratos!F:F,"&gt;="&amp;Conciliacao!BF325,df_extratos!F:F,"&lt;"&amp;Conciliacao!BF325+1,df_extratos!G:G,"CREDITO")
+SUMIFS(df_extratos!I:I,df_extratos!F:F,"&gt;="&amp;Conciliacao!BG325,df_extratos!F:F,"&lt;"&amp;Conciliacao!BG325+1,df_extratos!G:G,"CREDITO")
+SUMIFS(df_extratos!I:I,df_extratos!F:F,"&gt;="&amp;Conciliacao!BH325,df_extratos!F:F,"&lt;"&amp;Conciliacao!BH325+1,df_extratos!G:G,"CREDITO")</f>
        <v/>
      </c>
      <c r="I325" s="9">
        <f>H325-SUM(B325:G325)</f>
        <v/>
      </c>
      <c r="J325" s="4">
        <f>SUMIFS(df_blueme_sem_parcelamento!E:E,df_blueme_sem_parcelamento!H:H,Conciliacao!A325)*(-1)</f>
        <v/>
      </c>
      <c r="K325" s="4">
        <f>SUMIFS(df_blueme_com_parcelamento!J:J,df_blueme_com_parcelamento!M:M,Conciliacao!A325)*(-1)</f>
        <v/>
      </c>
      <c r="L325" s="4">
        <f>SUMIFS(df_mutuos!N:N,df_mutuos!B:B,Conciliacao!A325)*(-1)</f>
        <v/>
      </c>
      <c r="M325" s="8">
        <f>SUMIFS(df_bloqueios_judiciais!G:G,df_bloqueios_judiciais!D:D,Conciliacao!A325,df_bloqueios_judiciais!G:G,"&lt;0")</f>
        <v/>
      </c>
      <c r="N325" s="10">
        <f>SUMIFS(df_extratos!I:I,df_extratos!F:F,"&gt;="&amp;Conciliacao!BE325,df_extratos!F:F,"&lt;"&amp;Conciliacao!BE325+1,df_extratos!G:G,"DEBITO")
+SUMIFS(df_extratos!I:I,df_extratos!F:F,"&gt;="&amp;Conciliacao!A325, df_extratos!F:F,"&lt;"&amp;Conciliacao!A325+1, df_extratos!G:G,"DEBITO")
+SUMIFS(df_extratos!I:I,df_extratos!F:F,"&gt;="&amp;Conciliacao!BF325,df_extratos!F:F,"&lt;"&amp;Conciliacao!BF325+1,df_extratos!G:G,"DEBITO")
+SUMIFS(df_extratos!I:I,df_extratos!F:F,"&gt;="&amp;Conciliacao!BG325,df_extratos!F:F,"&lt;"&amp;Conciliacao!BG325+1,df_extratos!G:G,"DEBITO")
+SUMIFS(df_extratos!I:I,df_extratos!F:F,"&gt;="&amp;Conciliacao!BH325,df_extratos!F:F,"&lt;"&amp;Conciliacao!BH325+1,df_extratos!G:G,"DEBITO")</f>
        <v/>
      </c>
      <c r="O325" s="11">
        <f>N325-SUM(J325:M325)</f>
        <v/>
      </c>
      <c r="P325" s="25">
        <f>SUMIFS(df_ajustes_conciliaco!D:D,df_ajustes_conciliaco!C:C,Conciliacao!A325)</f>
        <v/>
      </c>
      <c r="Q325" s="22">
        <f>O325+I325-P325</f>
        <v/>
      </c>
      <c r="BE325" s="20" t="n">
        <v>45981.5</v>
      </c>
      <c r="BF325" s="20" t="n">
        <v>45981.125</v>
      </c>
      <c r="BG325" s="20" t="n">
        <v>45981.54166666666</v>
      </c>
      <c r="BH325" s="20" t="n">
        <v>45981.625</v>
      </c>
    </row>
    <row r="326">
      <c r="A326" s="5">
        <f>A325+1</f>
        <v/>
      </c>
      <c r="B326" s="3">
        <f>-SUMIFS(df_extrato_zig!G:G,df_extrato_zig!E:E,Conciliacao!A326,df_extrato_zig!D:D,"Saque")-SUMIFS(df_extrato_zig!G:G,df_extrato_zig!E:E,Conciliacao!A326,df_extrato_zig!D:D,"Antecipação")</f>
        <v/>
      </c>
      <c r="C326" s="3">
        <f>SUMIFS(df_extrato_zig!E:E,df_extrato_zig!L:L,Conciliacao!A326,df_extrato_zig!F:F,"DINHEIRO")</f>
        <v/>
      </c>
      <c r="D326" s="3">
        <f>SUMIFS(view_parc_agrup!H:H,view_parc_agrup!G:G,Conciliacao!A326)</f>
        <v/>
      </c>
      <c r="E326" s="3">
        <f>SUMIFS(df_eventos!F:F,df_eventos!H:H,Conciliacao!A326)</f>
        <v/>
      </c>
      <c r="F326" s="3">
        <f>SUMIFS(df_mutuos!M:M,df_mutuos!B:B,Conciliacao!A326)</f>
        <v/>
      </c>
      <c r="G326" s="6">
        <f>SUMIFS(df_bloqueios_judiciais!G:G,df_bloqueios_judiciais!D:D,Conciliacao!A326,df_bloqueios_judiciais!G:G,"&gt;0")</f>
        <v/>
      </c>
      <c r="H326" s="7">
        <f>SUMIFS(df_extratos!I:I,df_extratos!F:F,"&gt;="&amp;Conciliacao!BE326,df_extratos!F:F,"&lt;"&amp;Conciliacao!BE326+1,df_extratos!G:G,"CREDITO")
+SUMIFS(df_extratos!I:I,df_extratos!F:F,"&gt;="&amp;Conciliacao!A326, df_extratos!F:F,"&lt;"&amp;Conciliacao!A326+1, df_extratos!G:G,"CREDITO")
+SUMIFS(df_extratos!I:I,df_extratos!F:F,"&gt;="&amp;Conciliacao!BF326,df_extratos!F:F,"&lt;"&amp;Conciliacao!BF326+1,df_extratos!G:G,"CREDITO")
+SUMIFS(df_extratos!I:I,df_extratos!F:F,"&gt;="&amp;Conciliacao!BG326,df_extratos!F:F,"&lt;"&amp;Conciliacao!BG326+1,df_extratos!G:G,"CREDITO")
+SUMIFS(df_extratos!I:I,df_extratos!F:F,"&gt;="&amp;Conciliacao!BH326,df_extratos!F:F,"&lt;"&amp;Conciliacao!BH326+1,df_extratos!G:G,"CREDITO")</f>
        <v/>
      </c>
      <c r="I326" s="9">
        <f>H326-SUM(B326:G326)</f>
        <v/>
      </c>
      <c r="J326" s="4">
        <f>SUMIFS(df_blueme_sem_parcelamento!E:E,df_blueme_sem_parcelamento!H:H,Conciliacao!A326)*(-1)</f>
        <v/>
      </c>
      <c r="K326" s="4">
        <f>SUMIFS(df_blueme_com_parcelamento!J:J,df_blueme_com_parcelamento!M:M,Conciliacao!A326)*(-1)</f>
        <v/>
      </c>
      <c r="L326" s="4">
        <f>SUMIFS(df_mutuos!N:N,df_mutuos!B:B,Conciliacao!A326)*(-1)</f>
        <v/>
      </c>
      <c r="M326" s="8">
        <f>SUMIFS(df_bloqueios_judiciais!G:G,df_bloqueios_judiciais!D:D,Conciliacao!A326,df_bloqueios_judiciais!G:G,"&lt;0")</f>
        <v/>
      </c>
      <c r="N326" s="10">
        <f>SUMIFS(df_extratos!I:I,df_extratos!F:F,"&gt;="&amp;Conciliacao!BE326,df_extratos!F:F,"&lt;"&amp;Conciliacao!BE326+1,df_extratos!G:G,"DEBITO")
+SUMIFS(df_extratos!I:I,df_extratos!F:F,"&gt;="&amp;Conciliacao!A326, df_extratos!F:F,"&lt;"&amp;Conciliacao!A326+1, df_extratos!G:G,"DEBITO")
+SUMIFS(df_extratos!I:I,df_extratos!F:F,"&gt;="&amp;Conciliacao!BF326,df_extratos!F:F,"&lt;"&amp;Conciliacao!BF326+1,df_extratos!G:G,"DEBITO")
+SUMIFS(df_extratos!I:I,df_extratos!F:F,"&gt;="&amp;Conciliacao!BG326,df_extratos!F:F,"&lt;"&amp;Conciliacao!BG326+1,df_extratos!G:G,"DEBITO")
+SUMIFS(df_extratos!I:I,df_extratos!F:F,"&gt;="&amp;Conciliacao!BH326,df_extratos!F:F,"&lt;"&amp;Conciliacao!BH326+1,df_extratos!G:G,"DEBITO")</f>
        <v/>
      </c>
      <c r="O326" s="11">
        <f>N326-SUM(J326:M326)</f>
        <v/>
      </c>
      <c r="P326" s="25">
        <f>SUMIFS(df_ajustes_conciliaco!D:D,df_ajustes_conciliaco!C:C,Conciliacao!A326)</f>
        <v/>
      </c>
      <c r="Q326" s="22">
        <f>O326+I326-P326</f>
        <v/>
      </c>
      <c r="BE326" s="20" t="n">
        <v>45982.5</v>
      </c>
      <c r="BF326" s="20" t="n">
        <v>45982.125</v>
      </c>
      <c r="BG326" s="20" t="n">
        <v>45982.54166666666</v>
      </c>
      <c r="BH326" s="20" t="n">
        <v>45982.625</v>
      </c>
    </row>
    <row r="327">
      <c r="A327" s="5">
        <f>A326+1</f>
        <v/>
      </c>
      <c r="B327" s="3">
        <f>-SUMIFS(df_extrato_zig!G:G,df_extrato_zig!E:E,Conciliacao!A327,df_extrato_zig!D:D,"Saque")-SUMIFS(df_extrato_zig!G:G,df_extrato_zig!E:E,Conciliacao!A327,df_extrato_zig!D:D,"Antecipação")</f>
        <v/>
      </c>
      <c r="C327" s="3">
        <f>SUMIFS(df_extrato_zig!E:E,df_extrato_zig!L:L,Conciliacao!A327,df_extrato_zig!F:F,"DINHEIRO")</f>
        <v/>
      </c>
      <c r="D327" s="3">
        <f>SUMIFS(view_parc_agrup!H:H,view_parc_agrup!G:G,Conciliacao!A327)</f>
        <v/>
      </c>
      <c r="E327" s="3">
        <f>SUMIFS(df_eventos!F:F,df_eventos!H:H,Conciliacao!A327)</f>
        <v/>
      </c>
      <c r="F327" s="3">
        <f>SUMIFS(df_mutuos!M:M,df_mutuos!B:B,Conciliacao!A327)</f>
        <v/>
      </c>
      <c r="G327" s="6">
        <f>SUMIFS(df_bloqueios_judiciais!G:G,df_bloqueios_judiciais!D:D,Conciliacao!A327,df_bloqueios_judiciais!G:G,"&gt;0")</f>
        <v/>
      </c>
      <c r="H327" s="7">
        <f>SUMIFS(df_extratos!I:I,df_extratos!F:F,"&gt;="&amp;Conciliacao!BE327,df_extratos!F:F,"&lt;"&amp;Conciliacao!BE327+1,df_extratos!G:G,"CREDITO")
+SUMIFS(df_extratos!I:I,df_extratos!F:F,"&gt;="&amp;Conciliacao!A327, df_extratos!F:F,"&lt;"&amp;Conciliacao!A327+1, df_extratos!G:G,"CREDITO")
+SUMIFS(df_extratos!I:I,df_extratos!F:F,"&gt;="&amp;Conciliacao!BF327,df_extratos!F:F,"&lt;"&amp;Conciliacao!BF327+1,df_extratos!G:G,"CREDITO")
+SUMIFS(df_extratos!I:I,df_extratos!F:F,"&gt;="&amp;Conciliacao!BG327,df_extratos!F:F,"&lt;"&amp;Conciliacao!BG327+1,df_extratos!G:G,"CREDITO")
+SUMIFS(df_extratos!I:I,df_extratos!F:F,"&gt;="&amp;Conciliacao!BH327,df_extratos!F:F,"&lt;"&amp;Conciliacao!BH327+1,df_extratos!G:G,"CREDITO")</f>
        <v/>
      </c>
      <c r="I327" s="9">
        <f>H327-SUM(B327:G327)</f>
        <v/>
      </c>
      <c r="J327" s="4">
        <f>SUMIFS(df_blueme_sem_parcelamento!E:E,df_blueme_sem_parcelamento!H:H,Conciliacao!A327)*(-1)</f>
        <v/>
      </c>
      <c r="K327" s="4">
        <f>SUMIFS(df_blueme_com_parcelamento!J:J,df_blueme_com_parcelamento!M:M,Conciliacao!A327)*(-1)</f>
        <v/>
      </c>
      <c r="L327" s="4">
        <f>SUMIFS(df_mutuos!N:N,df_mutuos!B:B,Conciliacao!A327)*(-1)</f>
        <v/>
      </c>
      <c r="M327" s="8">
        <f>SUMIFS(df_bloqueios_judiciais!G:G,df_bloqueios_judiciais!D:D,Conciliacao!A327,df_bloqueios_judiciais!G:G,"&lt;0")</f>
        <v/>
      </c>
      <c r="N327" s="10">
        <f>SUMIFS(df_extratos!I:I,df_extratos!F:F,"&gt;="&amp;Conciliacao!BE327,df_extratos!F:F,"&lt;"&amp;Conciliacao!BE327+1,df_extratos!G:G,"DEBITO")
+SUMIFS(df_extratos!I:I,df_extratos!F:F,"&gt;="&amp;Conciliacao!A327, df_extratos!F:F,"&lt;"&amp;Conciliacao!A327+1, df_extratos!G:G,"DEBITO")
+SUMIFS(df_extratos!I:I,df_extratos!F:F,"&gt;="&amp;Conciliacao!BF327,df_extratos!F:F,"&lt;"&amp;Conciliacao!BF327+1,df_extratos!G:G,"DEBITO")
+SUMIFS(df_extratos!I:I,df_extratos!F:F,"&gt;="&amp;Conciliacao!BG327,df_extratos!F:F,"&lt;"&amp;Conciliacao!BG327+1,df_extratos!G:G,"DEBITO")
+SUMIFS(df_extratos!I:I,df_extratos!F:F,"&gt;="&amp;Conciliacao!BH327,df_extratos!F:F,"&lt;"&amp;Conciliacao!BH327+1,df_extratos!G:G,"DEBITO")</f>
        <v/>
      </c>
      <c r="O327" s="11">
        <f>N327-SUM(J327:M327)</f>
        <v/>
      </c>
      <c r="P327" s="25">
        <f>SUMIFS(df_ajustes_conciliaco!D:D,df_ajustes_conciliaco!C:C,Conciliacao!A327)</f>
        <v/>
      </c>
      <c r="Q327" s="22">
        <f>O327+I327-P327</f>
        <v/>
      </c>
      <c r="BE327" s="20" t="n">
        <v>45983.5</v>
      </c>
      <c r="BF327" s="20" t="n">
        <v>45983.125</v>
      </c>
      <c r="BG327" s="20" t="n">
        <v>45983.54166666666</v>
      </c>
      <c r="BH327" s="20" t="n">
        <v>45983.625</v>
      </c>
    </row>
    <row r="328">
      <c r="A328" s="5">
        <f>A327+1</f>
        <v/>
      </c>
      <c r="B328" s="3">
        <f>-SUMIFS(df_extrato_zig!G:G,df_extrato_zig!E:E,Conciliacao!A328,df_extrato_zig!D:D,"Saque")-SUMIFS(df_extrato_zig!G:G,df_extrato_zig!E:E,Conciliacao!A328,df_extrato_zig!D:D,"Antecipação")</f>
        <v/>
      </c>
      <c r="C328" s="3">
        <f>SUMIFS(df_extrato_zig!E:E,df_extrato_zig!L:L,Conciliacao!A328,df_extrato_zig!F:F,"DINHEIRO")</f>
        <v/>
      </c>
      <c r="D328" s="3">
        <f>SUMIFS(view_parc_agrup!H:H,view_parc_agrup!G:G,Conciliacao!A328)</f>
        <v/>
      </c>
      <c r="E328" s="3">
        <f>SUMIFS(df_eventos!F:F,df_eventos!H:H,Conciliacao!A328)</f>
        <v/>
      </c>
      <c r="F328" s="3">
        <f>SUMIFS(df_mutuos!M:M,df_mutuos!B:B,Conciliacao!A328)</f>
        <v/>
      </c>
      <c r="G328" s="6">
        <f>SUMIFS(df_bloqueios_judiciais!G:G,df_bloqueios_judiciais!D:D,Conciliacao!A328,df_bloqueios_judiciais!G:G,"&gt;0")</f>
        <v/>
      </c>
      <c r="H328" s="7">
        <f>SUMIFS(df_extratos!I:I,df_extratos!F:F,"&gt;="&amp;Conciliacao!BE328,df_extratos!F:F,"&lt;"&amp;Conciliacao!BE328+1,df_extratos!G:G,"CREDITO")
+SUMIFS(df_extratos!I:I,df_extratos!F:F,"&gt;="&amp;Conciliacao!A328, df_extratos!F:F,"&lt;"&amp;Conciliacao!A328+1, df_extratos!G:G,"CREDITO")
+SUMIFS(df_extratos!I:I,df_extratos!F:F,"&gt;="&amp;Conciliacao!BF328,df_extratos!F:F,"&lt;"&amp;Conciliacao!BF328+1,df_extratos!G:G,"CREDITO")
+SUMIFS(df_extratos!I:I,df_extratos!F:F,"&gt;="&amp;Conciliacao!BG328,df_extratos!F:F,"&lt;"&amp;Conciliacao!BG328+1,df_extratos!G:G,"CREDITO")
+SUMIFS(df_extratos!I:I,df_extratos!F:F,"&gt;="&amp;Conciliacao!BH328,df_extratos!F:F,"&lt;"&amp;Conciliacao!BH328+1,df_extratos!G:G,"CREDITO")</f>
        <v/>
      </c>
      <c r="I328" s="9">
        <f>H328-SUM(B328:G328)</f>
        <v/>
      </c>
      <c r="J328" s="4">
        <f>SUMIFS(df_blueme_sem_parcelamento!E:E,df_blueme_sem_parcelamento!H:H,Conciliacao!A328)*(-1)</f>
        <v/>
      </c>
      <c r="K328" s="4">
        <f>SUMIFS(df_blueme_com_parcelamento!J:J,df_blueme_com_parcelamento!M:M,Conciliacao!A328)*(-1)</f>
        <v/>
      </c>
      <c r="L328" s="4">
        <f>SUMIFS(df_mutuos!N:N,df_mutuos!B:B,Conciliacao!A328)*(-1)</f>
        <v/>
      </c>
      <c r="M328" s="8">
        <f>SUMIFS(df_bloqueios_judiciais!G:G,df_bloqueios_judiciais!D:D,Conciliacao!A328,df_bloqueios_judiciais!G:G,"&lt;0")</f>
        <v/>
      </c>
      <c r="N328" s="10">
        <f>SUMIFS(df_extratos!I:I,df_extratos!F:F,"&gt;="&amp;Conciliacao!BE328,df_extratos!F:F,"&lt;"&amp;Conciliacao!BE328+1,df_extratos!G:G,"DEBITO")
+SUMIFS(df_extratos!I:I,df_extratos!F:F,"&gt;="&amp;Conciliacao!A328, df_extratos!F:F,"&lt;"&amp;Conciliacao!A328+1, df_extratos!G:G,"DEBITO")
+SUMIFS(df_extratos!I:I,df_extratos!F:F,"&gt;="&amp;Conciliacao!BF328,df_extratos!F:F,"&lt;"&amp;Conciliacao!BF328+1,df_extratos!G:G,"DEBITO")
+SUMIFS(df_extratos!I:I,df_extratos!F:F,"&gt;="&amp;Conciliacao!BG328,df_extratos!F:F,"&lt;"&amp;Conciliacao!BG328+1,df_extratos!G:G,"DEBITO")
+SUMIFS(df_extratos!I:I,df_extratos!F:F,"&gt;="&amp;Conciliacao!BH328,df_extratos!F:F,"&lt;"&amp;Conciliacao!BH328+1,df_extratos!G:G,"DEBITO")</f>
        <v/>
      </c>
      <c r="O328" s="11">
        <f>N328-SUM(J328:M328)</f>
        <v/>
      </c>
      <c r="P328" s="25">
        <f>SUMIFS(df_ajustes_conciliaco!D:D,df_ajustes_conciliaco!C:C,Conciliacao!A328)</f>
        <v/>
      </c>
      <c r="Q328" s="22">
        <f>O328+I328-P328</f>
        <v/>
      </c>
      <c r="BE328" s="20" t="n">
        <v>45984.5</v>
      </c>
      <c r="BF328" s="20" t="n">
        <v>45984.125</v>
      </c>
      <c r="BG328" s="20" t="n">
        <v>45984.54166666666</v>
      </c>
      <c r="BH328" s="20" t="n">
        <v>45984.625</v>
      </c>
    </row>
    <row r="329">
      <c r="A329" s="5">
        <f>A328+1</f>
        <v/>
      </c>
      <c r="B329" s="3">
        <f>-SUMIFS(df_extrato_zig!G:G,df_extrato_zig!E:E,Conciliacao!A329,df_extrato_zig!D:D,"Saque")-SUMIFS(df_extrato_zig!G:G,df_extrato_zig!E:E,Conciliacao!A329,df_extrato_zig!D:D,"Antecipação")</f>
        <v/>
      </c>
      <c r="C329" s="3">
        <f>SUMIFS(df_extrato_zig!E:E,df_extrato_zig!L:L,Conciliacao!A329,df_extrato_zig!F:F,"DINHEIRO")</f>
        <v/>
      </c>
      <c r="D329" s="3">
        <f>SUMIFS(view_parc_agrup!H:H,view_parc_agrup!G:G,Conciliacao!A329)</f>
        <v/>
      </c>
      <c r="E329" s="3">
        <f>SUMIFS(df_eventos!F:F,df_eventos!H:H,Conciliacao!A329)</f>
        <v/>
      </c>
      <c r="F329" s="3">
        <f>SUMIFS(df_mutuos!M:M,df_mutuos!B:B,Conciliacao!A329)</f>
        <v/>
      </c>
      <c r="G329" s="6">
        <f>SUMIFS(df_bloqueios_judiciais!G:G,df_bloqueios_judiciais!D:D,Conciliacao!A329,df_bloqueios_judiciais!G:G,"&gt;0")</f>
        <v/>
      </c>
      <c r="H329" s="7">
        <f>SUMIFS(df_extratos!I:I,df_extratos!F:F,"&gt;="&amp;Conciliacao!BE329,df_extratos!F:F,"&lt;"&amp;Conciliacao!BE329+1,df_extratos!G:G,"CREDITO")
+SUMIFS(df_extratos!I:I,df_extratos!F:F,"&gt;="&amp;Conciliacao!A329, df_extratos!F:F,"&lt;"&amp;Conciliacao!A329+1, df_extratos!G:G,"CREDITO")
+SUMIFS(df_extratos!I:I,df_extratos!F:F,"&gt;="&amp;Conciliacao!BF329,df_extratos!F:F,"&lt;"&amp;Conciliacao!BF329+1,df_extratos!G:G,"CREDITO")
+SUMIFS(df_extratos!I:I,df_extratos!F:F,"&gt;="&amp;Conciliacao!BG329,df_extratos!F:F,"&lt;"&amp;Conciliacao!BG329+1,df_extratos!G:G,"CREDITO")
+SUMIFS(df_extratos!I:I,df_extratos!F:F,"&gt;="&amp;Conciliacao!BH329,df_extratos!F:F,"&lt;"&amp;Conciliacao!BH329+1,df_extratos!G:G,"CREDITO")</f>
        <v/>
      </c>
      <c r="I329" s="9">
        <f>H329-SUM(B329:G329)</f>
        <v/>
      </c>
      <c r="J329" s="4">
        <f>SUMIFS(df_blueme_sem_parcelamento!E:E,df_blueme_sem_parcelamento!H:H,Conciliacao!A329)*(-1)</f>
        <v/>
      </c>
      <c r="K329" s="4">
        <f>SUMIFS(df_blueme_com_parcelamento!J:J,df_blueme_com_parcelamento!M:M,Conciliacao!A329)*(-1)</f>
        <v/>
      </c>
      <c r="L329" s="4">
        <f>SUMIFS(df_mutuos!N:N,df_mutuos!B:B,Conciliacao!A329)*(-1)</f>
        <v/>
      </c>
      <c r="M329" s="8">
        <f>SUMIFS(df_bloqueios_judiciais!G:G,df_bloqueios_judiciais!D:D,Conciliacao!A329,df_bloqueios_judiciais!G:G,"&lt;0")</f>
        <v/>
      </c>
      <c r="N329" s="10">
        <f>SUMIFS(df_extratos!I:I,df_extratos!F:F,"&gt;="&amp;Conciliacao!BE329,df_extratos!F:F,"&lt;"&amp;Conciliacao!BE329+1,df_extratos!G:G,"DEBITO")
+SUMIFS(df_extratos!I:I,df_extratos!F:F,"&gt;="&amp;Conciliacao!A329, df_extratos!F:F,"&lt;"&amp;Conciliacao!A329+1, df_extratos!G:G,"DEBITO")
+SUMIFS(df_extratos!I:I,df_extratos!F:F,"&gt;="&amp;Conciliacao!BF329,df_extratos!F:F,"&lt;"&amp;Conciliacao!BF329+1,df_extratos!G:G,"DEBITO")
+SUMIFS(df_extratos!I:I,df_extratos!F:F,"&gt;="&amp;Conciliacao!BG329,df_extratos!F:F,"&lt;"&amp;Conciliacao!BG329+1,df_extratos!G:G,"DEBITO")
+SUMIFS(df_extratos!I:I,df_extratos!F:F,"&gt;="&amp;Conciliacao!BH329,df_extratos!F:F,"&lt;"&amp;Conciliacao!BH329+1,df_extratos!G:G,"DEBITO")</f>
        <v/>
      </c>
      <c r="O329" s="11">
        <f>N329-SUM(J329:M329)</f>
        <v/>
      </c>
      <c r="P329" s="25">
        <f>SUMIFS(df_ajustes_conciliaco!D:D,df_ajustes_conciliaco!C:C,Conciliacao!A329)</f>
        <v/>
      </c>
      <c r="Q329" s="22">
        <f>O329+I329-P329</f>
        <v/>
      </c>
      <c r="BE329" s="20" t="n">
        <v>45985.5</v>
      </c>
      <c r="BF329" s="20" t="n">
        <v>45985.125</v>
      </c>
      <c r="BG329" s="20" t="n">
        <v>45985.54166666666</v>
      </c>
      <c r="BH329" s="20" t="n">
        <v>45985.625</v>
      </c>
    </row>
    <row r="330">
      <c r="A330" s="5">
        <f>A329+1</f>
        <v/>
      </c>
      <c r="B330" s="3">
        <f>-SUMIFS(df_extrato_zig!G:G,df_extrato_zig!E:E,Conciliacao!A330,df_extrato_zig!D:D,"Saque")-SUMIFS(df_extrato_zig!G:G,df_extrato_zig!E:E,Conciliacao!A330,df_extrato_zig!D:D,"Antecipação")</f>
        <v/>
      </c>
      <c r="C330" s="3">
        <f>SUMIFS(df_extrato_zig!E:E,df_extrato_zig!L:L,Conciliacao!A330,df_extrato_zig!F:F,"DINHEIRO")</f>
        <v/>
      </c>
      <c r="D330" s="3">
        <f>SUMIFS(view_parc_agrup!H:H,view_parc_agrup!G:G,Conciliacao!A330)</f>
        <v/>
      </c>
      <c r="E330" s="3">
        <f>SUMIFS(df_eventos!F:F,df_eventos!H:H,Conciliacao!A330)</f>
        <v/>
      </c>
      <c r="F330" s="3">
        <f>SUMIFS(df_mutuos!M:M,df_mutuos!B:B,Conciliacao!A330)</f>
        <v/>
      </c>
      <c r="G330" s="6">
        <f>SUMIFS(df_bloqueios_judiciais!G:G,df_bloqueios_judiciais!D:D,Conciliacao!A330,df_bloqueios_judiciais!G:G,"&gt;0")</f>
        <v/>
      </c>
      <c r="H330" s="7">
        <f>SUMIFS(df_extratos!I:I,df_extratos!F:F,"&gt;="&amp;Conciliacao!BE330,df_extratos!F:F,"&lt;"&amp;Conciliacao!BE330+1,df_extratos!G:G,"CREDITO")
+SUMIFS(df_extratos!I:I,df_extratos!F:F,"&gt;="&amp;Conciliacao!A330, df_extratos!F:F,"&lt;"&amp;Conciliacao!A330+1, df_extratos!G:G,"CREDITO")
+SUMIFS(df_extratos!I:I,df_extratos!F:F,"&gt;="&amp;Conciliacao!BF330,df_extratos!F:F,"&lt;"&amp;Conciliacao!BF330+1,df_extratos!G:G,"CREDITO")
+SUMIFS(df_extratos!I:I,df_extratos!F:F,"&gt;="&amp;Conciliacao!BG330,df_extratos!F:F,"&lt;"&amp;Conciliacao!BG330+1,df_extratos!G:G,"CREDITO")
+SUMIFS(df_extratos!I:I,df_extratos!F:F,"&gt;="&amp;Conciliacao!BH330,df_extratos!F:F,"&lt;"&amp;Conciliacao!BH330+1,df_extratos!G:G,"CREDITO")</f>
        <v/>
      </c>
      <c r="I330" s="9">
        <f>H330-SUM(B330:G330)</f>
        <v/>
      </c>
      <c r="J330" s="4">
        <f>SUMIFS(df_blueme_sem_parcelamento!E:E,df_blueme_sem_parcelamento!H:H,Conciliacao!A330)*(-1)</f>
        <v/>
      </c>
      <c r="K330" s="4">
        <f>SUMIFS(df_blueme_com_parcelamento!J:J,df_blueme_com_parcelamento!M:M,Conciliacao!A330)*(-1)</f>
        <v/>
      </c>
      <c r="L330" s="4">
        <f>SUMIFS(df_mutuos!N:N,df_mutuos!B:B,Conciliacao!A330)*(-1)</f>
        <v/>
      </c>
      <c r="M330" s="8">
        <f>SUMIFS(df_bloqueios_judiciais!G:G,df_bloqueios_judiciais!D:D,Conciliacao!A330,df_bloqueios_judiciais!G:G,"&lt;0")</f>
        <v/>
      </c>
      <c r="N330" s="10">
        <f>SUMIFS(df_extratos!I:I,df_extratos!F:F,"&gt;="&amp;Conciliacao!BE330,df_extratos!F:F,"&lt;"&amp;Conciliacao!BE330+1,df_extratos!G:G,"DEBITO")
+SUMIFS(df_extratos!I:I,df_extratos!F:F,"&gt;="&amp;Conciliacao!A330, df_extratos!F:F,"&lt;"&amp;Conciliacao!A330+1, df_extratos!G:G,"DEBITO")
+SUMIFS(df_extratos!I:I,df_extratos!F:F,"&gt;="&amp;Conciliacao!BF330,df_extratos!F:F,"&lt;"&amp;Conciliacao!BF330+1,df_extratos!G:G,"DEBITO")
+SUMIFS(df_extratos!I:I,df_extratos!F:F,"&gt;="&amp;Conciliacao!BG330,df_extratos!F:F,"&lt;"&amp;Conciliacao!BG330+1,df_extratos!G:G,"DEBITO")
+SUMIFS(df_extratos!I:I,df_extratos!F:F,"&gt;="&amp;Conciliacao!BH330,df_extratos!F:F,"&lt;"&amp;Conciliacao!BH330+1,df_extratos!G:G,"DEBITO")</f>
        <v/>
      </c>
      <c r="O330" s="11">
        <f>N330-SUM(J330:M330)</f>
        <v/>
      </c>
      <c r="P330" s="25">
        <f>SUMIFS(df_ajustes_conciliaco!D:D,df_ajustes_conciliaco!C:C,Conciliacao!A330)</f>
        <v/>
      </c>
      <c r="Q330" s="22">
        <f>O330+I330-P330</f>
        <v/>
      </c>
      <c r="BE330" s="20" t="n">
        <v>45986.5</v>
      </c>
      <c r="BF330" s="20" t="n">
        <v>45986.125</v>
      </c>
      <c r="BG330" s="20" t="n">
        <v>45986.54166666666</v>
      </c>
      <c r="BH330" s="20" t="n">
        <v>45986.625</v>
      </c>
    </row>
    <row r="331">
      <c r="A331" s="5">
        <f>A330+1</f>
        <v/>
      </c>
      <c r="B331" s="3">
        <f>-SUMIFS(df_extrato_zig!G:G,df_extrato_zig!E:E,Conciliacao!A331,df_extrato_zig!D:D,"Saque")-SUMIFS(df_extrato_zig!G:G,df_extrato_zig!E:E,Conciliacao!A331,df_extrato_zig!D:D,"Antecipação")</f>
        <v/>
      </c>
      <c r="C331" s="3">
        <f>SUMIFS(df_extrato_zig!E:E,df_extrato_zig!L:L,Conciliacao!A331,df_extrato_zig!F:F,"DINHEIRO")</f>
        <v/>
      </c>
      <c r="D331" s="3">
        <f>SUMIFS(view_parc_agrup!H:H,view_parc_agrup!G:G,Conciliacao!A331)</f>
        <v/>
      </c>
      <c r="E331" s="3">
        <f>SUMIFS(df_eventos!F:F,df_eventos!H:H,Conciliacao!A331)</f>
        <v/>
      </c>
      <c r="F331" s="3">
        <f>SUMIFS(df_mutuos!M:M,df_mutuos!B:B,Conciliacao!A331)</f>
        <v/>
      </c>
      <c r="G331" s="6">
        <f>SUMIFS(df_bloqueios_judiciais!G:G,df_bloqueios_judiciais!D:D,Conciliacao!A331,df_bloqueios_judiciais!G:G,"&gt;0")</f>
        <v/>
      </c>
      <c r="H331" s="7">
        <f>SUMIFS(df_extratos!I:I,df_extratos!F:F,"&gt;="&amp;Conciliacao!BE331,df_extratos!F:F,"&lt;"&amp;Conciliacao!BE331+1,df_extratos!G:G,"CREDITO")
+SUMIFS(df_extratos!I:I,df_extratos!F:F,"&gt;="&amp;Conciliacao!A331, df_extratos!F:F,"&lt;"&amp;Conciliacao!A331+1, df_extratos!G:G,"CREDITO")
+SUMIFS(df_extratos!I:I,df_extratos!F:F,"&gt;="&amp;Conciliacao!BF331,df_extratos!F:F,"&lt;"&amp;Conciliacao!BF331+1,df_extratos!G:G,"CREDITO")
+SUMIFS(df_extratos!I:I,df_extratos!F:F,"&gt;="&amp;Conciliacao!BG331,df_extratos!F:F,"&lt;"&amp;Conciliacao!BG331+1,df_extratos!G:G,"CREDITO")
+SUMIFS(df_extratos!I:I,df_extratos!F:F,"&gt;="&amp;Conciliacao!BH331,df_extratos!F:F,"&lt;"&amp;Conciliacao!BH331+1,df_extratos!G:G,"CREDITO")</f>
        <v/>
      </c>
      <c r="I331" s="9">
        <f>H331-SUM(B331:G331)</f>
        <v/>
      </c>
      <c r="J331" s="4">
        <f>SUMIFS(df_blueme_sem_parcelamento!E:E,df_blueme_sem_parcelamento!H:H,Conciliacao!A331)*(-1)</f>
        <v/>
      </c>
      <c r="K331" s="4">
        <f>SUMIFS(df_blueme_com_parcelamento!J:J,df_blueme_com_parcelamento!M:M,Conciliacao!A331)*(-1)</f>
        <v/>
      </c>
      <c r="L331" s="4">
        <f>SUMIFS(df_mutuos!N:N,df_mutuos!B:B,Conciliacao!A331)*(-1)</f>
        <v/>
      </c>
      <c r="M331" s="8">
        <f>SUMIFS(df_bloqueios_judiciais!G:G,df_bloqueios_judiciais!D:D,Conciliacao!A331,df_bloqueios_judiciais!G:G,"&lt;0")</f>
        <v/>
      </c>
      <c r="N331" s="10">
        <f>SUMIFS(df_extratos!I:I,df_extratos!F:F,"&gt;="&amp;Conciliacao!BE331,df_extratos!F:F,"&lt;"&amp;Conciliacao!BE331+1,df_extratos!G:G,"DEBITO")
+SUMIFS(df_extratos!I:I,df_extratos!F:F,"&gt;="&amp;Conciliacao!A331, df_extratos!F:F,"&lt;"&amp;Conciliacao!A331+1, df_extratos!G:G,"DEBITO")
+SUMIFS(df_extratos!I:I,df_extratos!F:F,"&gt;="&amp;Conciliacao!BF331,df_extratos!F:F,"&lt;"&amp;Conciliacao!BF331+1,df_extratos!G:G,"DEBITO")
+SUMIFS(df_extratos!I:I,df_extratos!F:F,"&gt;="&amp;Conciliacao!BG331,df_extratos!F:F,"&lt;"&amp;Conciliacao!BG331+1,df_extratos!G:G,"DEBITO")
+SUMIFS(df_extratos!I:I,df_extratos!F:F,"&gt;="&amp;Conciliacao!BH331,df_extratos!F:F,"&lt;"&amp;Conciliacao!BH331+1,df_extratos!G:G,"DEBITO")</f>
        <v/>
      </c>
      <c r="O331" s="11">
        <f>N331-SUM(J331:M331)</f>
        <v/>
      </c>
      <c r="P331" s="25">
        <f>SUMIFS(df_ajustes_conciliaco!D:D,df_ajustes_conciliaco!C:C,Conciliacao!A331)</f>
        <v/>
      </c>
      <c r="Q331" s="22">
        <f>O331+I331-P331</f>
        <v/>
      </c>
      <c r="BE331" s="20" t="n">
        <v>45987.5</v>
      </c>
      <c r="BF331" s="20" t="n">
        <v>45987.125</v>
      </c>
      <c r="BG331" s="20" t="n">
        <v>45987.54166666666</v>
      </c>
      <c r="BH331" s="20" t="n">
        <v>45987.625</v>
      </c>
    </row>
    <row r="332">
      <c r="A332" s="5">
        <f>A331+1</f>
        <v/>
      </c>
      <c r="B332" s="3">
        <f>-SUMIFS(df_extrato_zig!G:G,df_extrato_zig!E:E,Conciliacao!A332,df_extrato_zig!D:D,"Saque")-SUMIFS(df_extrato_zig!G:G,df_extrato_zig!E:E,Conciliacao!A332,df_extrato_zig!D:D,"Antecipação")</f>
        <v/>
      </c>
      <c r="C332" s="3">
        <f>SUMIFS(df_extrato_zig!E:E,df_extrato_zig!L:L,Conciliacao!A332,df_extrato_zig!F:F,"DINHEIRO")</f>
        <v/>
      </c>
      <c r="D332" s="3">
        <f>SUMIFS(view_parc_agrup!H:H,view_parc_agrup!G:G,Conciliacao!A332)</f>
        <v/>
      </c>
      <c r="E332" s="3">
        <f>SUMIFS(df_eventos!F:F,df_eventos!H:H,Conciliacao!A332)</f>
        <v/>
      </c>
      <c r="F332" s="3">
        <f>SUMIFS(df_mutuos!M:M,df_mutuos!B:B,Conciliacao!A332)</f>
        <v/>
      </c>
      <c r="G332" s="6">
        <f>SUMIFS(df_bloqueios_judiciais!G:G,df_bloqueios_judiciais!D:D,Conciliacao!A332,df_bloqueios_judiciais!G:G,"&gt;0")</f>
        <v/>
      </c>
      <c r="H332" s="7">
        <f>SUMIFS(df_extratos!I:I,df_extratos!F:F,"&gt;="&amp;Conciliacao!BE332,df_extratos!F:F,"&lt;"&amp;Conciliacao!BE332+1,df_extratos!G:G,"CREDITO")
+SUMIFS(df_extratos!I:I,df_extratos!F:F,"&gt;="&amp;Conciliacao!A332, df_extratos!F:F,"&lt;"&amp;Conciliacao!A332+1, df_extratos!G:G,"CREDITO")
+SUMIFS(df_extratos!I:I,df_extratos!F:F,"&gt;="&amp;Conciliacao!BF332,df_extratos!F:F,"&lt;"&amp;Conciliacao!BF332+1,df_extratos!G:G,"CREDITO")
+SUMIFS(df_extratos!I:I,df_extratos!F:F,"&gt;="&amp;Conciliacao!BG332,df_extratos!F:F,"&lt;"&amp;Conciliacao!BG332+1,df_extratos!G:G,"CREDITO")
+SUMIFS(df_extratos!I:I,df_extratos!F:F,"&gt;="&amp;Conciliacao!BH332,df_extratos!F:F,"&lt;"&amp;Conciliacao!BH332+1,df_extratos!G:G,"CREDITO")</f>
        <v/>
      </c>
      <c r="I332" s="9">
        <f>H332-SUM(B332:G332)</f>
        <v/>
      </c>
      <c r="J332" s="4">
        <f>SUMIFS(df_blueme_sem_parcelamento!E:E,df_blueme_sem_parcelamento!H:H,Conciliacao!A332)*(-1)</f>
        <v/>
      </c>
      <c r="K332" s="4">
        <f>SUMIFS(df_blueme_com_parcelamento!J:J,df_blueme_com_parcelamento!M:M,Conciliacao!A332)*(-1)</f>
        <v/>
      </c>
      <c r="L332" s="4">
        <f>SUMIFS(df_mutuos!N:N,df_mutuos!B:B,Conciliacao!A332)*(-1)</f>
        <v/>
      </c>
      <c r="M332" s="8">
        <f>SUMIFS(df_bloqueios_judiciais!G:G,df_bloqueios_judiciais!D:D,Conciliacao!A332,df_bloqueios_judiciais!G:G,"&lt;0")</f>
        <v/>
      </c>
      <c r="N332" s="10">
        <f>SUMIFS(df_extratos!I:I,df_extratos!F:F,"&gt;="&amp;Conciliacao!BE332,df_extratos!F:F,"&lt;"&amp;Conciliacao!BE332+1,df_extratos!G:G,"DEBITO")
+SUMIFS(df_extratos!I:I,df_extratos!F:F,"&gt;="&amp;Conciliacao!A332, df_extratos!F:F,"&lt;"&amp;Conciliacao!A332+1, df_extratos!G:G,"DEBITO")
+SUMIFS(df_extratos!I:I,df_extratos!F:F,"&gt;="&amp;Conciliacao!BF332,df_extratos!F:F,"&lt;"&amp;Conciliacao!BF332+1,df_extratos!G:G,"DEBITO")
+SUMIFS(df_extratos!I:I,df_extratos!F:F,"&gt;="&amp;Conciliacao!BG332,df_extratos!F:F,"&lt;"&amp;Conciliacao!BG332+1,df_extratos!G:G,"DEBITO")
+SUMIFS(df_extratos!I:I,df_extratos!F:F,"&gt;="&amp;Conciliacao!BH332,df_extratos!F:F,"&lt;"&amp;Conciliacao!BH332+1,df_extratos!G:G,"DEBITO")</f>
        <v/>
      </c>
      <c r="O332" s="11">
        <f>N332-SUM(J332:M332)</f>
        <v/>
      </c>
      <c r="P332" s="25">
        <f>SUMIFS(df_ajustes_conciliaco!D:D,df_ajustes_conciliaco!C:C,Conciliacao!A332)</f>
        <v/>
      </c>
      <c r="Q332" s="22">
        <f>O332+I332-P332</f>
        <v/>
      </c>
      <c r="BE332" s="20" t="n">
        <v>45988.5</v>
      </c>
      <c r="BF332" s="20" t="n">
        <v>45988.125</v>
      </c>
      <c r="BG332" s="20" t="n">
        <v>45988.54166666666</v>
      </c>
      <c r="BH332" s="20" t="n">
        <v>45988.625</v>
      </c>
    </row>
    <row r="333">
      <c r="A333" s="5">
        <f>A332+1</f>
        <v/>
      </c>
      <c r="B333" s="3">
        <f>-SUMIFS(df_extrato_zig!G:G,df_extrato_zig!E:E,Conciliacao!A333,df_extrato_zig!D:D,"Saque")-SUMIFS(df_extrato_zig!G:G,df_extrato_zig!E:E,Conciliacao!A333,df_extrato_zig!D:D,"Antecipação")</f>
        <v/>
      </c>
      <c r="C333" s="3">
        <f>SUMIFS(df_extrato_zig!E:E,df_extrato_zig!L:L,Conciliacao!A333,df_extrato_zig!F:F,"DINHEIRO")</f>
        <v/>
      </c>
      <c r="D333" s="3">
        <f>SUMIFS(view_parc_agrup!H:H,view_parc_agrup!G:G,Conciliacao!A333)</f>
        <v/>
      </c>
      <c r="E333" s="3">
        <f>SUMIFS(df_eventos!F:F,df_eventos!H:H,Conciliacao!A333)</f>
        <v/>
      </c>
      <c r="F333" s="3">
        <f>SUMIFS(df_mutuos!M:M,df_mutuos!B:B,Conciliacao!A333)</f>
        <v/>
      </c>
      <c r="G333" s="6">
        <f>SUMIFS(df_bloqueios_judiciais!G:G,df_bloqueios_judiciais!D:D,Conciliacao!A333,df_bloqueios_judiciais!G:G,"&gt;0")</f>
        <v/>
      </c>
      <c r="H333" s="7">
        <f>SUMIFS(df_extratos!I:I,df_extratos!F:F,"&gt;="&amp;Conciliacao!BE333,df_extratos!F:F,"&lt;"&amp;Conciliacao!BE333+1,df_extratos!G:G,"CREDITO")
+SUMIFS(df_extratos!I:I,df_extratos!F:F,"&gt;="&amp;Conciliacao!A333, df_extratos!F:F,"&lt;"&amp;Conciliacao!A333+1, df_extratos!G:G,"CREDITO")
+SUMIFS(df_extratos!I:I,df_extratos!F:F,"&gt;="&amp;Conciliacao!BF333,df_extratos!F:F,"&lt;"&amp;Conciliacao!BF333+1,df_extratos!G:G,"CREDITO")
+SUMIFS(df_extratos!I:I,df_extratos!F:F,"&gt;="&amp;Conciliacao!BG333,df_extratos!F:F,"&lt;"&amp;Conciliacao!BG333+1,df_extratos!G:G,"CREDITO")
+SUMIFS(df_extratos!I:I,df_extratos!F:F,"&gt;="&amp;Conciliacao!BH333,df_extratos!F:F,"&lt;"&amp;Conciliacao!BH333+1,df_extratos!G:G,"CREDITO")</f>
        <v/>
      </c>
      <c r="I333" s="9">
        <f>H333-SUM(B333:G333)</f>
        <v/>
      </c>
      <c r="J333" s="4">
        <f>SUMIFS(df_blueme_sem_parcelamento!E:E,df_blueme_sem_parcelamento!H:H,Conciliacao!A333)*(-1)</f>
        <v/>
      </c>
      <c r="K333" s="4">
        <f>SUMIFS(df_blueme_com_parcelamento!J:J,df_blueme_com_parcelamento!M:M,Conciliacao!A333)*(-1)</f>
        <v/>
      </c>
      <c r="L333" s="4">
        <f>SUMIFS(df_mutuos!N:N,df_mutuos!B:B,Conciliacao!A333)*(-1)</f>
        <v/>
      </c>
      <c r="M333" s="8">
        <f>SUMIFS(df_bloqueios_judiciais!G:G,df_bloqueios_judiciais!D:D,Conciliacao!A333,df_bloqueios_judiciais!G:G,"&lt;0")</f>
        <v/>
      </c>
      <c r="N333" s="10">
        <f>SUMIFS(df_extratos!I:I,df_extratos!F:F,"&gt;="&amp;Conciliacao!BE333,df_extratos!F:F,"&lt;"&amp;Conciliacao!BE333+1,df_extratos!G:G,"DEBITO")
+SUMIFS(df_extratos!I:I,df_extratos!F:F,"&gt;="&amp;Conciliacao!A333, df_extratos!F:F,"&lt;"&amp;Conciliacao!A333+1, df_extratos!G:G,"DEBITO")
+SUMIFS(df_extratos!I:I,df_extratos!F:F,"&gt;="&amp;Conciliacao!BF333,df_extratos!F:F,"&lt;"&amp;Conciliacao!BF333+1,df_extratos!G:G,"DEBITO")
+SUMIFS(df_extratos!I:I,df_extratos!F:F,"&gt;="&amp;Conciliacao!BG333,df_extratos!F:F,"&lt;"&amp;Conciliacao!BG333+1,df_extratos!G:G,"DEBITO")
+SUMIFS(df_extratos!I:I,df_extratos!F:F,"&gt;="&amp;Conciliacao!BH333,df_extratos!F:F,"&lt;"&amp;Conciliacao!BH333+1,df_extratos!G:G,"DEBITO")</f>
        <v/>
      </c>
      <c r="O333" s="11">
        <f>N333-SUM(J333:M333)</f>
        <v/>
      </c>
      <c r="P333" s="25">
        <f>SUMIFS(df_ajustes_conciliaco!D:D,df_ajustes_conciliaco!C:C,Conciliacao!A333)</f>
        <v/>
      </c>
      <c r="Q333" s="22">
        <f>O333+I333-P333</f>
        <v/>
      </c>
      <c r="BE333" s="20" t="n">
        <v>45989.5</v>
      </c>
      <c r="BF333" s="20" t="n">
        <v>45989.125</v>
      </c>
      <c r="BG333" s="20" t="n">
        <v>45989.54166666666</v>
      </c>
      <c r="BH333" s="20" t="n">
        <v>45989.625</v>
      </c>
    </row>
    <row r="334">
      <c r="A334" s="5">
        <f>A333+1</f>
        <v/>
      </c>
      <c r="B334" s="3">
        <f>-SUMIFS(df_extrato_zig!G:G,df_extrato_zig!E:E,Conciliacao!A334,df_extrato_zig!D:D,"Saque")-SUMIFS(df_extrato_zig!G:G,df_extrato_zig!E:E,Conciliacao!A334,df_extrato_zig!D:D,"Antecipação")</f>
        <v/>
      </c>
      <c r="C334" s="3">
        <f>SUMIFS(df_extrato_zig!E:E,df_extrato_zig!L:L,Conciliacao!A334,df_extrato_zig!F:F,"DINHEIRO")</f>
        <v/>
      </c>
      <c r="D334" s="3">
        <f>SUMIFS(view_parc_agrup!H:H,view_parc_agrup!G:G,Conciliacao!A334)</f>
        <v/>
      </c>
      <c r="E334" s="3">
        <f>SUMIFS(df_eventos!F:F,df_eventos!H:H,Conciliacao!A334)</f>
        <v/>
      </c>
      <c r="F334" s="3">
        <f>SUMIFS(df_mutuos!M:M,df_mutuos!B:B,Conciliacao!A334)</f>
        <v/>
      </c>
      <c r="G334" s="6">
        <f>SUMIFS(df_bloqueios_judiciais!G:G,df_bloqueios_judiciais!D:D,Conciliacao!A334,df_bloqueios_judiciais!G:G,"&gt;0")</f>
        <v/>
      </c>
      <c r="H334" s="7">
        <f>SUMIFS(df_extratos!I:I,df_extratos!F:F,"&gt;="&amp;Conciliacao!BE334,df_extratos!F:F,"&lt;"&amp;Conciliacao!BE334+1,df_extratos!G:G,"CREDITO")
+SUMIFS(df_extratos!I:I,df_extratos!F:F,"&gt;="&amp;Conciliacao!A334, df_extratos!F:F,"&lt;"&amp;Conciliacao!A334+1, df_extratos!G:G,"CREDITO")
+SUMIFS(df_extratos!I:I,df_extratos!F:F,"&gt;="&amp;Conciliacao!BF334,df_extratos!F:F,"&lt;"&amp;Conciliacao!BF334+1,df_extratos!G:G,"CREDITO")
+SUMIFS(df_extratos!I:I,df_extratos!F:F,"&gt;="&amp;Conciliacao!BG334,df_extratos!F:F,"&lt;"&amp;Conciliacao!BG334+1,df_extratos!G:G,"CREDITO")
+SUMIFS(df_extratos!I:I,df_extratos!F:F,"&gt;="&amp;Conciliacao!BH334,df_extratos!F:F,"&lt;"&amp;Conciliacao!BH334+1,df_extratos!G:G,"CREDITO")</f>
        <v/>
      </c>
      <c r="I334" s="9">
        <f>H334-SUM(B334:G334)</f>
        <v/>
      </c>
      <c r="J334" s="4">
        <f>SUMIFS(df_blueme_sem_parcelamento!E:E,df_blueme_sem_parcelamento!H:H,Conciliacao!A334)*(-1)</f>
        <v/>
      </c>
      <c r="K334" s="4">
        <f>SUMIFS(df_blueme_com_parcelamento!J:J,df_blueme_com_parcelamento!M:M,Conciliacao!A334)*(-1)</f>
        <v/>
      </c>
      <c r="L334" s="4">
        <f>SUMIFS(df_mutuos!N:N,df_mutuos!B:B,Conciliacao!A334)*(-1)</f>
        <v/>
      </c>
      <c r="M334" s="8">
        <f>SUMIFS(df_bloqueios_judiciais!G:G,df_bloqueios_judiciais!D:D,Conciliacao!A334,df_bloqueios_judiciais!G:G,"&lt;0")</f>
        <v/>
      </c>
      <c r="N334" s="10">
        <f>SUMIFS(df_extratos!I:I,df_extratos!F:F,"&gt;="&amp;Conciliacao!BE334,df_extratos!F:F,"&lt;"&amp;Conciliacao!BE334+1,df_extratos!G:G,"DEBITO")
+SUMIFS(df_extratos!I:I,df_extratos!F:F,"&gt;="&amp;Conciliacao!A334, df_extratos!F:F,"&lt;"&amp;Conciliacao!A334+1, df_extratos!G:G,"DEBITO")
+SUMIFS(df_extratos!I:I,df_extratos!F:F,"&gt;="&amp;Conciliacao!BF334,df_extratos!F:F,"&lt;"&amp;Conciliacao!BF334+1,df_extratos!G:G,"DEBITO")
+SUMIFS(df_extratos!I:I,df_extratos!F:F,"&gt;="&amp;Conciliacao!BG334,df_extratos!F:F,"&lt;"&amp;Conciliacao!BG334+1,df_extratos!G:G,"DEBITO")
+SUMIFS(df_extratos!I:I,df_extratos!F:F,"&gt;="&amp;Conciliacao!BH334,df_extratos!F:F,"&lt;"&amp;Conciliacao!BH334+1,df_extratos!G:G,"DEBITO")</f>
        <v/>
      </c>
      <c r="O334" s="11">
        <f>N334-SUM(J334:M334)</f>
        <v/>
      </c>
      <c r="P334" s="25">
        <f>SUMIFS(df_ajustes_conciliaco!D:D,df_ajustes_conciliaco!C:C,Conciliacao!A334)</f>
        <v/>
      </c>
      <c r="Q334" s="22">
        <f>O334+I334-P334</f>
        <v/>
      </c>
      <c r="BE334" s="20" t="n">
        <v>45990.5</v>
      </c>
      <c r="BF334" s="20" t="n">
        <v>45990.125</v>
      </c>
      <c r="BG334" s="20" t="n">
        <v>45990.54166666666</v>
      </c>
      <c r="BH334" s="20" t="n">
        <v>45990.625</v>
      </c>
    </row>
    <row r="335">
      <c r="A335" s="5">
        <f>A334+1</f>
        <v/>
      </c>
      <c r="B335" s="3">
        <f>-SUMIFS(df_extrato_zig!G:G,df_extrato_zig!E:E,Conciliacao!A335,df_extrato_zig!D:D,"Saque")-SUMIFS(df_extrato_zig!G:G,df_extrato_zig!E:E,Conciliacao!A335,df_extrato_zig!D:D,"Antecipação")</f>
        <v/>
      </c>
      <c r="C335" s="3">
        <f>SUMIFS(df_extrato_zig!E:E,df_extrato_zig!L:L,Conciliacao!A335,df_extrato_zig!F:F,"DINHEIRO")</f>
        <v/>
      </c>
      <c r="D335" s="3">
        <f>SUMIFS(view_parc_agrup!H:H,view_parc_agrup!G:G,Conciliacao!A335)</f>
        <v/>
      </c>
      <c r="E335" s="3">
        <f>SUMIFS(df_eventos!F:F,df_eventos!H:H,Conciliacao!A335)</f>
        <v/>
      </c>
      <c r="F335" s="3">
        <f>SUMIFS(df_mutuos!M:M,df_mutuos!B:B,Conciliacao!A335)</f>
        <v/>
      </c>
      <c r="G335" s="6">
        <f>SUMIFS(df_bloqueios_judiciais!G:G,df_bloqueios_judiciais!D:D,Conciliacao!A335,df_bloqueios_judiciais!G:G,"&gt;0")</f>
        <v/>
      </c>
      <c r="H335" s="7">
        <f>SUMIFS(df_extratos!I:I,df_extratos!F:F,"&gt;="&amp;Conciliacao!BE335,df_extratos!F:F,"&lt;"&amp;Conciliacao!BE335+1,df_extratos!G:G,"CREDITO")
+SUMIFS(df_extratos!I:I,df_extratos!F:F,"&gt;="&amp;Conciliacao!A335, df_extratos!F:F,"&lt;"&amp;Conciliacao!A335+1, df_extratos!G:G,"CREDITO")
+SUMIFS(df_extratos!I:I,df_extratos!F:F,"&gt;="&amp;Conciliacao!BF335,df_extratos!F:F,"&lt;"&amp;Conciliacao!BF335+1,df_extratos!G:G,"CREDITO")
+SUMIFS(df_extratos!I:I,df_extratos!F:F,"&gt;="&amp;Conciliacao!BG335,df_extratos!F:F,"&lt;"&amp;Conciliacao!BG335+1,df_extratos!G:G,"CREDITO")
+SUMIFS(df_extratos!I:I,df_extratos!F:F,"&gt;="&amp;Conciliacao!BH335,df_extratos!F:F,"&lt;"&amp;Conciliacao!BH335+1,df_extratos!G:G,"CREDITO")</f>
        <v/>
      </c>
      <c r="I335" s="9">
        <f>H335-SUM(B335:G335)</f>
        <v/>
      </c>
      <c r="J335" s="4">
        <f>SUMIFS(df_blueme_sem_parcelamento!E:E,df_blueme_sem_parcelamento!H:H,Conciliacao!A335)*(-1)</f>
        <v/>
      </c>
      <c r="K335" s="4">
        <f>SUMIFS(df_blueme_com_parcelamento!J:J,df_blueme_com_parcelamento!M:M,Conciliacao!A335)*(-1)</f>
        <v/>
      </c>
      <c r="L335" s="4">
        <f>SUMIFS(df_mutuos!N:N,df_mutuos!B:B,Conciliacao!A335)*(-1)</f>
        <v/>
      </c>
      <c r="M335" s="8">
        <f>SUMIFS(df_bloqueios_judiciais!G:G,df_bloqueios_judiciais!D:D,Conciliacao!A335,df_bloqueios_judiciais!G:G,"&lt;0")</f>
        <v/>
      </c>
      <c r="N335" s="10">
        <f>SUMIFS(df_extratos!I:I,df_extratos!F:F,"&gt;="&amp;Conciliacao!BE335,df_extratos!F:F,"&lt;"&amp;Conciliacao!BE335+1,df_extratos!G:G,"DEBITO")
+SUMIFS(df_extratos!I:I,df_extratos!F:F,"&gt;="&amp;Conciliacao!A335, df_extratos!F:F,"&lt;"&amp;Conciliacao!A335+1, df_extratos!G:G,"DEBITO")
+SUMIFS(df_extratos!I:I,df_extratos!F:F,"&gt;="&amp;Conciliacao!BF335,df_extratos!F:F,"&lt;"&amp;Conciliacao!BF335+1,df_extratos!G:G,"DEBITO")
+SUMIFS(df_extratos!I:I,df_extratos!F:F,"&gt;="&amp;Conciliacao!BG335,df_extratos!F:F,"&lt;"&amp;Conciliacao!BG335+1,df_extratos!G:G,"DEBITO")
+SUMIFS(df_extratos!I:I,df_extratos!F:F,"&gt;="&amp;Conciliacao!BH335,df_extratos!F:F,"&lt;"&amp;Conciliacao!BH335+1,df_extratos!G:G,"DEBITO")</f>
        <v/>
      </c>
      <c r="O335" s="11">
        <f>N335-SUM(J335:M335)</f>
        <v/>
      </c>
      <c r="P335" s="25">
        <f>SUMIFS(df_ajustes_conciliaco!D:D,df_ajustes_conciliaco!C:C,Conciliacao!A335)</f>
        <v/>
      </c>
      <c r="Q335" s="22">
        <f>O335+I335-P335</f>
        <v/>
      </c>
      <c r="BE335" s="20" t="n">
        <v>45991.5</v>
      </c>
      <c r="BF335" s="20" t="n">
        <v>45991.125</v>
      </c>
      <c r="BG335" s="20" t="n">
        <v>45991.54166666666</v>
      </c>
      <c r="BH335" s="20" t="n">
        <v>45991.625</v>
      </c>
    </row>
    <row r="336">
      <c r="A336" s="5">
        <f>A335+1</f>
        <v/>
      </c>
      <c r="B336" s="3">
        <f>-SUMIFS(df_extrato_zig!G:G,df_extrato_zig!E:E,Conciliacao!A336,df_extrato_zig!D:D,"Saque")-SUMIFS(df_extrato_zig!G:G,df_extrato_zig!E:E,Conciliacao!A336,df_extrato_zig!D:D,"Antecipação")</f>
        <v/>
      </c>
      <c r="C336" s="3">
        <f>SUMIFS(df_extrato_zig!E:E,df_extrato_zig!L:L,Conciliacao!A336,df_extrato_zig!F:F,"DINHEIRO")</f>
        <v/>
      </c>
      <c r="D336" s="3">
        <f>SUMIFS(view_parc_agrup!H:H,view_parc_agrup!G:G,Conciliacao!A336)</f>
        <v/>
      </c>
      <c r="E336" s="3">
        <f>SUMIFS(df_eventos!F:F,df_eventos!H:H,Conciliacao!A336)</f>
        <v/>
      </c>
      <c r="F336" s="3">
        <f>SUMIFS(df_mutuos!M:M,df_mutuos!B:B,Conciliacao!A336)</f>
        <v/>
      </c>
      <c r="G336" s="6">
        <f>SUMIFS(df_bloqueios_judiciais!G:G,df_bloqueios_judiciais!D:D,Conciliacao!A336,df_bloqueios_judiciais!G:G,"&gt;0")</f>
        <v/>
      </c>
      <c r="H336" s="7">
        <f>SUMIFS(df_extratos!I:I,df_extratos!F:F,"&gt;="&amp;Conciliacao!BE336,df_extratos!F:F,"&lt;"&amp;Conciliacao!BE336+1,df_extratos!G:G,"CREDITO")
+SUMIFS(df_extratos!I:I,df_extratos!F:F,"&gt;="&amp;Conciliacao!A336, df_extratos!F:F,"&lt;"&amp;Conciliacao!A336+1, df_extratos!G:G,"CREDITO")
+SUMIFS(df_extratos!I:I,df_extratos!F:F,"&gt;="&amp;Conciliacao!BF336,df_extratos!F:F,"&lt;"&amp;Conciliacao!BF336+1,df_extratos!G:G,"CREDITO")
+SUMIFS(df_extratos!I:I,df_extratos!F:F,"&gt;="&amp;Conciliacao!BG336,df_extratos!F:F,"&lt;"&amp;Conciliacao!BG336+1,df_extratos!G:G,"CREDITO")
+SUMIFS(df_extratos!I:I,df_extratos!F:F,"&gt;="&amp;Conciliacao!BH336,df_extratos!F:F,"&lt;"&amp;Conciliacao!BH336+1,df_extratos!G:G,"CREDITO")</f>
        <v/>
      </c>
      <c r="I336" s="9">
        <f>H336-SUM(B336:G336)</f>
        <v/>
      </c>
      <c r="J336" s="4">
        <f>SUMIFS(df_blueme_sem_parcelamento!E:E,df_blueme_sem_parcelamento!H:H,Conciliacao!A336)*(-1)</f>
        <v/>
      </c>
      <c r="K336" s="4">
        <f>SUMIFS(df_blueme_com_parcelamento!J:J,df_blueme_com_parcelamento!M:M,Conciliacao!A336)*(-1)</f>
        <v/>
      </c>
      <c r="L336" s="4">
        <f>SUMIFS(df_mutuos!N:N,df_mutuos!B:B,Conciliacao!A336)*(-1)</f>
        <v/>
      </c>
      <c r="M336" s="8">
        <f>SUMIFS(df_bloqueios_judiciais!G:G,df_bloqueios_judiciais!D:D,Conciliacao!A336,df_bloqueios_judiciais!G:G,"&lt;0")</f>
        <v/>
      </c>
      <c r="N336" s="10">
        <f>SUMIFS(df_extratos!I:I,df_extratos!F:F,"&gt;="&amp;Conciliacao!BE336,df_extratos!F:F,"&lt;"&amp;Conciliacao!BE336+1,df_extratos!G:G,"DEBITO")
+SUMIFS(df_extratos!I:I,df_extratos!F:F,"&gt;="&amp;Conciliacao!A336, df_extratos!F:F,"&lt;"&amp;Conciliacao!A336+1, df_extratos!G:G,"DEBITO")
+SUMIFS(df_extratos!I:I,df_extratos!F:F,"&gt;="&amp;Conciliacao!BF336,df_extratos!F:F,"&lt;"&amp;Conciliacao!BF336+1,df_extratos!G:G,"DEBITO")
+SUMIFS(df_extratos!I:I,df_extratos!F:F,"&gt;="&amp;Conciliacao!BG336,df_extratos!F:F,"&lt;"&amp;Conciliacao!BG336+1,df_extratos!G:G,"DEBITO")
+SUMIFS(df_extratos!I:I,df_extratos!F:F,"&gt;="&amp;Conciliacao!BH336,df_extratos!F:F,"&lt;"&amp;Conciliacao!BH336+1,df_extratos!G:G,"DEBITO")</f>
        <v/>
      </c>
      <c r="O336" s="11">
        <f>N336-SUM(J336:M336)</f>
        <v/>
      </c>
      <c r="P336" s="25">
        <f>SUMIFS(df_ajustes_conciliaco!D:D,df_ajustes_conciliaco!C:C,Conciliacao!A336)</f>
        <v/>
      </c>
      <c r="Q336" s="22">
        <f>O336+I336-P336</f>
        <v/>
      </c>
      <c r="BE336" s="20" t="n">
        <v>45992.5</v>
      </c>
      <c r="BF336" s="20" t="n">
        <v>45992.125</v>
      </c>
      <c r="BG336" s="20" t="n">
        <v>45992.54166666666</v>
      </c>
      <c r="BH336" s="20" t="n">
        <v>45992.625</v>
      </c>
    </row>
    <row r="337">
      <c r="A337" s="5">
        <f>A336+1</f>
        <v/>
      </c>
      <c r="B337" s="3">
        <f>-SUMIFS(df_extrato_zig!G:G,df_extrato_zig!E:E,Conciliacao!A337,df_extrato_zig!D:D,"Saque")-SUMIFS(df_extrato_zig!G:G,df_extrato_zig!E:E,Conciliacao!A337,df_extrato_zig!D:D,"Antecipação")</f>
        <v/>
      </c>
      <c r="C337" s="3">
        <f>SUMIFS(df_extrato_zig!E:E,df_extrato_zig!L:L,Conciliacao!A337,df_extrato_zig!F:F,"DINHEIRO")</f>
        <v/>
      </c>
      <c r="D337" s="3">
        <f>SUMIFS(view_parc_agrup!H:H,view_parc_agrup!G:G,Conciliacao!A337)</f>
        <v/>
      </c>
      <c r="E337" s="3">
        <f>SUMIFS(df_eventos!F:F,df_eventos!H:H,Conciliacao!A337)</f>
        <v/>
      </c>
      <c r="F337" s="3">
        <f>SUMIFS(df_mutuos!M:M,df_mutuos!B:B,Conciliacao!A337)</f>
        <v/>
      </c>
      <c r="G337" s="6">
        <f>SUMIFS(df_bloqueios_judiciais!G:G,df_bloqueios_judiciais!D:D,Conciliacao!A337,df_bloqueios_judiciais!G:G,"&gt;0")</f>
        <v/>
      </c>
      <c r="H337" s="7">
        <f>SUMIFS(df_extratos!I:I,df_extratos!F:F,"&gt;="&amp;Conciliacao!BE337,df_extratos!F:F,"&lt;"&amp;Conciliacao!BE337+1,df_extratos!G:G,"CREDITO")
+SUMIFS(df_extratos!I:I,df_extratos!F:F,"&gt;="&amp;Conciliacao!A337, df_extratos!F:F,"&lt;"&amp;Conciliacao!A337+1, df_extratos!G:G,"CREDITO")
+SUMIFS(df_extratos!I:I,df_extratos!F:F,"&gt;="&amp;Conciliacao!BF337,df_extratos!F:F,"&lt;"&amp;Conciliacao!BF337+1,df_extratos!G:G,"CREDITO")
+SUMIFS(df_extratos!I:I,df_extratos!F:F,"&gt;="&amp;Conciliacao!BG337,df_extratos!F:F,"&lt;"&amp;Conciliacao!BG337+1,df_extratos!G:G,"CREDITO")
+SUMIFS(df_extratos!I:I,df_extratos!F:F,"&gt;="&amp;Conciliacao!BH337,df_extratos!F:F,"&lt;"&amp;Conciliacao!BH337+1,df_extratos!G:G,"CREDITO")</f>
        <v/>
      </c>
      <c r="I337" s="9">
        <f>H337-SUM(B337:G337)</f>
        <v/>
      </c>
      <c r="J337" s="4">
        <f>SUMIFS(df_blueme_sem_parcelamento!E:E,df_blueme_sem_parcelamento!H:H,Conciliacao!A337)*(-1)</f>
        <v/>
      </c>
      <c r="K337" s="4">
        <f>SUMIFS(df_blueme_com_parcelamento!J:J,df_blueme_com_parcelamento!M:M,Conciliacao!A337)*(-1)</f>
        <v/>
      </c>
      <c r="L337" s="4">
        <f>SUMIFS(df_mutuos!N:N,df_mutuos!B:B,Conciliacao!A337)*(-1)</f>
        <v/>
      </c>
      <c r="M337" s="8">
        <f>SUMIFS(df_bloqueios_judiciais!G:G,df_bloqueios_judiciais!D:D,Conciliacao!A337,df_bloqueios_judiciais!G:G,"&lt;0")</f>
        <v/>
      </c>
      <c r="N337" s="10">
        <f>SUMIFS(df_extratos!I:I,df_extratos!F:F,"&gt;="&amp;Conciliacao!BE337,df_extratos!F:F,"&lt;"&amp;Conciliacao!BE337+1,df_extratos!G:G,"DEBITO")
+SUMIFS(df_extratos!I:I,df_extratos!F:F,"&gt;="&amp;Conciliacao!A337, df_extratos!F:F,"&lt;"&amp;Conciliacao!A337+1, df_extratos!G:G,"DEBITO")
+SUMIFS(df_extratos!I:I,df_extratos!F:F,"&gt;="&amp;Conciliacao!BF337,df_extratos!F:F,"&lt;"&amp;Conciliacao!BF337+1,df_extratos!G:G,"DEBITO")
+SUMIFS(df_extratos!I:I,df_extratos!F:F,"&gt;="&amp;Conciliacao!BG337,df_extratos!F:F,"&lt;"&amp;Conciliacao!BG337+1,df_extratos!G:G,"DEBITO")
+SUMIFS(df_extratos!I:I,df_extratos!F:F,"&gt;="&amp;Conciliacao!BH337,df_extratos!F:F,"&lt;"&amp;Conciliacao!BH337+1,df_extratos!G:G,"DEBITO")</f>
        <v/>
      </c>
      <c r="O337" s="11">
        <f>N337-SUM(J337:M337)</f>
        <v/>
      </c>
      <c r="P337" s="25">
        <f>SUMIFS(df_ajustes_conciliaco!D:D,df_ajustes_conciliaco!C:C,Conciliacao!A337)</f>
        <v/>
      </c>
      <c r="Q337" s="22">
        <f>O337+I337-P337</f>
        <v/>
      </c>
      <c r="BE337" s="20" t="n">
        <v>45993.5</v>
      </c>
      <c r="BF337" s="20" t="n">
        <v>45993.125</v>
      </c>
      <c r="BG337" s="20" t="n">
        <v>45993.54166666666</v>
      </c>
      <c r="BH337" s="20" t="n">
        <v>45993.625</v>
      </c>
    </row>
    <row r="338">
      <c r="A338" s="5">
        <f>A337+1</f>
        <v/>
      </c>
      <c r="B338" s="3">
        <f>-SUMIFS(df_extrato_zig!G:G,df_extrato_zig!E:E,Conciliacao!A338,df_extrato_zig!D:D,"Saque")-SUMIFS(df_extrato_zig!G:G,df_extrato_zig!E:E,Conciliacao!A338,df_extrato_zig!D:D,"Antecipação")</f>
        <v/>
      </c>
      <c r="C338" s="3">
        <f>SUMIFS(df_extrato_zig!E:E,df_extrato_zig!L:L,Conciliacao!A338,df_extrato_zig!F:F,"DINHEIRO")</f>
        <v/>
      </c>
      <c r="D338" s="3">
        <f>SUMIFS(view_parc_agrup!H:H,view_parc_agrup!G:G,Conciliacao!A338)</f>
        <v/>
      </c>
      <c r="E338" s="3">
        <f>SUMIFS(df_eventos!F:F,df_eventos!H:H,Conciliacao!A338)</f>
        <v/>
      </c>
      <c r="F338" s="3">
        <f>SUMIFS(df_mutuos!M:M,df_mutuos!B:B,Conciliacao!A338)</f>
        <v/>
      </c>
      <c r="G338" s="6">
        <f>SUMIFS(df_bloqueios_judiciais!G:G,df_bloqueios_judiciais!D:D,Conciliacao!A338,df_bloqueios_judiciais!G:G,"&gt;0")</f>
        <v/>
      </c>
      <c r="H338" s="7">
        <f>SUMIFS(df_extratos!I:I,df_extratos!F:F,"&gt;="&amp;Conciliacao!BE338,df_extratos!F:F,"&lt;"&amp;Conciliacao!BE338+1,df_extratos!G:G,"CREDITO")
+SUMIFS(df_extratos!I:I,df_extratos!F:F,"&gt;="&amp;Conciliacao!A338, df_extratos!F:F,"&lt;"&amp;Conciliacao!A338+1, df_extratos!G:G,"CREDITO")
+SUMIFS(df_extratos!I:I,df_extratos!F:F,"&gt;="&amp;Conciliacao!BF338,df_extratos!F:F,"&lt;"&amp;Conciliacao!BF338+1,df_extratos!G:G,"CREDITO")
+SUMIFS(df_extratos!I:I,df_extratos!F:F,"&gt;="&amp;Conciliacao!BG338,df_extratos!F:F,"&lt;"&amp;Conciliacao!BG338+1,df_extratos!G:G,"CREDITO")
+SUMIFS(df_extratos!I:I,df_extratos!F:F,"&gt;="&amp;Conciliacao!BH338,df_extratos!F:F,"&lt;"&amp;Conciliacao!BH338+1,df_extratos!G:G,"CREDITO")</f>
        <v/>
      </c>
      <c r="I338" s="9">
        <f>H338-SUM(B338:G338)</f>
        <v/>
      </c>
      <c r="J338" s="4">
        <f>SUMIFS(df_blueme_sem_parcelamento!E:E,df_blueme_sem_parcelamento!H:H,Conciliacao!A338)*(-1)</f>
        <v/>
      </c>
      <c r="K338" s="4">
        <f>SUMIFS(df_blueme_com_parcelamento!J:J,df_blueme_com_parcelamento!M:M,Conciliacao!A338)*(-1)</f>
        <v/>
      </c>
      <c r="L338" s="4">
        <f>SUMIFS(df_mutuos!N:N,df_mutuos!B:B,Conciliacao!A338)*(-1)</f>
        <v/>
      </c>
      <c r="M338" s="8">
        <f>SUMIFS(df_bloqueios_judiciais!G:G,df_bloqueios_judiciais!D:D,Conciliacao!A338,df_bloqueios_judiciais!G:G,"&lt;0")</f>
        <v/>
      </c>
      <c r="N338" s="10">
        <f>SUMIFS(df_extratos!I:I,df_extratos!F:F,"&gt;="&amp;Conciliacao!BE338,df_extratos!F:F,"&lt;"&amp;Conciliacao!BE338+1,df_extratos!G:G,"DEBITO")
+SUMIFS(df_extratos!I:I,df_extratos!F:F,"&gt;="&amp;Conciliacao!A338, df_extratos!F:F,"&lt;"&amp;Conciliacao!A338+1, df_extratos!G:G,"DEBITO")
+SUMIFS(df_extratos!I:I,df_extratos!F:F,"&gt;="&amp;Conciliacao!BF338,df_extratos!F:F,"&lt;"&amp;Conciliacao!BF338+1,df_extratos!G:G,"DEBITO")
+SUMIFS(df_extratos!I:I,df_extratos!F:F,"&gt;="&amp;Conciliacao!BG338,df_extratos!F:F,"&lt;"&amp;Conciliacao!BG338+1,df_extratos!G:G,"DEBITO")
+SUMIFS(df_extratos!I:I,df_extratos!F:F,"&gt;="&amp;Conciliacao!BH338,df_extratos!F:F,"&lt;"&amp;Conciliacao!BH338+1,df_extratos!G:G,"DEBITO")</f>
        <v/>
      </c>
      <c r="O338" s="11">
        <f>N338-SUM(J338:M338)</f>
        <v/>
      </c>
      <c r="P338" s="25">
        <f>SUMIFS(df_ajustes_conciliaco!D:D,df_ajustes_conciliaco!C:C,Conciliacao!A338)</f>
        <v/>
      </c>
      <c r="Q338" s="22">
        <f>O338+I338-P338</f>
        <v/>
      </c>
      <c r="BE338" s="20" t="n">
        <v>45994.5</v>
      </c>
      <c r="BF338" s="20" t="n">
        <v>45994.125</v>
      </c>
      <c r="BG338" s="20" t="n">
        <v>45994.54166666666</v>
      </c>
      <c r="BH338" s="20" t="n">
        <v>45994.625</v>
      </c>
    </row>
    <row r="339">
      <c r="A339" s="5">
        <f>A338+1</f>
        <v/>
      </c>
      <c r="B339" s="3">
        <f>-SUMIFS(df_extrato_zig!G:G,df_extrato_zig!E:E,Conciliacao!A339,df_extrato_zig!D:D,"Saque")-SUMIFS(df_extrato_zig!G:G,df_extrato_zig!E:E,Conciliacao!A339,df_extrato_zig!D:D,"Antecipação")</f>
        <v/>
      </c>
      <c r="C339" s="3">
        <f>SUMIFS(df_extrato_zig!E:E,df_extrato_zig!L:L,Conciliacao!A339,df_extrato_zig!F:F,"DINHEIRO")</f>
        <v/>
      </c>
      <c r="D339" s="3">
        <f>SUMIFS(view_parc_agrup!H:H,view_parc_agrup!G:G,Conciliacao!A339)</f>
        <v/>
      </c>
      <c r="E339" s="3">
        <f>SUMIFS(df_eventos!F:F,df_eventos!H:H,Conciliacao!A339)</f>
        <v/>
      </c>
      <c r="F339" s="3">
        <f>SUMIFS(df_mutuos!M:M,df_mutuos!B:B,Conciliacao!A339)</f>
        <v/>
      </c>
      <c r="G339" s="6">
        <f>SUMIFS(df_bloqueios_judiciais!G:G,df_bloqueios_judiciais!D:D,Conciliacao!A339,df_bloqueios_judiciais!G:G,"&gt;0")</f>
        <v/>
      </c>
      <c r="H339" s="7">
        <f>SUMIFS(df_extratos!I:I,df_extratos!F:F,"&gt;="&amp;Conciliacao!BE339,df_extratos!F:F,"&lt;"&amp;Conciliacao!BE339+1,df_extratos!G:G,"CREDITO")
+SUMIFS(df_extratos!I:I,df_extratos!F:F,"&gt;="&amp;Conciliacao!A339, df_extratos!F:F,"&lt;"&amp;Conciliacao!A339+1, df_extratos!G:G,"CREDITO")
+SUMIFS(df_extratos!I:I,df_extratos!F:F,"&gt;="&amp;Conciliacao!BF339,df_extratos!F:F,"&lt;"&amp;Conciliacao!BF339+1,df_extratos!G:G,"CREDITO")
+SUMIFS(df_extratos!I:I,df_extratos!F:F,"&gt;="&amp;Conciliacao!BG339,df_extratos!F:F,"&lt;"&amp;Conciliacao!BG339+1,df_extratos!G:G,"CREDITO")
+SUMIFS(df_extratos!I:I,df_extratos!F:F,"&gt;="&amp;Conciliacao!BH339,df_extratos!F:F,"&lt;"&amp;Conciliacao!BH339+1,df_extratos!G:G,"CREDITO")</f>
        <v/>
      </c>
      <c r="I339" s="9">
        <f>H339-SUM(B339:G339)</f>
        <v/>
      </c>
      <c r="J339" s="4">
        <f>SUMIFS(df_blueme_sem_parcelamento!E:E,df_blueme_sem_parcelamento!H:H,Conciliacao!A339)*(-1)</f>
        <v/>
      </c>
      <c r="K339" s="4">
        <f>SUMIFS(df_blueme_com_parcelamento!J:J,df_blueme_com_parcelamento!M:M,Conciliacao!A339)*(-1)</f>
        <v/>
      </c>
      <c r="L339" s="4">
        <f>SUMIFS(df_mutuos!N:N,df_mutuos!B:B,Conciliacao!A339)*(-1)</f>
        <v/>
      </c>
      <c r="M339" s="8">
        <f>SUMIFS(df_bloqueios_judiciais!G:G,df_bloqueios_judiciais!D:D,Conciliacao!A339,df_bloqueios_judiciais!G:G,"&lt;0")</f>
        <v/>
      </c>
      <c r="N339" s="10">
        <f>SUMIFS(df_extratos!I:I,df_extratos!F:F,"&gt;="&amp;Conciliacao!BE339,df_extratos!F:F,"&lt;"&amp;Conciliacao!BE339+1,df_extratos!G:G,"DEBITO")
+SUMIFS(df_extratos!I:I,df_extratos!F:F,"&gt;="&amp;Conciliacao!A339, df_extratos!F:F,"&lt;"&amp;Conciliacao!A339+1, df_extratos!G:G,"DEBITO")
+SUMIFS(df_extratos!I:I,df_extratos!F:F,"&gt;="&amp;Conciliacao!BF339,df_extratos!F:F,"&lt;"&amp;Conciliacao!BF339+1,df_extratos!G:G,"DEBITO")
+SUMIFS(df_extratos!I:I,df_extratos!F:F,"&gt;="&amp;Conciliacao!BG339,df_extratos!F:F,"&lt;"&amp;Conciliacao!BG339+1,df_extratos!G:G,"DEBITO")
+SUMIFS(df_extratos!I:I,df_extratos!F:F,"&gt;="&amp;Conciliacao!BH339,df_extratos!F:F,"&lt;"&amp;Conciliacao!BH339+1,df_extratos!G:G,"DEBITO")</f>
        <v/>
      </c>
      <c r="O339" s="11">
        <f>N339-SUM(J339:M339)</f>
        <v/>
      </c>
      <c r="P339" s="25">
        <f>SUMIFS(df_ajustes_conciliaco!D:D,df_ajustes_conciliaco!C:C,Conciliacao!A339)</f>
        <v/>
      </c>
      <c r="Q339" s="22">
        <f>O339+I339-P339</f>
        <v/>
      </c>
      <c r="BE339" s="20" t="n">
        <v>45995.5</v>
      </c>
      <c r="BF339" s="20" t="n">
        <v>45995.125</v>
      </c>
      <c r="BG339" s="20" t="n">
        <v>45995.54166666666</v>
      </c>
      <c r="BH339" s="20" t="n">
        <v>45995.625</v>
      </c>
    </row>
    <row r="340">
      <c r="A340" s="5">
        <f>A339+1</f>
        <v/>
      </c>
      <c r="B340" s="3">
        <f>-SUMIFS(df_extrato_zig!G:G,df_extrato_zig!E:E,Conciliacao!A340,df_extrato_zig!D:D,"Saque")-SUMIFS(df_extrato_zig!G:G,df_extrato_zig!E:E,Conciliacao!A340,df_extrato_zig!D:D,"Antecipação")</f>
        <v/>
      </c>
      <c r="C340" s="3">
        <f>SUMIFS(df_extrato_zig!E:E,df_extrato_zig!L:L,Conciliacao!A340,df_extrato_zig!F:F,"DINHEIRO")</f>
        <v/>
      </c>
      <c r="D340" s="3">
        <f>SUMIFS(view_parc_agrup!H:H,view_parc_agrup!G:G,Conciliacao!A340)</f>
        <v/>
      </c>
      <c r="E340" s="3">
        <f>SUMIFS(df_eventos!F:F,df_eventos!H:H,Conciliacao!A340)</f>
        <v/>
      </c>
      <c r="F340" s="3">
        <f>SUMIFS(df_mutuos!M:M,df_mutuos!B:B,Conciliacao!A340)</f>
        <v/>
      </c>
      <c r="G340" s="6">
        <f>SUMIFS(df_bloqueios_judiciais!G:G,df_bloqueios_judiciais!D:D,Conciliacao!A340,df_bloqueios_judiciais!G:G,"&gt;0")</f>
        <v/>
      </c>
      <c r="H340" s="7">
        <f>SUMIFS(df_extratos!I:I,df_extratos!F:F,"&gt;="&amp;Conciliacao!BE340,df_extratos!F:F,"&lt;"&amp;Conciliacao!BE340+1,df_extratos!G:G,"CREDITO")
+SUMIFS(df_extratos!I:I,df_extratos!F:F,"&gt;="&amp;Conciliacao!A340, df_extratos!F:F,"&lt;"&amp;Conciliacao!A340+1, df_extratos!G:G,"CREDITO")
+SUMIFS(df_extratos!I:I,df_extratos!F:F,"&gt;="&amp;Conciliacao!BF340,df_extratos!F:F,"&lt;"&amp;Conciliacao!BF340+1,df_extratos!G:G,"CREDITO")
+SUMIFS(df_extratos!I:I,df_extratos!F:F,"&gt;="&amp;Conciliacao!BG340,df_extratos!F:F,"&lt;"&amp;Conciliacao!BG340+1,df_extratos!G:G,"CREDITO")
+SUMIFS(df_extratos!I:I,df_extratos!F:F,"&gt;="&amp;Conciliacao!BH340,df_extratos!F:F,"&lt;"&amp;Conciliacao!BH340+1,df_extratos!G:G,"CREDITO")</f>
        <v/>
      </c>
      <c r="I340" s="9">
        <f>H340-SUM(B340:G340)</f>
        <v/>
      </c>
      <c r="J340" s="4">
        <f>SUMIFS(df_blueme_sem_parcelamento!E:E,df_blueme_sem_parcelamento!H:H,Conciliacao!A340)*(-1)</f>
        <v/>
      </c>
      <c r="K340" s="4">
        <f>SUMIFS(df_blueme_com_parcelamento!J:J,df_blueme_com_parcelamento!M:M,Conciliacao!A340)*(-1)</f>
        <v/>
      </c>
      <c r="L340" s="4">
        <f>SUMIFS(df_mutuos!N:N,df_mutuos!B:B,Conciliacao!A340)*(-1)</f>
        <v/>
      </c>
      <c r="M340" s="8">
        <f>SUMIFS(df_bloqueios_judiciais!G:G,df_bloqueios_judiciais!D:D,Conciliacao!A340,df_bloqueios_judiciais!G:G,"&lt;0")</f>
        <v/>
      </c>
      <c r="N340" s="10">
        <f>SUMIFS(df_extratos!I:I,df_extratos!F:F,"&gt;="&amp;Conciliacao!BE340,df_extratos!F:F,"&lt;"&amp;Conciliacao!BE340+1,df_extratos!G:G,"DEBITO")
+SUMIFS(df_extratos!I:I,df_extratos!F:F,"&gt;="&amp;Conciliacao!A340, df_extratos!F:F,"&lt;"&amp;Conciliacao!A340+1, df_extratos!G:G,"DEBITO")
+SUMIFS(df_extratos!I:I,df_extratos!F:F,"&gt;="&amp;Conciliacao!BF340,df_extratos!F:F,"&lt;"&amp;Conciliacao!BF340+1,df_extratos!G:G,"DEBITO")
+SUMIFS(df_extratos!I:I,df_extratos!F:F,"&gt;="&amp;Conciliacao!BG340,df_extratos!F:F,"&lt;"&amp;Conciliacao!BG340+1,df_extratos!G:G,"DEBITO")
+SUMIFS(df_extratos!I:I,df_extratos!F:F,"&gt;="&amp;Conciliacao!BH340,df_extratos!F:F,"&lt;"&amp;Conciliacao!BH340+1,df_extratos!G:G,"DEBITO")</f>
        <v/>
      </c>
      <c r="O340" s="11">
        <f>N340-SUM(J340:M340)</f>
        <v/>
      </c>
      <c r="P340" s="25">
        <f>SUMIFS(df_ajustes_conciliaco!D:D,df_ajustes_conciliaco!C:C,Conciliacao!A340)</f>
        <v/>
      </c>
      <c r="Q340" s="22">
        <f>O340+I340-P340</f>
        <v/>
      </c>
      <c r="BE340" s="20" t="n">
        <v>45996.5</v>
      </c>
      <c r="BF340" s="20" t="n">
        <v>45996.125</v>
      </c>
      <c r="BG340" s="20" t="n">
        <v>45996.54166666666</v>
      </c>
      <c r="BH340" s="20" t="n">
        <v>45996.625</v>
      </c>
    </row>
    <row r="341">
      <c r="A341" s="5">
        <f>A340+1</f>
        <v/>
      </c>
      <c r="B341" s="3">
        <f>-SUMIFS(df_extrato_zig!G:G,df_extrato_zig!E:E,Conciliacao!A341,df_extrato_zig!D:D,"Saque")-SUMIFS(df_extrato_zig!G:G,df_extrato_zig!E:E,Conciliacao!A341,df_extrato_zig!D:D,"Antecipação")</f>
        <v/>
      </c>
      <c r="C341" s="3">
        <f>SUMIFS(df_extrato_zig!E:E,df_extrato_zig!L:L,Conciliacao!A341,df_extrato_zig!F:F,"DINHEIRO")</f>
        <v/>
      </c>
      <c r="D341" s="3">
        <f>SUMIFS(view_parc_agrup!H:H,view_parc_agrup!G:G,Conciliacao!A341)</f>
        <v/>
      </c>
      <c r="E341" s="3">
        <f>SUMIFS(df_eventos!F:F,df_eventos!H:H,Conciliacao!A341)</f>
        <v/>
      </c>
      <c r="F341" s="3">
        <f>SUMIFS(df_mutuos!M:M,df_mutuos!B:B,Conciliacao!A341)</f>
        <v/>
      </c>
      <c r="G341" s="6">
        <f>SUMIFS(df_bloqueios_judiciais!G:G,df_bloqueios_judiciais!D:D,Conciliacao!A341,df_bloqueios_judiciais!G:G,"&gt;0")</f>
        <v/>
      </c>
      <c r="H341" s="7">
        <f>SUMIFS(df_extratos!I:I,df_extratos!F:F,"&gt;="&amp;Conciliacao!BE341,df_extratos!F:F,"&lt;"&amp;Conciliacao!BE341+1,df_extratos!G:G,"CREDITO")
+SUMIFS(df_extratos!I:I,df_extratos!F:F,"&gt;="&amp;Conciliacao!A341, df_extratos!F:F,"&lt;"&amp;Conciliacao!A341+1, df_extratos!G:G,"CREDITO")
+SUMIFS(df_extratos!I:I,df_extratos!F:F,"&gt;="&amp;Conciliacao!BF341,df_extratos!F:F,"&lt;"&amp;Conciliacao!BF341+1,df_extratos!G:G,"CREDITO")
+SUMIFS(df_extratos!I:I,df_extratos!F:F,"&gt;="&amp;Conciliacao!BG341,df_extratos!F:F,"&lt;"&amp;Conciliacao!BG341+1,df_extratos!G:G,"CREDITO")
+SUMIFS(df_extratos!I:I,df_extratos!F:F,"&gt;="&amp;Conciliacao!BH341,df_extratos!F:F,"&lt;"&amp;Conciliacao!BH341+1,df_extratos!G:G,"CREDITO")</f>
        <v/>
      </c>
      <c r="I341" s="9">
        <f>H341-SUM(B341:G341)</f>
        <v/>
      </c>
      <c r="J341" s="4">
        <f>SUMIFS(df_blueme_sem_parcelamento!E:E,df_blueme_sem_parcelamento!H:H,Conciliacao!A341)*(-1)</f>
        <v/>
      </c>
      <c r="K341" s="4">
        <f>SUMIFS(df_blueme_com_parcelamento!J:J,df_blueme_com_parcelamento!M:M,Conciliacao!A341)*(-1)</f>
        <v/>
      </c>
      <c r="L341" s="4">
        <f>SUMIFS(df_mutuos!N:N,df_mutuos!B:B,Conciliacao!A341)*(-1)</f>
        <v/>
      </c>
      <c r="M341" s="8">
        <f>SUMIFS(df_bloqueios_judiciais!G:G,df_bloqueios_judiciais!D:D,Conciliacao!A341,df_bloqueios_judiciais!G:G,"&lt;0")</f>
        <v/>
      </c>
      <c r="N341" s="10">
        <f>SUMIFS(df_extratos!I:I,df_extratos!F:F,"&gt;="&amp;Conciliacao!BE341,df_extratos!F:F,"&lt;"&amp;Conciliacao!BE341+1,df_extratos!G:G,"DEBITO")
+SUMIFS(df_extratos!I:I,df_extratos!F:F,"&gt;="&amp;Conciliacao!A341, df_extratos!F:F,"&lt;"&amp;Conciliacao!A341+1, df_extratos!G:G,"DEBITO")
+SUMIFS(df_extratos!I:I,df_extratos!F:F,"&gt;="&amp;Conciliacao!BF341,df_extratos!F:F,"&lt;"&amp;Conciliacao!BF341+1,df_extratos!G:G,"DEBITO")
+SUMIFS(df_extratos!I:I,df_extratos!F:F,"&gt;="&amp;Conciliacao!BG341,df_extratos!F:F,"&lt;"&amp;Conciliacao!BG341+1,df_extratos!G:G,"DEBITO")
+SUMIFS(df_extratos!I:I,df_extratos!F:F,"&gt;="&amp;Conciliacao!BH341,df_extratos!F:F,"&lt;"&amp;Conciliacao!BH341+1,df_extratos!G:G,"DEBITO")</f>
        <v/>
      </c>
      <c r="O341" s="11">
        <f>N341-SUM(J341:M341)</f>
        <v/>
      </c>
      <c r="P341" s="25">
        <f>SUMIFS(df_ajustes_conciliaco!D:D,df_ajustes_conciliaco!C:C,Conciliacao!A341)</f>
        <v/>
      </c>
      <c r="Q341" s="22">
        <f>O341+I341-P341</f>
        <v/>
      </c>
      <c r="BE341" s="20" t="n">
        <v>45997.5</v>
      </c>
      <c r="BF341" s="20" t="n">
        <v>45997.125</v>
      </c>
      <c r="BG341" s="20" t="n">
        <v>45997.54166666666</v>
      </c>
      <c r="BH341" s="20" t="n">
        <v>45997.625</v>
      </c>
    </row>
    <row r="342">
      <c r="A342" s="5">
        <f>A341+1</f>
        <v/>
      </c>
      <c r="B342" s="3">
        <f>-SUMIFS(df_extrato_zig!G:G,df_extrato_zig!E:E,Conciliacao!A342,df_extrato_zig!D:D,"Saque")-SUMIFS(df_extrato_zig!G:G,df_extrato_zig!E:E,Conciliacao!A342,df_extrato_zig!D:D,"Antecipação")</f>
        <v/>
      </c>
      <c r="C342" s="3">
        <f>SUMIFS(df_extrato_zig!E:E,df_extrato_zig!L:L,Conciliacao!A342,df_extrato_zig!F:F,"DINHEIRO")</f>
        <v/>
      </c>
      <c r="D342" s="3">
        <f>SUMIFS(view_parc_agrup!H:H,view_parc_agrup!G:G,Conciliacao!A342)</f>
        <v/>
      </c>
      <c r="E342" s="3">
        <f>SUMIFS(df_eventos!F:F,df_eventos!H:H,Conciliacao!A342)</f>
        <v/>
      </c>
      <c r="F342" s="3">
        <f>SUMIFS(df_mutuos!M:M,df_mutuos!B:B,Conciliacao!A342)</f>
        <v/>
      </c>
      <c r="G342" s="6">
        <f>SUMIFS(df_bloqueios_judiciais!G:G,df_bloqueios_judiciais!D:D,Conciliacao!A342,df_bloqueios_judiciais!G:G,"&gt;0")</f>
        <v/>
      </c>
      <c r="H342" s="7">
        <f>SUMIFS(df_extratos!I:I,df_extratos!F:F,"&gt;="&amp;Conciliacao!BE342,df_extratos!F:F,"&lt;"&amp;Conciliacao!BE342+1,df_extratos!G:G,"CREDITO")
+SUMIFS(df_extratos!I:I,df_extratos!F:F,"&gt;="&amp;Conciliacao!A342, df_extratos!F:F,"&lt;"&amp;Conciliacao!A342+1, df_extratos!G:G,"CREDITO")
+SUMIFS(df_extratos!I:I,df_extratos!F:F,"&gt;="&amp;Conciliacao!BF342,df_extratos!F:F,"&lt;"&amp;Conciliacao!BF342+1,df_extratos!G:G,"CREDITO")
+SUMIFS(df_extratos!I:I,df_extratos!F:F,"&gt;="&amp;Conciliacao!BG342,df_extratos!F:F,"&lt;"&amp;Conciliacao!BG342+1,df_extratos!G:G,"CREDITO")
+SUMIFS(df_extratos!I:I,df_extratos!F:F,"&gt;="&amp;Conciliacao!BH342,df_extratos!F:F,"&lt;"&amp;Conciliacao!BH342+1,df_extratos!G:G,"CREDITO")</f>
        <v/>
      </c>
      <c r="I342" s="9">
        <f>H342-SUM(B342:G342)</f>
        <v/>
      </c>
      <c r="J342" s="4">
        <f>SUMIFS(df_blueme_sem_parcelamento!E:E,df_blueme_sem_parcelamento!H:H,Conciliacao!A342)*(-1)</f>
        <v/>
      </c>
      <c r="K342" s="4">
        <f>SUMIFS(df_blueme_com_parcelamento!J:J,df_blueme_com_parcelamento!M:M,Conciliacao!A342)*(-1)</f>
        <v/>
      </c>
      <c r="L342" s="4">
        <f>SUMIFS(df_mutuos!N:N,df_mutuos!B:B,Conciliacao!A342)*(-1)</f>
        <v/>
      </c>
      <c r="M342" s="8">
        <f>SUMIFS(df_bloqueios_judiciais!G:G,df_bloqueios_judiciais!D:D,Conciliacao!A342,df_bloqueios_judiciais!G:G,"&lt;0")</f>
        <v/>
      </c>
      <c r="N342" s="10">
        <f>SUMIFS(df_extratos!I:I,df_extratos!F:F,"&gt;="&amp;Conciliacao!BE342,df_extratos!F:F,"&lt;"&amp;Conciliacao!BE342+1,df_extratos!G:G,"DEBITO")
+SUMIFS(df_extratos!I:I,df_extratos!F:F,"&gt;="&amp;Conciliacao!A342, df_extratos!F:F,"&lt;"&amp;Conciliacao!A342+1, df_extratos!G:G,"DEBITO")
+SUMIFS(df_extratos!I:I,df_extratos!F:F,"&gt;="&amp;Conciliacao!BF342,df_extratos!F:F,"&lt;"&amp;Conciliacao!BF342+1,df_extratos!G:G,"DEBITO")
+SUMIFS(df_extratos!I:I,df_extratos!F:F,"&gt;="&amp;Conciliacao!BG342,df_extratos!F:F,"&lt;"&amp;Conciliacao!BG342+1,df_extratos!G:G,"DEBITO")
+SUMIFS(df_extratos!I:I,df_extratos!F:F,"&gt;="&amp;Conciliacao!BH342,df_extratos!F:F,"&lt;"&amp;Conciliacao!BH342+1,df_extratos!G:G,"DEBITO")</f>
        <v/>
      </c>
      <c r="O342" s="11">
        <f>N342-SUM(J342:M342)</f>
        <v/>
      </c>
      <c r="P342" s="25">
        <f>SUMIFS(df_ajustes_conciliaco!D:D,df_ajustes_conciliaco!C:C,Conciliacao!A342)</f>
        <v/>
      </c>
      <c r="Q342" s="22">
        <f>O342+I342-P342</f>
        <v/>
      </c>
      <c r="BE342" s="20" t="n">
        <v>45998.5</v>
      </c>
      <c r="BF342" s="20" t="n">
        <v>45998.125</v>
      </c>
      <c r="BG342" s="20" t="n">
        <v>45998.54166666666</v>
      </c>
      <c r="BH342" s="20" t="n">
        <v>45998.625</v>
      </c>
    </row>
    <row r="343">
      <c r="A343" s="5">
        <f>A342+1</f>
        <v/>
      </c>
      <c r="B343" s="3">
        <f>-SUMIFS(df_extrato_zig!G:G,df_extrato_zig!E:E,Conciliacao!A343,df_extrato_zig!D:D,"Saque")-SUMIFS(df_extrato_zig!G:G,df_extrato_zig!E:E,Conciliacao!A343,df_extrato_zig!D:D,"Antecipação")</f>
        <v/>
      </c>
      <c r="C343" s="3">
        <f>SUMIFS(df_extrato_zig!E:E,df_extrato_zig!L:L,Conciliacao!A343,df_extrato_zig!F:F,"DINHEIRO")</f>
        <v/>
      </c>
      <c r="D343" s="3">
        <f>SUMIFS(view_parc_agrup!H:H,view_parc_agrup!G:G,Conciliacao!A343)</f>
        <v/>
      </c>
      <c r="E343" s="3">
        <f>SUMIFS(df_eventos!F:F,df_eventos!H:H,Conciliacao!A343)</f>
        <v/>
      </c>
      <c r="F343" s="3">
        <f>SUMIFS(df_mutuos!M:M,df_mutuos!B:B,Conciliacao!A343)</f>
        <v/>
      </c>
      <c r="G343" s="6">
        <f>SUMIFS(df_bloqueios_judiciais!G:G,df_bloqueios_judiciais!D:D,Conciliacao!A343,df_bloqueios_judiciais!G:G,"&gt;0")</f>
        <v/>
      </c>
      <c r="H343" s="7">
        <f>SUMIFS(df_extratos!I:I,df_extratos!F:F,"&gt;="&amp;Conciliacao!BE343,df_extratos!F:F,"&lt;"&amp;Conciliacao!BE343+1,df_extratos!G:G,"CREDITO")
+SUMIFS(df_extratos!I:I,df_extratos!F:F,"&gt;="&amp;Conciliacao!A343, df_extratos!F:F,"&lt;"&amp;Conciliacao!A343+1, df_extratos!G:G,"CREDITO")
+SUMIFS(df_extratos!I:I,df_extratos!F:F,"&gt;="&amp;Conciliacao!BF343,df_extratos!F:F,"&lt;"&amp;Conciliacao!BF343+1,df_extratos!G:G,"CREDITO")
+SUMIFS(df_extratos!I:I,df_extratos!F:F,"&gt;="&amp;Conciliacao!BG343,df_extratos!F:F,"&lt;"&amp;Conciliacao!BG343+1,df_extratos!G:G,"CREDITO")
+SUMIFS(df_extratos!I:I,df_extratos!F:F,"&gt;="&amp;Conciliacao!BH343,df_extratos!F:F,"&lt;"&amp;Conciliacao!BH343+1,df_extratos!G:G,"CREDITO")</f>
        <v/>
      </c>
      <c r="I343" s="9">
        <f>H343-SUM(B343:G343)</f>
        <v/>
      </c>
      <c r="J343" s="4">
        <f>SUMIFS(df_blueme_sem_parcelamento!E:E,df_blueme_sem_parcelamento!H:H,Conciliacao!A343)*(-1)</f>
        <v/>
      </c>
      <c r="K343" s="4">
        <f>SUMIFS(df_blueme_com_parcelamento!J:J,df_blueme_com_parcelamento!M:M,Conciliacao!A343)*(-1)</f>
        <v/>
      </c>
      <c r="L343" s="4">
        <f>SUMIFS(df_mutuos!N:N,df_mutuos!B:B,Conciliacao!A343)*(-1)</f>
        <v/>
      </c>
      <c r="M343" s="8">
        <f>SUMIFS(df_bloqueios_judiciais!G:G,df_bloqueios_judiciais!D:D,Conciliacao!A343,df_bloqueios_judiciais!G:G,"&lt;0")</f>
        <v/>
      </c>
      <c r="N343" s="10">
        <f>SUMIFS(df_extratos!I:I,df_extratos!F:F,"&gt;="&amp;Conciliacao!BE343,df_extratos!F:F,"&lt;"&amp;Conciliacao!BE343+1,df_extratos!G:G,"DEBITO")
+SUMIFS(df_extratos!I:I,df_extratos!F:F,"&gt;="&amp;Conciliacao!A343, df_extratos!F:F,"&lt;"&amp;Conciliacao!A343+1, df_extratos!G:G,"DEBITO")
+SUMIFS(df_extratos!I:I,df_extratos!F:F,"&gt;="&amp;Conciliacao!BF343,df_extratos!F:F,"&lt;"&amp;Conciliacao!BF343+1,df_extratos!G:G,"DEBITO")
+SUMIFS(df_extratos!I:I,df_extratos!F:F,"&gt;="&amp;Conciliacao!BG343,df_extratos!F:F,"&lt;"&amp;Conciliacao!BG343+1,df_extratos!G:G,"DEBITO")
+SUMIFS(df_extratos!I:I,df_extratos!F:F,"&gt;="&amp;Conciliacao!BH343,df_extratos!F:F,"&lt;"&amp;Conciliacao!BH343+1,df_extratos!G:G,"DEBITO")</f>
        <v/>
      </c>
      <c r="O343" s="11">
        <f>N343-SUM(J343:M343)</f>
        <v/>
      </c>
      <c r="P343" s="25">
        <f>SUMIFS(df_ajustes_conciliaco!D:D,df_ajustes_conciliaco!C:C,Conciliacao!A343)</f>
        <v/>
      </c>
      <c r="Q343" s="22">
        <f>O343+I343-P343</f>
        <v/>
      </c>
      <c r="BE343" s="20" t="n">
        <v>45999.5</v>
      </c>
      <c r="BF343" s="20" t="n">
        <v>45999.125</v>
      </c>
      <c r="BG343" s="20" t="n">
        <v>45999.54166666666</v>
      </c>
      <c r="BH343" s="20" t="n">
        <v>45999.625</v>
      </c>
    </row>
    <row r="344">
      <c r="A344" s="5">
        <f>A343+1</f>
        <v/>
      </c>
      <c r="B344" s="3">
        <f>-SUMIFS(df_extrato_zig!G:G,df_extrato_zig!E:E,Conciliacao!A344,df_extrato_zig!D:D,"Saque")-SUMIFS(df_extrato_zig!G:G,df_extrato_zig!E:E,Conciliacao!A344,df_extrato_zig!D:D,"Antecipação")</f>
        <v/>
      </c>
      <c r="C344" s="3">
        <f>SUMIFS(df_extrato_zig!E:E,df_extrato_zig!L:L,Conciliacao!A344,df_extrato_zig!F:F,"DINHEIRO")</f>
        <v/>
      </c>
      <c r="D344" s="3">
        <f>SUMIFS(view_parc_agrup!H:H,view_parc_agrup!G:G,Conciliacao!A344)</f>
        <v/>
      </c>
      <c r="E344" s="3">
        <f>SUMIFS(df_eventos!F:F,df_eventos!H:H,Conciliacao!A344)</f>
        <v/>
      </c>
      <c r="F344" s="3">
        <f>SUMIFS(df_mutuos!M:M,df_mutuos!B:B,Conciliacao!A344)</f>
        <v/>
      </c>
      <c r="G344" s="6">
        <f>SUMIFS(df_bloqueios_judiciais!G:G,df_bloqueios_judiciais!D:D,Conciliacao!A344,df_bloqueios_judiciais!G:G,"&gt;0")</f>
        <v/>
      </c>
      <c r="H344" s="7">
        <f>SUMIFS(df_extratos!I:I,df_extratos!F:F,"&gt;="&amp;Conciliacao!BE344,df_extratos!F:F,"&lt;"&amp;Conciliacao!BE344+1,df_extratos!G:G,"CREDITO")
+SUMIFS(df_extratos!I:I,df_extratos!F:F,"&gt;="&amp;Conciliacao!A344, df_extratos!F:F,"&lt;"&amp;Conciliacao!A344+1, df_extratos!G:G,"CREDITO")
+SUMIFS(df_extratos!I:I,df_extratos!F:F,"&gt;="&amp;Conciliacao!BF344,df_extratos!F:F,"&lt;"&amp;Conciliacao!BF344+1,df_extratos!G:G,"CREDITO")
+SUMIFS(df_extratos!I:I,df_extratos!F:F,"&gt;="&amp;Conciliacao!BG344,df_extratos!F:F,"&lt;"&amp;Conciliacao!BG344+1,df_extratos!G:G,"CREDITO")
+SUMIFS(df_extratos!I:I,df_extratos!F:F,"&gt;="&amp;Conciliacao!BH344,df_extratos!F:F,"&lt;"&amp;Conciliacao!BH344+1,df_extratos!G:G,"CREDITO")</f>
        <v/>
      </c>
      <c r="I344" s="9">
        <f>H344-SUM(B344:G344)</f>
        <v/>
      </c>
      <c r="J344" s="4">
        <f>SUMIFS(df_blueme_sem_parcelamento!E:E,df_blueme_sem_parcelamento!H:H,Conciliacao!A344)*(-1)</f>
        <v/>
      </c>
      <c r="K344" s="4">
        <f>SUMIFS(df_blueme_com_parcelamento!J:J,df_blueme_com_parcelamento!M:M,Conciliacao!A344)*(-1)</f>
        <v/>
      </c>
      <c r="L344" s="4">
        <f>SUMIFS(df_mutuos!N:N,df_mutuos!B:B,Conciliacao!A344)*(-1)</f>
        <v/>
      </c>
      <c r="M344" s="8">
        <f>SUMIFS(df_bloqueios_judiciais!G:G,df_bloqueios_judiciais!D:D,Conciliacao!A344,df_bloqueios_judiciais!G:G,"&lt;0")</f>
        <v/>
      </c>
      <c r="N344" s="10">
        <f>SUMIFS(df_extratos!I:I,df_extratos!F:F,"&gt;="&amp;Conciliacao!BE344,df_extratos!F:F,"&lt;"&amp;Conciliacao!BE344+1,df_extratos!G:G,"DEBITO")
+SUMIFS(df_extratos!I:I,df_extratos!F:F,"&gt;="&amp;Conciliacao!A344, df_extratos!F:F,"&lt;"&amp;Conciliacao!A344+1, df_extratos!G:G,"DEBITO")
+SUMIFS(df_extratos!I:I,df_extratos!F:F,"&gt;="&amp;Conciliacao!BF344,df_extratos!F:F,"&lt;"&amp;Conciliacao!BF344+1,df_extratos!G:G,"DEBITO")
+SUMIFS(df_extratos!I:I,df_extratos!F:F,"&gt;="&amp;Conciliacao!BG344,df_extratos!F:F,"&lt;"&amp;Conciliacao!BG344+1,df_extratos!G:G,"DEBITO")
+SUMIFS(df_extratos!I:I,df_extratos!F:F,"&gt;="&amp;Conciliacao!BH344,df_extratos!F:F,"&lt;"&amp;Conciliacao!BH344+1,df_extratos!G:G,"DEBITO")</f>
        <v/>
      </c>
      <c r="O344" s="11">
        <f>N344-SUM(J344:M344)</f>
        <v/>
      </c>
      <c r="P344" s="25">
        <f>SUMIFS(df_ajustes_conciliaco!D:D,df_ajustes_conciliaco!C:C,Conciliacao!A344)</f>
        <v/>
      </c>
      <c r="Q344" s="22">
        <f>O344+I344-P344</f>
        <v/>
      </c>
      <c r="BE344" s="20" t="n">
        <v>46000.5</v>
      </c>
      <c r="BF344" s="20" t="n">
        <v>46000.125</v>
      </c>
      <c r="BG344" s="20" t="n">
        <v>46000.54166666666</v>
      </c>
      <c r="BH344" s="20" t="n">
        <v>46000.625</v>
      </c>
    </row>
    <row r="345">
      <c r="A345" s="5">
        <f>A344+1</f>
        <v/>
      </c>
      <c r="B345" s="3">
        <f>-SUMIFS(df_extrato_zig!G:G,df_extrato_zig!E:E,Conciliacao!A345,df_extrato_zig!D:D,"Saque")-SUMIFS(df_extrato_zig!G:G,df_extrato_zig!E:E,Conciliacao!A345,df_extrato_zig!D:D,"Antecipação")</f>
        <v/>
      </c>
      <c r="C345" s="3">
        <f>SUMIFS(df_extrato_zig!E:E,df_extrato_zig!L:L,Conciliacao!A345,df_extrato_zig!F:F,"DINHEIRO")</f>
        <v/>
      </c>
      <c r="D345" s="3">
        <f>SUMIFS(view_parc_agrup!H:H,view_parc_agrup!G:G,Conciliacao!A345)</f>
        <v/>
      </c>
      <c r="E345" s="3">
        <f>SUMIFS(df_eventos!F:F,df_eventos!H:H,Conciliacao!A345)</f>
        <v/>
      </c>
      <c r="F345" s="3">
        <f>SUMIFS(df_mutuos!M:M,df_mutuos!B:B,Conciliacao!A345)</f>
        <v/>
      </c>
      <c r="G345" s="6">
        <f>SUMIFS(df_bloqueios_judiciais!G:G,df_bloqueios_judiciais!D:D,Conciliacao!A345,df_bloqueios_judiciais!G:G,"&gt;0")</f>
        <v/>
      </c>
      <c r="H345" s="7">
        <f>SUMIFS(df_extratos!I:I,df_extratos!F:F,"&gt;="&amp;Conciliacao!BE345,df_extratos!F:F,"&lt;"&amp;Conciliacao!BE345+1,df_extratos!G:G,"CREDITO")
+SUMIFS(df_extratos!I:I,df_extratos!F:F,"&gt;="&amp;Conciliacao!A345, df_extratos!F:F,"&lt;"&amp;Conciliacao!A345+1, df_extratos!G:G,"CREDITO")
+SUMIFS(df_extratos!I:I,df_extratos!F:F,"&gt;="&amp;Conciliacao!BF345,df_extratos!F:F,"&lt;"&amp;Conciliacao!BF345+1,df_extratos!G:G,"CREDITO")
+SUMIFS(df_extratos!I:I,df_extratos!F:F,"&gt;="&amp;Conciliacao!BG345,df_extratos!F:F,"&lt;"&amp;Conciliacao!BG345+1,df_extratos!G:G,"CREDITO")
+SUMIFS(df_extratos!I:I,df_extratos!F:F,"&gt;="&amp;Conciliacao!BH345,df_extratos!F:F,"&lt;"&amp;Conciliacao!BH345+1,df_extratos!G:G,"CREDITO")</f>
        <v/>
      </c>
      <c r="I345" s="9">
        <f>H345-SUM(B345:G345)</f>
        <v/>
      </c>
      <c r="J345" s="4">
        <f>SUMIFS(df_blueme_sem_parcelamento!E:E,df_blueme_sem_parcelamento!H:H,Conciliacao!A345)*(-1)</f>
        <v/>
      </c>
      <c r="K345" s="4">
        <f>SUMIFS(df_blueme_com_parcelamento!J:J,df_blueme_com_parcelamento!M:M,Conciliacao!A345)*(-1)</f>
        <v/>
      </c>
      <c r="L345" s="4">
        <f>SUMIFS(df_mutuos!N:N,df_mutuos!B:B,Conciliacao!A345)*(-1)</f>
        <v/>
      </c>
      <c r="M345" s="8">
        <f>SUMIFS(df_bloqueios_judiciais!G:G,df_bloqueios_judiciais!D:D,Conciliacao!A345,df_bloqueios_judiciais!G:G,"&lt;0")</f>
        <v/>
      </c>
      <c r="N345" s="10">
        <f>SUMIFS(df_extratos!I:I,df_extratos!F:F,"&gt;="&amp;Conciliacao!BE345,df_extratos!F:F,"&lt;"&amp;Conciliacao!BE345+1,df_extratos!G:G,"DEBITO")
+SUMIFS(df_extratos!I:I,df_extratos!F:F,"&gt;="&amp;Conciliacao!A345, df_extratos!F:F,"&lt;"&amp;Conciliacao!A345+1, df_extratos!G:G,"DEBITO")
+SUMIFS(df_extratos!I:I,df_extratos!F:F,"&gt;="&amp;Conciliacao!BF345,df_extratos!F:F,"&lt;"&amp;Conciliacao!BF345+1,df_extratos!G:G,"DEBITO")
+SUMIFS(df_extratos!I:I,df_extratos!F:F,"&gt;="&amp;Conciliacao!BG345,df_extratos!F:F,"&lt;"&amp;Conciliacao!BG345+1,df_extratos!G:G,"DEBITO")
+SUMIFS(df_extratos!I:I,df_extratos!F:F,"&gt;="&amp;Conciliacao!BH345,df_extratos!F:F,"&lt;"&amp;Conciliacao!BH345+1,df_extratos!G:G,"DEBITO")</f>
        <v/>
      </c>
      <c r="O345" s="11">
        <f>N345-SUM(J345:M345)</f>
        <v/>
      </c>
      <c r="P345" s="25">
        <f>SUMIFS(df_ajustes_conciliaco!D:D,df_ajustes_conciliaco!C:C,Conciliacao!A345)</f>
        <v/>
      </c>
      <c r="Q345" s="22">
        <f>O345+I345-P345</f>
        <v/>
      </c>
      <c r="BE345" s="20" t="n">
        <v>46001.5</v>
      </c>
      <c r="BF345" s="20" t="n">
        <v>46001.125</v>
      </c>
      <c r="BG345" s="20" t="n">
        <v>46001.54166666666</v>
      </c>
      <c r="BH345" s="20" t="n">
        <v>46001.625</v>
      </c>
    </row>
    <row r="346">
      <c r="A346" s="5">
        <f>A345+1</f>
        <v/>
      </c>
      <c r="B346" s="3">
        <f>-SUMIFS(df_extrato_zig!G:G,df_extrato_zig!E:E,Conciliacao!A346,df_extrato_zig!D:D,"Saque")-SUMIFS(df_extrato_zig!G:G,df_extrato_zig!E:E,Conciliacao!A346,df_extrato_zig!D:D,"Antecipação")</f>
        <v/>
      </c>
      <c r="C346" s="3">
        <f>SUMIFS(df_extrato_zig!E:E,df_extrato_zig!L:L,Conciliacao!A346,df_extrato_zig!F:F,"DINHEIRO")</f>
        <v/>
      </c>
      <c r="D346" s="3">
        <f>SUMIFS(view_parc_agrup!H:H,view_parc_agrup!G:G,Conciliacao!A346)</f>
        <v/>
      </c>
      <c r="E346" s="3">
        <f>SUMIFS(df_eventos!F:F,df_eventos!H:H,Conciliacao!A346)</f>
        <v/>
      </c>
      <c r="F346" s="3">
        <f>SUMIFS(df_mutuos!M:M,df_mutuos!B:B,Conciliacao!A346)</f>
        <v/>
      </c>
      <c r="G346" s="6">
        <f>SUMIFS(df_bloqueios_judiciais!G:G,df_bloqueios_judiciais!D:D,Conciliacao!A346,df_bloqueios_judiciais!G:G,"&gt;0")</f>
        <v/>
      </c>
      <c r="H346" s="7">
        <f>SUMIFS(df_extratos!I:I,df_extratos!F:F,"&gt;="&amp;Conciliacao!BE346,df_extratos!F:F,"&lt;"&amp;Conciliacao!BE346+1,df_extratos!G:G,"CREDITO")
+SUMIFS(df_extratos!I:I,df_extratos!F:F,"&gt;="&amp;Conciliacao!A346, df_extratos!F:F,"&lt;"&amp;Conciliacao!A346+1, df_extratos!G:G,"CREDITO")
+SUMIFS(df_extratos!I:I,df_extratos!F:F,"&gt;="&amp;Conciliacao!BF346,df_extratos!F:F,"&lt;"&amp;Conciliacao!BF346+1,df_extratos!G:G,"CREDITO")
+SUMIFS(df_extratos!I:I,df_extratos!F:F,"&gt;="&amp;Conciliacao!BG346,df_extratos!F:F,"&lt;"&amp;Conciliacao!BG346+1,df_extratos!G:G,"CREDITO")
+SUMIFS(df_extratos!I:I,df_extratos!F:F,"&gt;="&amp;Conciliacao!BH346,df_extratos!F:F,"&lt;"&amp;Conciliacao!BH346+1,df_extratos!G:G,"CREDITO")</f>
        <v/>
      </c>
      <c r="I346" s="9">
        <f>H346-SUM(B346:G346)</f>
        <v/>
      </c>
      <c r="J346" s="4">
        <f>SUMIFS(df_blueme_sem_parcelamento!E:E,df_blueme_sem_parcelamento!H:H,Conciliacao!A346)*(-1)</f>
        <v/>
      </c>
      <c r="K346" s="4">
        <f>SUMIFS(df_blueme_com_parcelamento!J:J,df_blueme_com_parcelamento!M:M,Conciliacao!A346)*(-1)</f>
        <v/>
      </c>
      <c r="L346" s="4">
        <f>SUMIFS(df_mutuos!N:N,df_mutuos!B:B,Conciliacao!A346)*(-1)</f>
        <v/>
      </c>
      <c r="M346" s="8">
        <f>SUMIFS(df_bloqueios_judiciais!G:G,df_bloqueios_judiciais!D:D,Conciliacao!A346,df_bloqueios_judiciais!G:G,"&lt;0")</f>
        <v/>
      </c>
      <c r="N346" s="10">
        <f>SUMIFS(df_extratos!I:I,df_extratos!F:F,"&gt;="&amp;Conciliacao!BE346,df_extratos!F:F,"&lt;"&amp;Conciliacao!BE346+1,df_extratos!G:G,"DEBITO")
+SUMIFS(df_extratos!I:I,df_extratos!F:F,"&gt;="&amp;Conciliacao!A346, df_extratos!F:F,"&lt;"&amp;Conciliacao!A346+1, df_extratos!G:G,"DEBITO")
+SUMIFS(df_extratos!I:I,df_extratos!F:F,"&gt;="&amp;Conciliacao!BF346,df_extratos!F:F,"&lt;"&amp;Conciliacao!BF346+1,df_extratos!G:G,"DEBITO")
+SUMIFS(df_extratos!I:I,df_extratos!F:F,"&gt;="&amp;Conciliacao!BG346,df_extratos!F:F,"&lt;"&amp;Conciliacao!BG346+1,df_extratos!G:G,"DEBITO")
+SUMIFS(df_extratos!I:I,df_extratos!F:F,"&gt;="&amp;Conciliacao!BH346,df_extratos!F:F,"&lt;"&amp;Conciliacao!BH346+1,df_extratos!G:G,"DEBITO")</f>
        <v/>
      </c>
      <c r="O346" s="11">
        <f>N346-SUM(J346:M346)</f>
        <v/>
      </c>
      <c r="P346" s="25">
        <f>SUMIFS(df_ajustes_conciliaco!D:D,df_ajustes_conciliaco!C:C,Conciliacao!A346)</f>
        <v/>
      </c>
      <c r="Q346" s="22">
        <f>O346+I346-P346</f>
        <v/>
      </c>
      <c r="BE346" s="20" t="n">
        <v>46002.5</v>
      </c>
      <c r="BF346" s="20" t="n">
        <v>46002.125</v>
      </c>
      <c r="BG346" s="20" t="n">
        <v>46002.54166666666</v>
      </c>
      <c r="BH346" s="20" t="n">
        <v>46002.625</v>
      </c>
    </row>
    <row r="347">
      <c r="A347" s="5">
        <f>A346+1</f>
        <v/>
      </c>
      <c r="B347" s="3">
        <f>-SUMIFS(df_extrato_zig!G:G,df_extrato_zig!E:E,Conciliacao!A347,df_extrato_zig!D:D,"Saque")-SUMIFS(df_extrato_zig!G:G,df_extrato_zig!E:E,Conciliacao!A347,df_extrato_zig!D:D,"Antecipação")</f>
        <v/>
      </c>
      <c r="C347" s="3">
        <f>SUMIFS(df_extrato_zig!E:E,df_extrato_zig!L:L,Conciliacao!A347,df_extrato_zig!F:F,"DINHEIRO")</f>
        <v/>
      </c>
      <c r="D347" s="3">
        <f>SUMIFS(view_parc_agrup!H:H,view_parc_agrup!G:G,Conciliacao!A347)</f>
        <v/>
      </c>
      <c r="E347" s="3">
        <f>SUMIFS(df_eventos!F:F,df_eventos!H:H,Conciliacao!A347)</f>
        <v/>
      </c>
      <c r="F347" s="3">
        <f>SUMIFS(df_mutuos!M:M,df_mutuos!B:B,Conciliacao!A347)</f>
        <v/>
      </c>
      <c r="G347" s="6">
        <f>SUMIFS(df_bloqueios_judiciais!G:G,df_bloqueios_judiciais!D:D,Conciliacao!A347,df_bloqueios_judiciais!G:G,"&gt;0")</f>
        <v/>
      </c>
      <c r="H347" s="7">
        <f>SUMIFS(df_extratos!I:I,df_extratos!F:F,"&gt;="&amp;Conciliacao!BE347,df_extratos!F:F,"&lt;"&amp;Conciliacao!BE347+1,df_extratos!G:G,"CREDITO")
+SUMIFS(df_extratos!I:I,df_extratos!F:F,"&gt;="&amp;Conciliacao!A347, df_extratos!F:F,"&lt;"&amp;Conciliacao!A347+1, df_extratos!G:G,"CREDITO")
+SUMIFS(df_extratos!I:I,df_extratos!F:F,"&gt;="&amp;Conciliacao!BF347,df_extratos!F:F,"&lt;"&amp;Conciliacao!BF347+1,df_extratos!G:G,"CREDITO")
+SUMIFS(df_extratos!I:I,df_extratos!F:F,"&gt;="&amp;Conciliacao!BG347,df_extratos!F:F,"&lt;"&amp;Conciliacao!BG347+1,df_extratos!G:G,"CREDITO")
+SUMIFS(df_extratos!I:I,df_extratos!F:F,"&gt;="&amp;Conciliacao!BH347,df_extratos!F:F,"&lt;"&amp;Conciliacao!BH347+1,df_extratos!G:G,"CREDITO")</f>
        <v/>
      </c>
      <c r="I347" s="9">
        <f>H347-SUM(B347:G347)</f>
        <v/>
      </c>
      <c r="J347" s="4">
        <f>SUMIFS(df_blueme_sem_parcelamento!E:E,df_blueme_sem_parcelamento!H:H,Conciliacao!A347)*(-1)</f>
        <v/>
      </c>
      <c r="K347" s="4">
        <f>SUMIFS(df_blueme_com_parcelamento!J:J,df_blueme_com_parcelamento!M:M,Conciliacao!A347)*(-1)</f>
        <v/>
      </c>
      <c r="L347" s="4">
        <f>SUMIFS(df_mutuos!N:N,df_mutuos!B:B,Conciliacao!A347)*(-1)</f>
        <v/>
      </c>
      <c r="M347" s="8">
        <f>SUMIFS(df_bloqueios_judiciais!G:G,df_bloqueios_judiciais!D:D,Conciliacao!A347,df_bloqueios_judiciais!G:G,"&lt;0")</f>
        <v/>
      </c>
      <c r="N347" s="10">
        <f>SUMIFS(df_extratos!I:I,df_extratos!F:F,"&gt;="&amp;Conciliacao!BE347,df_extratos!F:F,"&lt;"&amp;Conciliacao!BE347+1,df_extratos!G:G,"DEBITO")
+SUMIFS(df_extratos!I:I,df_extratos!F:F,"&gt;="&amp;Conciliacao!A347, df_extratos!F:F,"&lt;"&amp;Conciliacao!A347+1, df_extratos!G:G,"DEBITO")
+SUMIFS(df_extratos!I:I,df_extratos!F:F,"&gt;="&amp;Conciliacao!BF347,df_extratos!F:F,"&lt;"&amp;Conciliacao!BF347+1,df_extratos!G:G,"DEBITO")
+SUMIFS(df_extratos!I:I,df_extratos!F:F,"&gt;="&amp;Conciliacao!BG347,df_extratos!F:F,"&lt;"&amp;Conciliacao!BG347+1,df_extratos!G:G,"DEBITO")
+SUMIFS(df_extratos!I:I,df_extratos!F:F,"&gt;="&amp;Conciliacao!BH347,df_extratos!F:F,"&lt;"&amp;Conciliacao!BH347+1,df_extratos!G:G,"DEBITO")</f>
        <v/>
      </c>
      <c r="O347" s="11">
        <f>N347-SUM(J347:M347)</f>
        <v/>
      </c>
      <c r="P347" s="25">
        <f>SUMIFS(df_ajustes_conciliaco!D:D,df_ajustes_conciliaco!C:C,Conciliacao!A347)</f>
        <v/>
      </c>
      <c r="Q347" s="22">
        <f>O347+I347-P347</f>
        <v/>
      </c>
      <c r="BE347" s="20" t="n">
        <v>46003.5</v>
      </c>
      <c r="BF347" s="20" t="n">
        <v>46003.125</v>
      </c>
      <c r="BG347" s="20" t="n">
        <v>46003.54166666666</v>
      </c>
      <c r="BH347" s="20" t="n">
        <v>46003.625</v>
      </c>
    </row>
    <row r="348">
      <c r="A348" s="5">
        <f>A347+1</f>
        <v/>
      </c>
      <c r="B348" s="3">
        <f>-SUMIFS(df_extrato_zig!G:G,df_extrato_zig!E:E,Conciliacao!A348,df_extrato_zig!D:D,"Saque")-SUMIFS(df_extrato_zig!G:G,df_extrato_zig!E:E,Conciliacao!A348,df_extrato_zig!D:D,"Antecipação")</f>
        <v/>
      </c>
      <c r="C348" s="3">
        <f>SUMIFS(df_extrato_zig!E:E,df_extrato_zig!L:L,Conciliacao!A348,df_extrato_zig!F:F,"DINHEIRO")</f>
        <v/>
      </c>
      <c r="D348" s="3">
        <f>SUMIFS(view_parc_agrup!H:H,view_parc_agrup!G:G,Conciliacao!A348)</f>
        <v/>
      </c>
      <c r="E348" s="3">
        <f>SUMIFS(df_eventos!F:F,df_eventos!H:H,Conciliacao!A348)</f>
        <v/>
      </c>
      <c r="F348" s="3">
        <f>SUMIFS(df_mutuos!M:M,df_mutuos!B:B,Conciliacao!A348)</f>
        <v/>
      </c>
      <c r="G348" s="6">
        <f>SUMIFS(df_bloqueios_judiciais!G:G,df_bloqueios_judiciais!D:D,Conciliacao!A348,df_bloqueios_judiciais!G:G,"&gt;0")</f>
        <v/>
      </c>
      <c r="H348" s="7">
        <f>SUMIFS(df_extratos!I:I,df_extratos!F:F,"&gt;="&amp;Conciliacao!BE348,df_extratos!F:F,"&lt;"&amp;Conciliacao!BE348+1,df_extratos!G:G,"CREDITO")
+SUMIFS(df_extratos!I:I,df_extratos!F:F,"&gt;="&amp;Conciliacao!A348, df_extratos!F:F,"&lt;"&amp;Conciliacao!A348+1, df_extratos!G:G,"CREDITO")
+SUMIFS(df_extratos!I:I,df_extratos!F:F,"&gt;="&amp;Conciliacao!BF348,df_extratos!F:F,"&lt;"&amp;Conciliacao!BF348+1,df_extratos!G:G,"CREDITO")
+SUMIFS(df_extratos!I:I,df_extratos!F:F,"&gt;="&amp;Conciliacao!BG348,df_extratos!F:F,"&lt;"&amp;Conciliacao!BG348+1,df_extratos!G:G,"CREDITO")
+SUMIFS(df_extratos!I:I,df_extratos!F:F,"&gt;="&amp;Conciliacao!BH348,df_extratos!F:F,"&lt;"&amp;Conciliacao!BH348+1,df_extratos!G:G,"CREDITO")</f>
        <v/>
      </c>
      <c r="I348" s="9">
        <f>H348-SUM(B348:G348)</f>
        <v/>
      </c>
      <c r="J348" s="4">
        <f>SUMIFS(df_blueme_sem_parcelamento!E:E,df_blueme_sem_parcelamento!H:H,Conciliacao!A348)*(-1)</f>
        <v/>
      </c>
      <c r="K348" s="4">
        <f>SUMIFS(df_blueme_com_parcelamento!J:J,df_blueme_com_parcelamento!M:M,Conciliacao!A348)*(-1)</f>
        <v/>
      </c>
      <c r="L348" s="4">
        <f>SUMIFS(df_mutuos!N:N,df_mutuos!B:B,Conciliacao!A348)*(-1)</f>
        <v/>
      </c>
      <c r="M348" s="8">
        <f>SUMIFS(df_bloqueios_judiciais!G:G,df_bloqueios_judiciais!D:D,Conciliacao!A348,df_bloqueios_judiciais!G:G,"&lt;0")</f>
        <v/>
      </c>
      <c r="N348" s="10">
        <f>SUMIFS(df_extratos!I:I,df_extratos!F:F,"&gt;="&amp;Conciliacao!BE348,df_extratos!F:F,"&lt;"&amp;Conciliacao!BE348+1,df_extratos!G:G,"DEBITO")
+SUMIFS(df_extratos!I:I,df_extratos!F:F,"&gt;="&amp;Conciliacao!A348, df_extratos!F:F,"&lt;"&amp;Conciliacao!A348+1, df_extratos!G:G,"DEBITO")
+SUMIFS(df_extratos!I:I,df_extratos!F:F,"&gt;="&amp;Conciliacao!BF348,df_extratos!F:F,"&lt;"&amp;Conciliacao!BF348+1,df_extratos!G:G,"DEBITO")
+SUMIFS(df_extratos!I:I,df_extratos!F:F,"&gt;="&amp;Conciliacao!BG348,df_extratos!F:F,"&lt;"&amp;Conciliacao!BG348+1,df_extratos!G:G,"DEBITO")
+SUMIFS(df_extratos!I:I,df_extratos!F:F,"&gt;="&amp;Conciliacao!BH348,df_extratos!F:F,"&lt;"&amp;Conciliacao!BH348+1,df_extratos!G:G,"DEBITO")</f>
        <v/>
      </c>
      <c r="O348" s="11">
        <f>N348-SUM(J348:M348)</f>
        <v/>
      </c>
      <c r="P348" s="25">
        <f>SUMIFS(df_ajustes_conciliaco!D:D,df_ajustes_conciliaco!C:C,Conciliacao!A348)</f>
        <v/>
      </c>
      <c r="Q348" s="22">
        <f>O348+I348-P348</f>
        <v/>
      </c>
      <c r="BE348" s="20" t="n">
        <v>46004.5</v>
      </c>
      <c r="BF348" s="20" t="n">
        <v>46004.125</v>
      </c>
      <c r="BG348" s="20" t="n">
        <v>46004.54166666666</v>
      </c>
      <c r="BH348" s="20" t="n">
        <v>46004.625</v>
      </c>
    </row>
    <row r="349">
      <c r="A349" s="5">
        <f>A348+1</f>
        <v/>
      </c>
      <c r="B349" s="3">
        <f>-SUMIFS(df_extrato_zig!G:G,df_extrato_zig!E:E,Conciliacao!A349,df_extrato_zig!D:D,"Saque")-SUMIFS(df_extrato_zig!G:G,df_extrato_zig!E:E,Conciliacao!A349,df_extrato_zig!D:D,"Antecipação")</f>
        <v/>
      </c>
      <c r="C349" s="3">
        <f>SUMIFS(df_extrato_zig!E:E,df_extrato_zig!L:L,Conciliacao!A349,df_extrato_zig!F:F,"DINHEIRO")</f>
        <v/>
      </c>
      <c r="D349" s="3">
        <f>SUMIFS(view_parc_agrup!H:H,view_parc_agrup!G:G,Conciliacao!A349)</f>
        <v/>
      </c>
      <c r="E349" s="3">
        <f>SUMIFS(df_eventos!F:F,df_eventos!H:H,Conciliacao!A349)</f>
        <v/>
      </c>
      <c r="F349" s="3">
        <f>SUMIFS(df_mutuos!M:M,df_mutuos!B:B,Conciliacao!A349)</f>
        <v/>
      </c>
      <c r="G349" s="6">
        <f>SUMIFS(df_bloqueios_judiciais!G:G,df_bloqueios_judiciais!D:D,Conciliacao!A349,df_bloqueios_judiciais!G:G,"&gt;0")</f>
        <v/>
      </c>
      <c r="H349" s="7">
        <f>SUMIFS(df_extratos!I:I,df_extratos!F:F,"&gt;="&amp;Conciliacao!BE349,df_extratos!F:F,"&lt;"&amp;Conciliacao!BE349+1,df_extratos!G:G,"CREDITO")
+SUMIFS(df_extratos!I:I,df_extratos!F:F,"&gt;="&amp;Conciliacao!A349, df_extratos!F:F,"&lt;"&amp;Conciliacao!A349+1, df_extratos!G:G,"CREDITO")
+SUMIFS(df_extratos!I:I,df_extratos!F:F,"&gt;="&amp;Conciliacao!BF349,df_extratos!F:F,"&lt;"&amp;Conciliacao!BF349+1,df_extratos!G:G,"CREDITO")
+SUMIFS(df_extratos!I:I,df_extratos!F:F,"&gt;="&amp;Conciliacao!BG349,df_extratos!F:F,"&lt;"&amp;Conciliacao!BG349+1,df_extratos!G:G,"CREDITO")
+SUMIFS(df_extratos!I:I,df_extratos!F:F,"&gt;="&amp;Conciliacao!BH349,df_extratos!F:F,"&lt;"&amp;Conciliacao!BH349+1,df_extratos!G:G,"CREDITO")</f>
        <v/>
      </c>
      <c r="I349" s="9">
        <f>H349-SUM(B349:G349)</f>
        <v/>
      </c>
      <c r="J349" s="4">
        <f>SUMIFS(df_blueme_sem_parcelamento!E:E,df_blueme_sem_parcelamento!H:H,Conciliacao!A349)*(-1)</f>
        <v/>
      </c>
      <c r="K349" s="4">
        <f>SUMIFS(df_blueme_com_parcelamento!J:J,df_blueme_com_parcelamento!M:M,Conciliacao!A349)*(-1)</f>
        <v/>
      </c>
      <c r="L349" s="4">
        <f>SUMIFS(df_mutuos!N:N,df_mutuos!B:B,Conciliacao!A349)*(-1)</f>
        <v/>
      </c>
      <c r="M349" s="8">
        <f>SUMIFS(df_bloqueios_judiciais!G:G,df_bloqueios_judiciais!D:D,Conciliacao!A349,df_bloqueios_judiciais!G:G,"&lt;0")</f>
        <v/>
      </c>
      <c r="N349" s="10">
        <f>SUMIFS(df_extratos!I:I,df_extratos!F:F,"&gt;="&amp;Conciliacao!BE349,df_extratos!F:F,"&lt;"&amp;Conciliacao!BE349+1,df_extratos!G:G,"DEBITO")
+SUMIFS(df_extratos!I:I,df_extratos!F:F,"&gt;="&amp;Conciliacao!A349, df_extratos!F:F,"&lt;"&amp;Conciliacao!A349+1, df_extratos!G:G,"DEBITO")
+SUMIFS(df_extratos!I:I,df_extratos!F:F,"&gt;="&amp;Conciliacao!BF349,df_extratos!F:F,"&lt;"&amp;Conciliacao!BF349+1,df_extratos!G:G,"DEBITO")
+SUMIFS(df_extratos!I:I,df_extratos!F:F,"&gt;="&amp;Conciliacao!BG349,df_extratos!F:F,"&lt;"&amp;Conciliacao!BG349+1,df_extratos!G:G,"DEBITO")
+SUMIFS(df_extratos!I:I,df_extratos!F:F,"&gt;="&amp;Conciliacao!BH349,df_extratos!F:F,"&lt;"&amp;Conciliacao!BH349+1,df_extratos!G:G,"DEBITO")</f>
        <v/>
      </c>
      <c r="O349" s="11">
        <f>N349-SUM(J349:M349)</f>
        <v/>
      </c>
      <c r="P349" s="25">
        <f>SUMIFS(df_ajustes_conciliaco!D:D,df_ajustes_conciliaco!C:C,Conciliacao!A349)</f>
        <v/>
      </c>
      <c r="Q349" s="22">
        <f>O349+I349-P349</f>
        <v/>
      </c>
      <c r="BE349" s="20" t="n">
        <v>46005.5</v>
      </c>
      <c r="BF349" s="20" t="n">
        <v>46005.125</v>
      </c>
      <c r="BG349" s="20" t="n">
        <v>46005.54166666666</v>
      </c>
      <c r="BH349" s="20" t="n">
        <v>46005.625</v>
      </c>
    </row>
    <row r="350">
      <c r="A350" s="5">
        <f>A349+1</f>
        <v/>
      </c>
      <c r="B350" s="3">
        <f>-SUMIFS(df_extrato_zig!G:G,df_extrato_zig!E:E,Conciliacao!A350,df_extrato_zig!D:D,"Saque")-SUMIFS(df_extrato_zig!G:G,df_extrato_zig!E:E,Conciliacao!A350,df_extrato_zig!D:D,"Antecipação")</f>
        <v/>
      </c>
      <c r="C350" s="3">
        <f>SUMIFS(df_extrato_zig!E:E,df_extrato_zig!L:L,Conciliacao!A350,df_extrato_zig!F:F,"DINHEIRO")</f>
        <v/>
      </c>
      <c r="D350" s="3">
        <f>SUMIFS(view_parc_agrup!H:H,view_parc_agrup!G:G,Conciliacao!A350)</f>
        <v/>
      </c>
      <c r="E350" s="3">
        <f>SUMIFS(df_eventos!F:F,df_eventos!H:H,Conciliacao!A350)</f>
        <v/>
      </c>
      <c r="F350" s="3">
        <f>SUMIFS(df_mutuos!M:M,df_mutuos!B:B,Conciliacao!A350)</f>
        <v/>
      </c>
      <c r="G350" s="6">
        <f>SUMIFS(df_bloqueios_judiciais!G:G,df_bloqueios_judiciais!D:D,Conciliacao!A350,df_bloqueios_judiciais!G:G,"&gt;0")</f>
        <v/>
      </c>
      <c r="H350" s="7">
        <f>SUMIFS(df_extratos!I:I,df_extratos!F:F,"&gt;="&amp;Conciliacao!BE350,df_extratos!F:F,"&lt;"&amp;Conciliacao!BE350+1,df_extratos!G:G,"CREDITO")
+SUMIFS(df_extratos!I:I,df_extratos!F:F,"&gt;="&amp;Conciliacao!A350, df_extratos!F:F,"&lt;"&amp;Conciliacao!A350+1, df_extratos!G:G,"CREDITO")
+SUMIFS(df_extratos!I:I,df_extratos!F:F,"&gt;="&amp;Conciliacao!BF350,df_extratos!F:F,"&lt;"&amp;Conciliacao!BF350+1,df_extratos!G:G,"CREDITO")
+SUMIFS(df_extratos!I:I,df_extratos!F:F,"&gt;="&amp;Conciliacao!BG350,df_extratos!F:F,"&lt;"&amp;Conciliacao!BG350+1,df_extratos!G:G,"CREDITO")
+SUMIFS(df_extratos!I:I,df_extratos!F:F,"&gt;="&amp;Conciliacao!BH350,df_extratos!F:F,"&lt;"&amp;Conciliacao!BH350+1,df_extratos!G:G,"CREDITO")</f>
        <v/>
      </c>
      <c r="I350" s="9">
        <f>H350-SUM(B350:G350)</f>
        <v/>
      </c>
      <c r="J350" s="4">
        <f>SUMIFS(df_blueme_sem_parcelamento!E:E,df_blueme_sem_parcelamento!H:H,Conciliacao!A350)*(-1)</f>
        <v/>
      </c>
      <c r="K350" s="4">
        <f>SUMIFS(df_blueme_com_parcelamento!J:J,df_blueme_com_parcelamento!M:M,Conciliacao!A350)*(-1)</f>
        <v/>
      </c>
      <c r="L350" s="4">
        <f>SUMIFS(df_mutuos!N:N,df_mutuos!B:B,Conciliacao!A350)*(-1)</f>
        <v/>
      </c>
      <c r="M350" s="8">
        <f>SUMIFS(df_bloqueios_judiciais!G:G,df_bloqueios_judiciais!D:D,Conciliacao!A350,df_bloqueios_judiciais!G:G,"&lt;0")</f>
        <v/>
      </c>
      <c r="N350" s="10">
        <f>SUMIFS(df_extratos!I:I,df_extratos!F:F,"&gt;="&amp;Conciliacao!BE350,df_extratos!F:F,"&lt;"&amp;Conciliacao!BE350+1,df_extratos!G:G,"DEBITO")
+SUMIFS(df_extratos!I:I,df_extratos!F:F,"&gt;="&amp;Conciliacao!A350, df_extratos!F:F,"&lt;"&amp;Conciliacao!A350+1, df_extratos!G:G,"DEBITO")
+SUMIFS(df_extratos!I:I,df_extratos!F:F,"&gt;="&amp;Conciliacao!BF350,df_extratos!F:F,"&lt;"&amp;Conciliacao!BF350+1,df_extratos!G:G,"DEBITO")
+SUMIFS(df_extratos!I:I,df_extratos!F:F,"&gt;="&amp;Conciliacao!BG350,df_extratos!F:F,"&lt;"&amp;Conciliacao!BG350+1,df_extratos!G:G,"DEBITO")
+SUMIFS(df_extratos!I:I,df_extratos!F:F,"&gt;="&amp;Conciliacao!BH350,df_extratos!F:F,"&lt;"&amp;Conciliacao!BH350+1,df_extratos!G:G,"DEBITO")</f>
        <v/>
      </c>
      <c r="O350" s="11">
        <f>N350-SUM(J350:M350)</f>
        <v/>
      </c>
      <c r="P350" s="25">
        <f>SUMIFS(df_ajustes_conciliaco!D:D,df_ajustes_conciliaco!C:C,Conciliacao!A350)</f>
        <v/>
      </c>
      <c r="Q350" s="22">
        <f>O350+I350-P350</f>
        <v/>
      </c>
      <c r="BE350" s="20" t="n">
        <v>46006.5</v>
      </c>
      <c r="BF350" s="20" t="n">
        <v>46006.125</v>
      </c>
      <c r="BG350" s="20" t="n">
        <v>46006.54166666666</v>
      </c>
      <c r="BH350" s="20" t="n">
        <v>46006.625</v>
      </c>
    </row>
    <row r="351">
      <c r="A351" s="5">
        <f>A350+1</f>
        <v/>
      </c>
      <c r="B351" s="3">
        <f>-SUMIFS(df_extrato_zig!G:G,df_extrato_zig!E:E,Conciliacao!A351,df_extrato_zig!D:D,"Saque")-SUMIFS(df_extrato_zig!G:G,df_extrato_zig!E:E,Conciliacao!A351,df_extrato_zig!D:D,"Antecipação")</f>
        <v/>
      </c>
      <c r="C351" s="3">
        <f>SUMIFS(df_extrato_zig!E:E,df_extrato_zig!L:L,Conciliacao!A351,df_extrato_zig!F:F,"DINHEIRO")</f>
        <v/>
      </c>
      <c r="D351" s="3">
        <f>SUMIFS(view_parc_agrup!H:H,view_parc_agrup!G:G,Conciliacao!A351)</f>
        <v/>
      </c>
      <c r="E351" s="3">
        <f>SUMIFS(df_eventos!F:F,df_eventos!H:H,Conciliacao!A351)</f>
        <v/>
      </c>
      <c r="F351" s="3">
        <f>SUMIFS(df_mutuos!M:M,df_mutuos!B:B,Conciliacao!A351)</f>
        <v/>
      </c>
      <c r="G351" s="6">
        <f>SUMIFS(df_bloqueios_judiciais!G:G,df_bloqueios_judiciais!D:D,Conciliacao!A351,df_bloqueios_judiciais!G:G,"&gt;0")</f>
        <v/>
      </c>
      <c r="H351" s="7">
        <f>SUMIFS(df_extratos!I:I,df_extratos!F:F,"&gt;="&amp;Conciliacao!BE351,df_extratos!F:F,"&lt;"&amp;Conciliacao!BE351+1,df_extratos!G:G,"CREDITO")
+SUMIFS(df_extratos!I:I,df_extratos!F:F,"&gt;="&amp;Conciliacao!A351, df_extratos!F:F,"&lt;"&amp;Conciliacao!A351+1, df_extratos!G:G,"CREDITO")
+SUMIFS(df_extratos!I:I,df_extratos!F:F,"&gt;="&amp;Conciliacao!BF351,df_extratos!F:F,"&lt;"&amp;Conciliacao!BF351+1,df_extratos!G:G,"CREDITO")
+SUMIFS(df_extratos!I:I,df_extratos!F:F,"&gt;="&amp;Conciliacao!BG351,df_extratos!F:F,"&lt;"&amp;Conciliacao!BG351+1,df_extratos!G:G,"CREDITO")
+SUMIFS(df_extratos!I:I,df_extratos!F:F,"&gt;="&amp;Conciliacao!BH351,df_extratos!F:F,"&lt;"&amp;Conciliacao!BH351+1,df_extratos!G:G,"CREDITO")</f>
        <v/>
      </c>
      <c r="I351" s="9">
        <f>H351-SUM(B351:G351)</f>
        <v/>
      </c>
      <c r="J351" s="4">
        <f>SUMIFS(df_blueme_sem_parcelamento!E:E,df_blueme_sem_parcelamento!H:H,Conciliacao!A351)*(-1)</f>
        <v/>
      </c>
      <c r="K351" s="4">
        <f>SUMIFS(df_blueme_com_parcelamento!J:J,df_blueme_com_parcelamento!M:M,Conciliacao!A351)*(-1)</f>
        <v/>
      </c>
      <c r="L351" s="4">
        <f>SUMIFS(df_mutuos!N:N,df_mutuos!B:B,Conciliacao!A351)*(-1)</f>
        <v/>
      </c>
      <c r="M351" s="8">
        <f>SUMIFS(df_bloqueios_judiciais!G:G,df_bloqueios_judiciais!D:D,Conciliacao!A351,df_bloqueios_judiciais!G:G,"&lt;0")</f>
        <v/>
      </c>
      <c r="N351" s="10">
        <f>SUMIFS(df_extratos!I:I,df_extratos!F:F,"&gt;="&amp;Conciliacao!BE351,df_extratos!F:F,"&lt;"&amp;Conciliacao!BE351+1,df_extratos!G:G,"DEBITO")
+SUMIFS(df_extratos!I:I,df_extratos!F:F,"&gt;="&amp;Conciliacao!A351, df_extratos!F:F,"&lt;"&amp;Conciliacao!A351+1, df_extratos!G:G,"DEBITO")
+SUMIFS(df_extratos!I:I,df_extratos!F:F,"&gt;="&amp;Conciliacao!BF351,df_extratos!F:F,"&lt;"&amp;Conciliacao!BF351+1,df_extratos!G:G,"DEBITO")
+SUMIFS(df_extratos!I:I,df_extratos!F:F,"&gt;="&amp;Conciliacao!BG351,df_extratos!F:F,"&lt;"&amp;Conciliacao!BG351+1,df_extratos!G:G,"DEBITO")
+SUMIFS(df_extratos!I:I,df_extratos!F:F,"&gt;="&amp;Conciliacao!BH351,df_extratos!F:F,"&lt;"&amp;Conciliacao!BH351+1,df_extratos!G:G,"DEBITO")</f>
        <v/>
      </c>
      <c r="O351" s="11">
        <f>N351-SUM(J351:M351)</f>
        <v/>
      </c>
      <c r="P351" s="25">
        <f>SUMIFS(df_ajustes_conciliaco!D:D,df_ajustes_conciliaco!C:C,Conciliacao!A351)</f>
        <v/>
      </c>
      <c r="Q351" s="22">
        <f>O351+I351-P351</f>
        <v/>
      </c>
      <c r="BE351" s="20" t="n">
        <v>46007.5</v>
      </c>
      <c r="BF351" s="20" t="n">
        <v>46007.125</v>
      </c>
      <c r="BG351" s="20" t="n">
        <v>46007.54166666666</v>
      </c>
      <c r="BH351" s="20" t="n">
        <v>46007.625</v>
      </c>
    </row>
    <row r="352">
      <c r="A352" s="5">
        <f>A351+1</f>
        <v/>
      </c>
      <c r="B352" s="3">
        <f>-SUMIFS(df_extrato_zig!G:G,df_extrato_zig!E:E,Conciliacao!A352,df_extrato_zig!D:D,"Saque")-SUMIFS(df_extrato_zig!G:G,df_extrato_zig!E:E,Conciliacao!A352,df_extrato_zig!D:D,"Antecipação")</f>
        <v/>
      </c>
      <c r="C352" s="3">
        <f>SUMIFS(df_extrato_zig!E:E,df_extrato_zig!L:L,Conciliacao!A352,df_extrato_zig!F:F,"DINHEIRO")</f>
        <v/>
      </c>
      <c r="D352" s="3">
        <f>SUMIFS(view_parc_agrup!H:H,view_parc_agrup!G:G,Conciliacao!A352)</f>
        <v/>
      </c>
      <c r="E352" s="3">
        <f>SUMIFS(df_eventos!F:F,df_eventos!H:H,Conciliacao!A352)</f>
        <v/>
      </c>
      <c r="F352" s="3">
        <f>SUMIFS(df_mutuos!M:M,df_mutuos!B:B,Conciliacao!A352)</f>
        <v/>
      </c>
      <c r="G352" s="6">
        <f>SUMIFS(df_bloqueios_judiciais!G:G,df_bloqueios_judiciais!D:D,Conciliacao!A352,df_bloqueios_judiciais!G:G,"&gt;0")</f>
        <v/>
      </c>
      <c r="H352" s="7">
        <f>SUMIFS(df_extratos!I:I,df_extratos!F:F,"&gt;="&amp;Conciliacao!BE352,df_extratos!F:F,"&lt;"&amp;Conciliacao!BE352+1,df_extratos!G:G,"CREDITO")
+SUMIFS(df_extratos!I:I,df_extratos!F:F,"&gt;="&amp;Conciliacao!A352, df_extratos!F:F,"&lt;"&amp;Conciliacao!A352+1, df_extratos!G:G,"CREDITO")
+SUMIFS(df_extratos!I:I,df_extratos!F:F,"&gt;="&amp;Conciliacao!BF352,df_extratos!F:F,"&lt;"&amp;Conciliacao!BF352+1,df_extratos!G:G,"CREDITO")
+SUMIFS(df_extratos!I:I,df_extratos!F:F,"&gt;="&amp;Conciliacao!BG352,df_extratos!F:F,"&lt;"&amp;Conciliacao!BG352+1,df_extratos!G:G,"CREDITO")
+SUMIFS(df_extratos!I:I,df_extratos!F:F,"&gt;="&amp;Conciliacao!BH352,df_extratos!F:F,"&lt;"&amp;Conciliacao!BH352+1,df_extratos!G:G,"CREDITO")</f>
        <v/>
      </c>
      <c r="I352" s="9">
        <f>H352-SUM(B352:G352)</f>
        <v/>
      </c>
      <c r="J352" s="4">
        <f>SUMIFS(df_blueme_sem_parcelamento!E:E,df_blueme_sem_parcelamento!H:H,Conciliacao!A352)*(-1)</f>
        <v/>
      </c>
      <c r="K352" s="4">
        <f>SUMIFS(df_blueme_com_parcelamento!J:J,df_blueme_com_parcelamento!M:M,Conciliacao!A352)*(-1)</f>
        <v/>
      </c>
      <c r="L352" s="4">
        <f>SUMIFS(df_mutuos!N:N,df_mutuos!B:B,Conciliacao!A352)*(-1)</f>
        <v/>
      </c>
      <c r="M352" s="8">
        <f>SUMIFS(df_bloqueios_judiciais!G:G,df_bloqueios_judiciais!D:D,Conciliacao!A352,df_bloqueios_judiciais!G:G,"&lt;0")</f>
        <v/>
      </c>
      <c r="N352" s="10">
        <f>SUMIFS(df_extratos!I:I,df_extratos!F:F,"&gt;="&amp;Conciliacao!BE352,df_extratos!F:F,"&lt;"&amp;Conciliacao!BE352+1,df_extratos!G:G,"DEBITO")
+SUMIFS(df_extratos!I:I,df_extratos!F:F,"&gt;="&amp;Conciliacao!A352, df_extratos!F:F,"&lt;"&amp;Conciliacao!A352+1, df_extratos!G:G,"DEBITO")
+SUMIFS(df_extratos!I:I,df_extratos!F:F,"&gt;="&amp;Conciliacao!BF352,df_extratos!F:F,"&lt;"&amp;Conciliacao!BF352+1,df_extratos!G:G,"DEBITO")
+SUMIFS(df_extratos!I:I,df_extratos!F:F,"&gt;="&amp;Conciliacao!BG352,df_extratos!F:F,"&lt;"&amp;Conciliacao!BG352+1,df_extratos!G:G,"DEBITO")
+SUMIFS(df_extratos!I:I,df_extratos!F:F,"&gt;="&amp;Conciliacao!BH352,df_extratos!F:F,"&lt;"&amp;Conciliacao!BH352+1,df_extratos!G:G,"DEBITO")</f>
        <v/>
      </c>
      <c r="O352" s="11">
        <f>N352-SUM(J352:M352)</f>
        <v/>
      </c>
      <c r="P352" s="25">
        <f>SUMIFS(df_ajustes_conciliaco!D:D,df_ajustes_conciliaco!C:C,Conciliacao!A352)</f>
        <v/>
      </c>
      <c r="Q352" s="22">
        <f>O352+I352-P352</f>
        <v/>
      </c>
      <c r="BE352" s="20" t="n">
        <v>46008.5</v>
      </c>
      <c r="BF352" s="20" t="n">
        <v>46008.125</v>
      </c>
      <c r="BG352" s="20" t="n">
        <v>46008.54166666666</v>
      </c>
      <c r="BH352" s="20" t="n">
        <v>46008.625</v>
      </c>
    </row>
    <row r="353">
      <c r="A353" s="5">
        <f>A352+1</f>
        <v/>
      </c>
      <c r="B353" s="3">
        <f>-SUMIFS(df_extrato_zig!G:G,df_extrato_zig!E:E,Conciliacao!A353,df_extrato_zig!D:D,"Saque")-SUMIFS(df_extrato_zig!G:G,df_extrato_zig!E:E,Conciliacao!A353,df_extrato_zig!D:D,"Antecipação")</f>
        <v/>
      </c>
      <c r="C353" s="3">
        <f>SUMIFS(df_extrato_zig!E:E,df_extrato_zig!L:L,Conciliacao!A353,df_extrato_zig!F:F,"DINHEIRO")</f>
        <v/>
      </c>
      <c r="D353" s="3">
        <f>SUMIFS(view_parc_agrup!H:H,view_parc_agrup!G:G,Conciliacao!A353)</f>
        <v/>
      </c>
      <c r="E353" s="3">
        <f>SUMIFS(df_eventos!F:F,df_eventos!H:H,Conciliacao!A353)</f>
        <v/>
      </c>
      <c r="F353" s="3">
        <f>SUMIFS(df_mutuos!M:M,df_mutuos!B:B,Conciliacao!A353)</f>
        <v/>
      </c>
      <c r="G353" s="6">
        <f>SUMIFS(df_bloqueios_judiciais!G:G,df_bloqueios_judiciais!D:D,Conciliacao!A353,df_bloqueios_judiciais!G:G,"&gt;0")</f>
        <v/>
      </c>
      <c r="H353" s="7">
        <f>SUMIFS(df_extratos!I:I,df_extratos!F:F,"&gt;="&amp;Conciliacao!BE353,df_extratos!F:F,"&lt;"&amp;Conciliacao!BE353+1,df_extratos!G:G,"CREDITO")
+SUMIFS(df_extratos!I:I,df_extratos!F:F,"&gt;="&amp;Conciliacao!A353, df_extratos!F:F,"&lt;"&amp;Conciliacao!A353+1, df_extratos!G:G,"CREDITO")
+SUMIFS(df_extratos!I:I,df_extratos!F:F,"&gt;="&amp;Conciliacao!BF353,df_extratos!F:F,"&lt;"&amp;Conciliacao!BF353+1,df_extratos!G:G,"CREDITO")
+SUMIFS(df_extratos!I:I,df_extratos!F:F,"&gt;="&amp;Conciliacao!BG353,df_extratos!F:F,"&lt;"&amp;Conciliacao!BG353+1,df_extratos!G:G,"CREDITO")
+SUMIFS(df_extratos!I:I,df_extratos!F:F,"&gt;="&amp;Conciliacao!BH353,df_extratos!F:F,"&lt;"&amp;Conciliacao!BH353+1,df_extratos!G:G,"CREDITO")</f>
        <v/>
      </c>
      <c r="I353" s="9">
        <f>H353-SUM(B353:G353)</f>
        <v/>
      </c>
      <c r="J353" s="4">
        <f>SUMIFS(df_blueme_sem_parcelamento!E:E,df_blueme_sem_parcelamento!H:H,Conciliacao!A353)*(-1)</f>
        <v/>
      </c>
      <c r="K353" s="4">
        <f>SUMIFS(df_blueme_com_parcelamento!J:J,df_blueme_com_parcelamento!M:M,Conciliacao!A353)*(-1)</f>
        <v/>
      </c>
      <c r="L353" s="4">
        <f>SUMIFS(df_mutuos!N:N,df_mutuos!B:B,Conciliacao!A353)*(-1)</f>
        <v/>
      </c>
      <c r="M353" s="8">
        <f>SUMIFS(df_bloqueios_judiciais!G:G,df_bloqueios_judiciais!D:D,Conciliacao!A353,df_bloqueios_judiciais!G:G,"&lt;0")</f>
        <v/>
      </c>
      <c r="N353" s="10">
        <f>SUMIFS(df_extratos!I:I,df_extratos!F:F,"&gt;="&amp;Conciliacao!BE353,df_extratos!F:F,"&lt;"&amp;Conciliacao!BE353+1,df_extratos!G:G,"DEBITO")
+SUMIFS(df_extratos!I:I,df_extratos!F:F,"&gt;="&amp;Conciliacao!A353, df_extratos!F:F,"&lt;"&amp;Conciliacao!A353+1, df_extratos!G:G,"DEBITO")
+SUMIFS(df_extratos!I:I,df_extratos!F:F,"&gt;="&amp;Conciliacao!BF353,df_extratos!F:F,"&lt;"&amp;Conciliacao!BF353+1,df_extratos!G:G,"DEBITO")
+SUMIFS(df_extratos!I:I,df_extratos!F:F,"&gt;="&amp;Conciliacao!BG353,df_extratos!F:F,"&lt;"&amp;Conciliacao!BG353+1,df_extratos!G:G,"DEBITO")
+SUMIFS(df_extratos!I:I,df_extratos!F:F,"&gt;="&amp;Conciliacao!BH353,df_extratos!F:F,"&lt;"&amp;Conciliacao!BH353+1,df_extratos!G:G,"DEBITO")</f>
        <v/>
      </c>
      <c r="O353" s="11">
        <f>N353-SUM(J353:M353)</f>
        <v/>
      </c>
      <c r="P353" s="25">
        <f>SUMIFS(df_ajustes_conciliaco!D:D,df_ajustes_conciliaco!C:C,Conciliacao!A353)</f>
        <v/>
      </c>
      <c r="Q353" s="22">
        <f>O353+I353-P353</f>
        <v/>
      </c>
      <c r="BE353" s="20" t="n">
        <v>46009.5</v>
      </c>
      <c r="BF353" s="20" t="n">
        <v>46009.125</v>
      </c>
      <c r="BG353" s="20" t="n">
        <v>46009.54166666666</v>
      </c>
      <c r="BH353" s="20" t="n">
        <v>46009.625</v>
      </c>
    </row>
    <row r="354">
      <c r="A354" s="5">
        <f>A353+1</f>
        <v/>
      </c>
      <c r="B354" s="3">
        <f>-SUMIFS(df_extrato_zig!G:G,df_extrato_zig!E:E,Conciliacao!A354,df_extrato_zig!D:D,"Saque")-SUMIFS(df_extrato_zig!G:G,df_extrato_zig!E:E,Conciliacao!A354,df_extrato_zig!D:D,"Antecipação")</f>
        <v/>
      </c>
      <c r="C354" s="3">
        <f>SUMIFS(df_extrato_zig!E:E,df_extrato_zig!L:L,Conciliacao!A354,df_extrato_zig!F:F,"DINHEIRO")</f>
        <v/>
      </c>
      <c r="D354" s="3">
        <f>SUMIFS(view_parc_agrup!H:H,view_parc_agrup!G:G,Conciliacao!A354)</f>
        <v/>
      </c>
      <c r="E354" s="3">
        <f>SUMIFS(df_eventos!F:F,df_eventos!H:H,Conciliacao!A354)</f>
        <v/>
      </c>
      <c r="F354" s="3">
        <f>SUMIFS(df_mutuos!M:M,df_mutuos!B:B,Conciliacao!A354)</f>
        <v/>
      </c>
      <c r="G354" s="6">
        <f>SUMIFS(df_bloqueios_judiciais!G:G,df_bloqueios_judiciais!D:D,Conciliacao!A354,df_bloqueios_judiciais!G:G,"&gt;0")</f>
        <v/>
      </c>
      <c r="H354" s="7">
        <f>SUMIFS(df_extratos!I:I,df_extratos!F:F,"&gt;="&amp;Conciliacao!BE354,df_extratos!F:F,"&lt;"&amp;Conciliacao!BE354+1,df_extratos!G:G,"CREDITO")
+SUMIFS(df_extratos!I:I,df_extratos!F:F,"&gt;="&amp;Conciliacao!A354, df_extratos!F:F,"&lt;"&amp;Conciliacao!A354+1, df_extratos!G:G,"CREDITO")
+SUMIFS(df_extratos!I:I,df_extratos!F:F,"&gt;="&amp;Conciliacao!BF354,df_extratos!F:F,"&lt;"&amp;Conciliacao!BF354+1,df_extratos!G:G,"CREDITO")
+SUMIFS(df_extratos!I:I,df_extratos!F:F,"&gt;="&amp;Conciliacao!BG354,df_extratos!F:F,"&lt;"&amp;Conciliacao!BG354+1,df_extratos!G:G,"CREDITO")
+SUMIFS(df_extratos!I:I,df_extratos!F:F,"&gt;="&amp;Conciliacao!BH354,df_extratos!F:F,"&lt;"&amp;Conciliacao!BH354+1,df_extratos!G:G,"CREDITO")</f>
        <v/>
      </c>
      <c r="I354" s="9">
        <f>H354-SUM(B354:G354)</f>
        <v/>
      </c>
      <c r="J354" s="4">
        <f>SUMIFS(df_blueme_sem_parcelamento!E:E,df_blueme_sem_parcelamento!H:H,Conciliacao!A354)*(-1)</f>
        <v/>
      </c>
      <c r="K354" s="4">
        <f>SUMIFS(df_blueme_com_parcelamento!J:J,df_blueme_com_parcelamento!M:M,Conciliacao!A354)*(-1)</f>
        <v/>
      </c>
      <c r="L354" s="4">
        <f>SUMIFS(df_mutuos!N:N,df_mutuos!B:B,Conciliacao!A354)*(-1)</f>
        <v/>
      </c>
      <c r="M354" s="8">
        <f>SUMIFS(df_bloqueios_judiciais!G:G,df_bloqueios_judiciais!D:D,Conciliacao!A354,df_bloqueios_judiciais!G:G,"&lt;0")</f>
        <v/>
      </c>
      <c r="N354" s="10">
        <f>SUMIFS(df_extratos!I:I,df_extratos!F:F,"&gt;="&amp;Conciliacao!BE354,df_extratos!F:F,"&lt;"&amp;Conciliacao!BE354+1,df_extratos!G:G,"DEBITO")
+SUMIFS(df_extratos!I:I,df_extratos!F:F,"&gt;="&amp;Conciliacao!A354, df_extratos!F:F,"&lt;"&amp;Conciliacao!A354+1, df_extratos!G:G,"DEBITO")
+SUMIFS(df_extratos!I:I,df_extratos!F:F,"&gt;="&amp;Conciliacao!BF354,df_extratos!F:F,"&lt;"&amp;Conciliacao!BF354+1,df_extratos!G:G,"DEBITO")
+SUMIFS(df_extratos!I:I,df_extratos!F:F,"&gt;="&amp;Conciliacao!BG354,df_extratos!F:F,"&lt;"&amp;Conciliacao!BG354+1,df_extratos!G:G,"DEBITO")
+SUMIFS(df_extratos!I:I,df_extratos!F:F,"&gt;="&amp;Conciliacao!BH354,df_extratos!F:F,"&lt;"&amp;Conciliacao!BH354+1,df_extratos!G:G,"DEBITO")</f>
        <v/>
      </c>
      <c r="O354" s="11">
        <f>N354-SUM(J354:M354)</f>
        <v/>
      </c>
      <c r="P354" s="25">
        <f>SUMIFS(df_ajustes_conciliaco!D:D,df_ajustes_conciliaco!C:C,Conciliacao!A354)</f>
        <v/>
      </c>
      <c r="Q354" s="22">
        <f>O354+I354-P354</f>
        <v/>
      </c>
      <c r="BE354" s="20" t="n">
        <v>46010.5</v>
      </c>
      <c r="BF354" s="20" t="n">
        <v>46010.125</v>
      </c>
      <c r="BG354" s="20" t="n">
        <v>46010.54166666666</v>
      </c>
      <c r="BH354" s="20" t="n">
        <v>46010.625</v>
      </c>
    </row>
    <row r="355">
      <c r="A355" s="5">
        <f>A354+1</f>
        <v/>
      </c>
      <c r="B355" s="3">
        <f>-SUMIFS(df_extrato_zig!G:G,df_extrato_zig!E:E,Conciliacao!A355,df_extrato_zig!D:D,"Saque")-SUMIFS(df_extrato_zig!G:G,df_extrato_zig!E:E,Conciliacao!A355,df_extrato_zig!D:D,"Antecipação")</f>
        <v/>
      </c>
      <c r="C355" s="3">
        <f>SUMIFS(df_extrato_zig!E:E,df_extrato_zig!L:L,Conciliacao!A355,df_extrato_zig!F:F,"DINHEIRO")</f>
        <v/>
      </c>
      <c r="D355" s="3">
        <f>SUMIFS(view_parc_agrup!H:H,view_parc_agrup!G:G,Conciliacao!A355)</f>
        <v/>
      </c>
      <c r="E355" s="3">
        <f>SUMIFS(df_eventos!F:F,df_eventos!H:H,Conciliacao!A355)</f>
        <v/>
      </c>
      <c r="F355" s="3">
        <f>SUMIFS(df_mutuos!M:M,df_mutuos!B:B,Conciliacao!A355)</f>
        <v/>
      </c>
      <c r="G355" s="6">
        <f>SUMIFS(df_bloqueios_judiciais!G:G,df_bloqueios_judiciais!D:D,Conciliacao!A355,df_bloqueios_judiciais!G:G,"&gt;0")</f>
        <v/>
      </c>
      <c r="H355" s="7">
        <f>SUMIFS(df_extratos!I:I,df_extratos!F:F,"&gt;="&amp;Conciliacao!BE355,df_extratos!F:F,"&lt;"&amp;Conciliacao!BE355+1,df_extratos!G:G,"CREDITO")
+SUMIFS(df_extratos!I:I,df_extratos!F:F,"&gt;="&amp;Conciliacao!A355, df_extratos!F:F,"&lt;"&amp;Conciliacao!A355+1, df_extratos!G:G,"CREDITO")
+SUMIFS(df_extratos!I:I,df_extratos!F:F,"&gt;="&amp;Conciliacao!BF355,df_extratos!F:F,"&lt;"&amp;Conciliacao!BF355+1,df_extratos!G:G,"CREDITO")
+SUMIFS(df_extratos!I:I,df_extratos!F:F,"&gt;="&amp;Conciliacao!BG355,df_extratos!F:F,"&lt;"&amp;Conciliacao!BG355+1,df_extratos!G:G,"CREDITO")
+SUMIFS(df_extratos!I:I,df_extratos!F:F,"&gt;="&amp;Conciliacao!BH355,df_extratos!F:F,"&lt;"&amp;Conciliacao!BH355+1,df_extratos!G:G,"CREDITO")</f>
        <v/>
      </c>
      <c r="I355" s="9">
        <f>H355-SUM(B355:G355)</f>
        <v/>
      </c>
      <c r="J355" s="4">
        <f>SUMIFS(df_blueme_sem_parcelamento!E:E,df_blueme_sem_parcelamento!H:H,Conciliacao!A355)*(-1)</f>
        <v/>
      </c>
      <c r="K355" s="4">
        <f>SUMIFS(df_blueme_com_parcelamento!J:J,df_blueme_com_parcelamento!M:M,Conciliacao!A355)*(-1)</f>
        <v/>
      </c>
      <c r="L355" s="4">
        <f>SUMIFS(df_mutuos!N:N,df_mutuos!B:B,Conciliacao!A355)*(-1)</f>
        <v/>
      </c>
      <c r="M355" s="8">
        <f>SUMIFS(df_bloqueios_judiciais!G:G,df_bloqueios_judiciais!D:D,Conciliacao!A355,df_bloqueios_judiciais!G:G,"&lt;0")</f>
        <v/>
      </c>
      <c r="N355" s="10">
        <f>SUMIFS(df_extratos!I:I,df_extratos!F:F,"&gt;="&amp;Conciliacao!BE355,df_extratos!F:F,"&lt;"&amp;Conciliacao!BE355+1,df_extratos!G:G,"DEBITO")
+SUMIFS(df_extratos!I:I,df_extratos!F:F,"&gt;="&amp;Conciliacao!A355, df_extratos!F:F,"&lt;"&amp;Conciliacao!A355+1, df_extratos!G:G,"DEBITO")
+SUMIFS(df_extratos!I:I,df_extratos!F:F,"&gt;="&amp;Conciliacao!BF355,df_extratos!F:F,"&lt;"&amp;Conciliacao!BF355+1,df_extratos!G:G,"DEBITO")
+SUMIFS(df_extratos!I:I,df_extratos!F:F,"&gt;="&amp;Conciliacao!BG355,df_extratos!F:F,"&lt;"&amp;Conciliacao!BG355+1,df_extratos!G:G,"DEBITO")
+SUMIFS(df_extratos!I:I,df_extratos!F:F,"&gt;="&amp;Conciliacao!BH355,df_extratos!F:F,"&lt;"&amp;Conciliacao!BH355+1,df_extratos!G:G,"DEBITO")</f>
        <v/>
      </c>
      <c r="O355" s="11">
        <f>N355-SUM(J355:M355)</f>
        <v/>
      </c>
      <c r="P355" s="25">
        <f>SUMIFS(df_ajustes_conciliaco!D:D,df_ajustes_conciliaco!C:C,Conciliacao!A355)</f>
        <v/>
      </c>
      <c r="Q355" s="22">
        <f>O355+I355-P355</f>
        <v/>
      </c>
      <c r="BE355" s="20" t="n">
        <v>46011.5</v>
      </c>
      <c r="BF355" s="20" t="n">
        <v>46011.125</v>
      </c>
      <c r="BG355" s="20" t="n">
        <v>46011.54166666666</v>
      </c>
      <c r="BH355" s="20" t="n">
        <v>46011.625</v>
      </c>
    </row>
    <row r="356">
      <c r="A356" s="5">
        <f>A355+1</f>
        <v/>
      </c>
      <c r="B356" s="3">
        <f>-SUMIFS(df_extrato_zig!G:G,df_extrato_zig!E:E,Conciliacao!A356,df_extrato_zig!D:D,"Saque")-SUMIFS(df_extrato_zig!G:G,df_extrato_zig!E:E,Conciliacao!A356,df_extrato_zig!D:D,"Antecipação")</f>
        <v/>
      </c>
      <c r="C356" s="3">
        <f>SUMIFS(df_extrato_zig!E:E,df_extrato_zig!L:L,Conciliacao!A356,df_extrato_zig!F:F,"DINHEIRO")</f>
        <v/>
      </c>
      <c r="D356" s="3">
        <f>SUMIFS(view_parc_agrup!H:H,view_parc_agrup!G:G,Conciliacao!A356)</f>
        <v/>
      </c>
      <c r="E356" s="3">
        <f>SUMIFS(df_eventos!F:F,df_eventos!H:H,Conciliacao!A356)</f>
        <v/>
      </c>
      <c r="F356" s="3">
        <f>SUMIFS(df_mutuos!M:M,df_mutuos!B:B,Conciliacao!A356)</f>
        <v/>
      </c>
      <c r="G356" s="6">
        <f>SUMIFS(df_bloqueios_judiciais!G:G,df_bloqueios_judiciais!D:D,Conciliacao!A356,df_bloqueios_judiciais!G:G,"&gt;0")</f>
        <v/>
      </c>
      <c r="H356" s="7">
        <f>SUMIFS(df_extratos!I:I,df_extratos!F:F,"&gt;="&amp;Conciliacao!BE356,df_extratos!F:F,"&lt;"&amp;Conciliacao!BE356+1,df_extratos!G:G,"CREDITO")
+SUMIFS(df_extratos!I:I,df_extratos!F:F,"&gt;="&amp;Conciliacao!A356, df_extratos!F:F,"&lt;"&amp;Conciliacao!A356+1, df_extratos!G:G,"CREDITO")
+SUMIFS(df_extratos!I:I,df_extratos!F:F,"&gt;="&amp;Conciliacao!BF356,df_extratos!F:F,"&lt;"&amp;Conciliacao!BF356+1,df_extratos!G:G,"CREDITO")
+SUMIFS(df_extratos!I:I,df_extratos!F:F,"&gt;="&amp;Conciliacao!BG356,df_extratos!F:F,"&lt;"&amp;Conciliacao!BG356+1,df_extratos!G:G,"CREDITO")
+SUMIFS(df_extratos!I:I,df_extratos!F:F,"&gt;="&amp;Conciliacao!BH356,df_extratos!F:F,"&lt;"&amp;Conciliacao!BH356+1,df_extratos!G:G,"CREDITO")</f>
        <v/>
      </c>
      <c r="I356" s="9">
        <f>H356-SUM(B356:G356)</f>
        <v/>
      </c>
      <c r="J356" s="4">
        <f>SUMIFS(df_blueme_sem_parcelamento!E:E,df_blueme_sem_parcelamento!H:H,Conciliacao!A356)*(-1)</f>
        <v/>
      </c>
      <c r="K356" s="4">
        <f>SUMIFS(df_blueme_com_parcelamento!J:J,df_blueme_com_parcelamento!M:M,Conciliacao!A356)*(-1)</f>
        <v/>
      </c>
      <c r="L356" s="4">
        <f>SUMIFS(df_mutuos!N:N,df_mutuos!B:B,Conciliacao!A356)*(-1)</f>
        <v/>
      </c>
      <c r="M356" s="8">
        <f>SUMIFS(df_bloqueios_judiciais!G:G,df_bloqueios_judiciais!D:D,Conciliacao!A356,df_bloqueios_judiciais!G:G,"&lt;0")</f>
        <v/>
      </c>
      <c r="N356" s="10">
        <f>SUMIFS(df_extratos!I:I,df_extratos!F:F,"&gt;="&amp;Conciliacao!BE356,df_extratos!F:F,"&lt;"&amp;Conciliacao!BE356+1,df_extratos!G:G,"DEBITO")
+SUMIFS(df_extratos!I:I,df_extratos!F:F,"&gt;="&amp;Conciliacao!A356, df_extratos!F:F,"&lt;"&amp;Conciliacao!A356+1, df_extratos!G:G,"DEBITO")
+SUMIFS(df_extratos!I:I,df_extratos!F:F,"&gt;="&amp;Conciliacao!BF356,df_extratos!F:F,"&lt;"&amp;Conciliacao!BF356+1,df_extratos!G:G,"DEBITO")
+SUMIFS(df_extratos!I:I,df_extratos!F:F,"&gt;="&amp;Conciliacao!BG356,df_extratos!F:F,"&lt;"&amp;Conciliacao!BG356+1,df_extratos!G:G,"DEBITO")
+SUMIFS(df_extratos!I:I,df_extratos!F:F,"&gt;="&amp;Conciliacao!BH356,df_extratos!F:F,"&lt;"&amp;Conciliacao!BH356+1,df_extratos!G:G,"DEBITO")</f>
        <v/>
      </c>
      <c r="O356" s="11">
        <f>N356-SUM(J356:M356)</f>
        <v/>
      </c>
      <c r="P356" s="25">
        <f>SUMIFS(df_ajustes_conciliaco!D:D,df_ajustes_conciliaco!C:C,Conciliacao!A356)</f>
        <v/>
      </c>
      <c r="Q356" s="22">
        <f>O356+I356-P356</f>
        <v/>
      </c>
      <c r="BE356" s="20" t="n">
        <v>46012.5</v>
      </c>
      <c r="BF356" s="20" t="n">
        <v>46012.125</v>
      </c>
      <c r="BG356" s="20" t="n">
        <v>46012.54166666666</v>
      </c>
      <c r="BH356" s="20" t="n">
        <v>46012.625</v>
      </c>
    </row>
    <row r="357">
      <c r="A357" s="5">
        <f>A356+1</f>
        <v/>
      </c>
      <c r="B357" s="3">
        <f>-SUMIFS(df_extrato_zig!G:G,df_extrato_zig!E:E,Conciliacao!A357,df_extrato_zig!D:D,"Saque")-SUMIFS(df_extrato_zig!G:G,df_extrato_zig!E:E,Conciliacao!A357,df_extrato_zig!D:D,"Antecipação")</f>
        <v/>
      </c>
      <c r="C357" s="3">
        <f>SUMIFS(df_extrato_zig!E:E,df_extrato_zig!L:L,Conciliacao!A357,df_extrato_zig!F:F,"DINHEIRO")</f>
        <v/>
      </c>
      <c r="D357" s="3">
        <f>SUMIFS(view_parc_agrup!H:H,view_parc_agrup!G:G,Conciliacao!A357)</f>
        <v/>
      </c>
      <c r="E357" s="3">
        <f>SUMIFS(df_eventos!F:F,df_eventos!H:H,Conciliacao!A357)</f>
        <v/>
      </c>
      <c r="F357" s="3">
        <f>SUMIFS(df_mutuos!M:M,df_mutuos!B:B,Conciliacao!A357)</f>
        <v/>
      </c>
      <c r="G357" s="6">
        <f>SUMIFS(df_bloqueios_judiciais!G:G,df_bloqueios_judiciais!D:D,Conciliacao!A357,df_bloqueios_judiciais!G:G,"&gt;0")</f>
        <v/>
      </c>
      <c r="H357" s="7">
        <f>SUMIFS(df_extratos!I:I,df_extratos!F:F,"&gt;="&amp;Conciliacao!BE357,df_extratos!F:F,"&lt;"&amp;Conciliacao!BE357+1,df_extratos!G:G,"CREDITO")
+SUMIFS(df_extratos!I:I,df_extratos!F:F,"&gt;="&amp;Conciliacao!A357, df_extratos!F:F,"&lt;"&amp;Conciliacao!A357+1, df_extratos!G:G,"CREDITO")
+SUMIFS(df_extratos!I:I,df_extratos!F:F,"&gt;="&amp;Conciliacao!BF357,df_extratos!F:F,"&lt;"&amp;Conciliacao!BF357+1,df_extratos!G:G,"CREDITO")
+SUMIFS(df_extratos!I:I,df_extratos!F:F,"&gt;="&amp;Conciliacao!BG357,df_extratos!F:F,"&lt;"&amp;Conciliacao!BG357+1,df_extratos!G:G,"CREDITO")
+SUMIFS(df_extratos!I:I,df_extratos!F:F,"&gt;="&amp;Conciliacao!BH357,df_extratos!F:F,"&lt;"&amp;Conciliacao!BH357+1,df_extratos!G:G,"CREDITO")</f>
        <v/>
      </c>
      <c r="I357" s="9">
        <f>H357-SUM(B357:G357)</f>
        <v/>
      </c>
      <c r="J357" s="4">
        <f>SUMIFS(df_blueme_sem_parcelamento!E:E,df_blueme_sem_parcelamento!H:H,Conciliacao!A357)*(-1)</f>
        <v/>
      </c>
      <c r="K357" s="4">
        <f>SUMIFS(df_blueme_com_parcelamento!J:J,df_blueme_com_parcelamento!M:M,Conciliacao!A357)*(-1)</f>
        <v/>
      </c>
      <c r="L357" s="4">
        <f>SUMIFS(df_mutuos!N:N,df_mutuos!B:B,Conciliacao!A357)*(-1)</f>
        <v/>
      </c>
      <c r="M357" s="8">
        <f>SUMIFS(df_bloqueios_judiciais!G:G,df_bloqueios_judiciais!D:D,Conciliacao!A357,df_bloqueios_judiciais!G:G,"&lt;0")</f>
        <v/>
      </c>
      <c r="N357" s="10">
        <f>SUMIFS(df_extratos!I:I,df_extratos!F:F,"&gt;="&amp;Conciliacao!BE357,df_extratos!F:F,"&lt;"&amp;Conciliacao!BE357+1,df_extratos!G:G,"DEBITO")
+SUMIFS(df_extratos!I:I,df_extratos!F:F,"&gt;="&amp;Conciliacao!A357, df_extratos!F:F,"&lt;"&amp;Conciliacao!A357+1, df_extratos!G:G,"DEBITO")
+SUMIFS(df_extratos!I:I,df_extratos!F:F,"&gt;="&amp;Conciliacao!BF357,df_extratos!F:F,"&lt;"&amp;Conciliacao!BF357+1,df_extratos!G:G,"DEBITO")
+SUMIFS(df_extratos!I:I,df_extratos!F:F,"&gt;="&amp;Conciliacao!BG357,df_extratos!F:F,"&lt;"&amp;Conciliacao!BG357+1,df_extratos!G:G,"DEBITO")
+SUMIFS(df_extratos!I:I,df_extratos!F:F,"&gt;="&amp;Conciliacao!BH357,df_extratos!F:F,"&lt;"&amp;Conciliacao!BH357+1,df_extratos!G:G,"DEBITO")</f>
        <v/>
      </c>
      <c r="O357" s="11">
        <f>N357-SUM(J357:M357)</f>
        <v/>
      </c>
      <c r="P357" s="25">
        <f>SUMIFS(df_ajustes_conciliaco!D:D,df_ajustes_conciliaco!C:C,Conciliacao!A357)</f>
        <v/>
      </c>
      <c r="Q357" s="22">
        <f>O357+I357-P357</f>
        <v/>
      </c>
      <c r="BE357" s="20" t="n">
        <v>46013.5</v>
      </c>
      <c r="BF357" s="20" t="n">
        <v>46013.125</v>
      </c>
      <c r="BG357" s="20" t="n">
        <v>46013.54166666666</v>
      </c>
      <c r="BH357" s="20" t="n">
        <v>46013.625</v>
      </c>
    </row>
    <row r="358">
      <c r="A358" s="5">
        <f>A357+1</f>
        <v/>
      </c>
      <c r="B358" s="3">
        <f>-SUMIFS(df_extrato_zig!G:G,df_extrato_zig!E:E,Conciliacao!A358,df_extrato_zig!D:D,"Saque")-SUMIFS(df_extrato_zig!G:G,df_extrato_zig!E:E,Conciliacao!A358,df_extrato_zig!D:D,"Antecipação")</f>
        <v/>
      </c>
      <c r="C358" s="3">
        <f>SUMIFS(df_extrato_zig!E:E,df_extrato_zig!L:L,Conciliacao!A358,df_extrato_zig!F:F,"DINHEIRO")</f>
        <v/>
      </c>
      <c r="D358" s="3">
        <f>SUMIFS(view_parc_agrup!H:H,view_parc_agrup!G:G,Conciliacao!A358)</f>
        <v/>
      </c>
      <c r="E358" s="3">
        <f>SUMIFS(df_eventos!F:F,df_eventos!H:H,Conciliacao!A358)</f>
        <v/>
      </c>
      <c r="F358" s="3">
        <f>SUMIFS(df_mutuos!M:M,df_mutuos!B:B,Conciliacao!A358)</f>
        <v/>
      </c>
      <c r="G358" s="6">
        <f>SUMIFS(df_bloqueios_judiciais!G:G,df_bloqueios_judiciais!D:D,Conciliacao!A358,df_bloqueios_judiciais!G:G,"&gt;0")</f>
        <v/>
      </c>
      <c r="H358" s="7">
        <f>SUMIFS(df_extratos!I:I,df_extratos!F:F,"&gt;="&amp;Conciliacao!BE358,df_extratos!F:F,"&lt;"&amp;Conciliacao!BE358+1,df_extratos!G:G,"CREDITO")
+SUMIFS(df_extratos!I:I,df_extratos!F:F,"&gt;="&amp;Conciliacao!A358, df_extratos!F:F,"&lt;"&amp;Conciliacao!A358+1, df_extratos!G:G,"CREDITO")
+SUMIFS(df_extratos!I:I,df_extratos!F:F,"&gt;="&amp;Conciliacao!BF358,df_extratos!F:F,"&lt;"&amp;Conciliacao!BF358+1,df_extratos!G:G,"CREDITO")
+SUMIFS(df_extratos!I:I,df_extratos!F:F,"&gt;="&amp;Conciliacao!BG358,df_extratos!F:F,"&lt;"&amp;Conciliacao!BG358+1,df_extratos!G:G,"CREDITO")
+SUMIFS(df_extratos!I:I,df_extratos!F:F,"&gt;="&amp;Conciliacao!BH358,df_extratos!F:F,"&lt;"&amp;Conciliacao!BH358+1,df_extratos!G:G,"CREDITO")</f>
        <v/>
      </c>
      <c r="I358" s="9">
        <f>H358-SUM(B358:G358)</f>
        <v/>
      </c>
      <c r="J358" s="4">
        <f>SUMIFS(df_blueme_sem_parcelamento!E:E,df_blueme_sem_parcelamento!H:H,Conciliacao!A358)*(-1)</f>
        <v/>
      </c>
      <c r="K358" s="4">
        <f>SUMIFS(df_blueme_com_parcelamento!J:J,df_blueme_com_parcelamento!M:M,Conciliacao!A358)*(-1)</f>
        <v/>
      </c>
      <c r="L358" s="4">
        <f>SUMIFS(df_mutuos!N:N,df_mutuos!B:B,Conciliacao!A358)*(-1)</f>
        <v/>
      </c>
      <c r="M358" s="8">
        <f>SUMIFS(df_bloqueios_judiciais!G:G,df_bloqueios_judiciais!D:D,Conciliacao!A358,df_bloqueios_judiciais!G:G,"&lt;0")</f>
        <v/>
      </c>
      <c r="N358" s="10">
        <f>SUMIFS(df_extratos!I:I,df_extratos!F:F,"&gt;="&amp;Conciliacao!BE358,df_extratos!F:F,"&lt;"&amp;Conciliacao!BE358+1,df_extratos!G:G,"DEBITO")
+SUMIFS(df_extratos!I:I,df_extratos!F:F,"&gt;="&amp;Conciliacao!A358, df_extratos!F:F,"&lt;"&amp;Conciliacao!A358+1, df_extratos!G:G,"DEBITO")
+SUMIFS(df_extratos!I:I,df_extratos!F:F,"&gt;="&amp;Conciliacao!BF358,df_extratos!F:F,"&lt;"&amp;Conciliacao!BF358+1,df_extratos!G:G,"DEBITO")
+SUMIFS(df_extratos!I:I,df_extratos!F:F,"&gt;="&amp;Conciliacao!BG358,df_extratos!F:F,"&lt;"&amp;Conciliacao!BG358+1,df_extratos!G:G,"DEBITO")
+SUMIFS(df_extratos!I:I,df_extratos!F:F,"&gt;="&amp;Conciliacao!BH358,df_extratos!F:F,"&lt;"&amp;Conciliacao!BH358+1,df_extratos!G:G,"DEBITO")</f>
        <v/>
      </c>
      <c r="O358" s="11">
        <f>N358-SUM(J358:M358)</f>
        <v/>
      </c>
      <c r="P358" s="25">
        <f>SUMIFS(df_ajustes_conciliaco!D:D,df_ajustes_conciliaco!C:C,Conciliacao!A358)</f>
        <v/>
      </c>
      <c r="Q358" s="22">
        <f>O358+I358-P358</f>
        <v/>
      </c>
      <c r="BE358" s="20" t="n">
        <v>46014.5</v>
      </c>
      <c r="BF358" s="20" t="n">
        <v>46014.125</v>
      </c>
      <c r="BG358" s="20" t="n">
        <v>46014.54166666666</v>
      </c>
      <c r="BH358" s="20" t="n">
        <v>46014.625</v>
      </c>
    </row>
    <row r="359">
      <c r="A359" s="5">
        <f>A358+1</f>
        <v/>
      </c>
      <c r="B359" s="3">
        <f>-SUMIFS(df_extrato_zig!G:G,df_extrato_zig!E:E,Conciliacao!A359,df_extrato_zig!D:D,"Saque")-SUMIFS(df_extrato_zig!G:G,df_extrato_zig!E:E,Conciliacao!A359,df_extrato_zig!D:D,"Antecipação")</f>
        <v/>
      </c>
      <c r="C359" s="3">
        <f>SUMIFS(df_extrato_zig!E:E,df_extrato_zig!L:L,Conciliacao!A359,df_extrato_zig!F:F,"DINHEIRO")</f>
        <v/>
      </c>
      <c r="D359" s="3">
        <f>SUMIFS(view_parc_agrup!H:H,view_parc_agrup!G:G,Conciliacao!A359)</f>
        <v/>
      </c>
      <c r="E359" s="3">
        <f>SUMIFS(df_eventos!F:F,df_eventos!H:H,Conciliacao!A359)</f>
        <v/>
      </c>
      <c r="F359" s="3">
        <f>SUMIFS(df_mutuos!M:M,df_mutuos!B:B,Conciliacao!A359)</f>
        <v/>
      </c>
      <c r="G359" s="6">
        <f>SUMIFS(df_bloqueios_judiciais!G:G,df_bloqueios_judiciais!D:D,Conciliacao!A359,df_bloqueios_judiciais!G:G,"&gt;0")</f>
        <v/>
      </c>
      <c r="H359" s="7">
        <f>SUMIFS(df_extratos!I:I,df_extratos!F:F,"&gt;="&amp;Conciliacao!BE359,df_extratos!F:F,"&lt;"&amp;Conciliacao!BE359+1,df_extratos!G:G,"CREDITO")
+SUMIFS(df_extratos!I:I,df_extratos!F:F,"&gt;="&amp;Conciliacao!A359, df_extratos!F:F,"&lt;"&amp;Conciliacao!A359+1, df_extratos!G:G,"CREDITO")
+SUMIFS(df_extratos!I:I,df_extratos!F:F,"&gt;="&amp;Conciliacao!BF359,df_extratos!F:F,"&lt;"&amp;Conciliacao!BF359+1,df_extratos!G:G,"CREDITO")
+SUMIFS(df_extratos!I:I,df_extratos!F:F,"&gt;="&amp;Conciliacao!BG359,df_extratos!F:F,"&lt;"&amp;Conciliacao!BG359+1,df_extratos!G:G,"CREDITO")
+SUMIFS(df_extratos!I:I,df_extratos!F:F,"&gt;="&amp;Conciliacao!BH359,df_extratos!F:F,"&lt;"&amp;Conciliacao!BH359+1,df_extratos!G:G,"CREDITO")</f>
        <v/>
      </c>
      <c r="I359" s="9">
        <f>H359-SUM(B359:G359)</f>
        <v/>
      </c>
      <c r="J359" s="4">
        <f>SUMIFS(df_blueme_sem_parcelamento!E:E,df_blueme_sem_parcelamento!H:H,Conciliacao!A359)*(-1)</f>
        <v/>
      </c>
      <c r="K359" s="4">
        <f>SUMIFS(df_blueme_com_parcelamento!J:J,df_blueme_com_parcelamento!M:M,Conciliacao!A359)*(-1)</f>
        <v/>
      </c>
      <c r="L359" s="4">
        <f>SUMIFS(df_mutuos!N:N,df_mutuos!B:B,Conciliacao!A359)*(-1)</f>
        <v/>
      </c>
      <c r="M359" s="8">
        <f>SUMIFS(df_bloqueios_judiciais!G:G,df_bloqueios_judiciais!D:D,Conciliacao!A359,df_bloqueios_judiciais!G:G,"&lt;0")</f>
        <v/>
      </c>
      <c r="N359" s="10">
        <f>SUMIFS(df_extratos!I:I,df_extratos!F:F,"&gt;="&amp;Conciliacao!BE359,df_extratos!F:F,"&lt;"&amp;Conciliacao!BE359+1,df_extratos!G:G,"DEBITO")
+SUMIFS(df_extratos!I:I,df_extratos!F:F,"&gt;="&amp;Conciliacao!A359, df_extratos!F:F,"&lt;"&amp;Conciliacao!A359+1, df_extratos!G:G,"DEBITO")
+SUMIFS(df_extratos!I:I,df_extratos!F:F,"&gt;="&amp;Conciliacao!BF359,df_extratos!F:F,"&lt;"&amp;Conciliacao!BF359+1,df_extratos!G:G,"DEBITO")
+SUMIFS(df_extratos!I:I,df_extratos!F:F,"&gt;="&amp;Conciliacao!BG359,df_extratos!F:F,"&lt;"&amp;Conciliacao!BG359+1,df_extratos!G:G,"DEBITO")
+SUMIFS(df_extratos!I:I,df_extratos!F:F,"&gt;="&amp;Conciliacao!BH359,df_extratos!F:F,"&lt;"&amp;Conciliacao!BH359+1,df_extratos!G:G,"DEBITO")</f>
        <v/>
      </c>
      <c r="O359" s="11">
        <f>N359-SUM(J359:M359)</f>
        <v/>
      </c>
      <c r="P359" s="25">
        <f>SUMIFS(df_ajustes_conciliaco!D:D,df_ajustes_conciliaco!C:C,Conciliacao!A359)</f>
        <v/>
      </c>
      <c r="Q359" s="22">
        <f>O359+I359-P359</f>
        <v/>
      </c>
      <c r="BE359" s="20" t="n">
        <v>46015.5</v>
      </c>
      <c r="BF359" s="20" t="n">
        <v>46015.125</v>
      </c>
      <c r="BG359" s="20" t="n">
        <v>46015.54166666666</v>
      </c>
      <c r="BH359" s="20" t="n">
        <v>46015.625</v>
      </c>
    </row>
    <row r="360">
      <c r="A360" s="5">
        <f>A359+1</f>
        <v/>
      </c>
      <c r="B360" s="3">
        <f>-SUMIFS(df_extrato_zig!G:G,df_extrato_zig!E:E,Conciliacao!A360,df_extrato_zig!D:D,"Saque")-SUMIFS(df_extrato_zig!G:G,df_extrato_zig!E:E,Conciliacao!A360,df_extrato_zig!D:D,"Antecipação")</f>
        <v/>
      </c>
      <c r="C360" s="3">
        <f>SUMIFS(df_extrato_zig!E:E,df_extrato_zig!L:L,Conciliacao!A360,df_extrato_zig!F:F,"DINHEIRO")</f>
        <v/>
      </c>
      <c r="D360" s="3">
        <f>SUMIFS(view_parc_agrup!H:H,view_parc_agrup!G:G,Conciliacao!A360)</f>
        <v/>
      </c>
      <c r="E360" s="3">
        <f>SUMIFS(df_eventos!F:F,df_eventos!H:H,Conciliacao!A360)</f>
        <v/>
      </c>
      <c r="F360" s="3">
        <f>SUMIFS(df_mutuos!M:M,df_mutuos!B:B,Conciliacao!A360)</f>
        <v/>
      </c>
      <c r="G360" s="6">
        <f>SUMIFS(df_bloqueios_judiciais!G:G,df_bloqueios_judiciais!D:D,Conciliacao!A360,df_bloqueios_judiciais!G:G,"&gt;0")</f>
        <v/>
      </c>
      <c r="H360" s="7">
        <f>SUMIFS(df_extratos!I:I,df_extratos!F:F,"&gt;="&amp;Conciliacao!BE360,df_extratos!F:F,"&lt;"&amp;Conciliacao!BE360+1,df_extratos!G:G,"CREDITO")
+SUMIFS(df_extratos!I:I,df_extratos!F:F,"&gt;="&amp;Conciliacao!A360, df_extratos!F:F,"&lt;"&amp;Conciliacao!A360+1, df_extratos!G:G,"CREDITO")
+SUMIFS(df_extratos!I:I,df_extratos!F:F,"&gt;="&amp;Conciliacao!BF360,df_extratos!F:F,"&lt;"&amp;Conciliacao!BF360+1,df_extratos!G:G,"CREDITO")
+SUMIFS(df_extratos!I:I,df_extratos!F:F,"&gt;="&amp;Conciliacao!BG360,df_extratos!F:F,"&lt;"&amp;Conciliacao!BG360+1,df_extratos!G:G,"CREDITO")
+SUMIFS(df_extratos!I:I,df_extratos!F:F,"&gt;="&amp;Conciliacao!BH360,df_extratos!F:F,"&lt;"&amp;Conciliacao!BH360+1,df_extratos!G:G,"CREDITO")</f>
        <v/>
      </c>
      <c r="I360" s="9">
        <f>H360-SUM(B360:G360)</f>
        <v/>
      </c>
      <c r="J360" s="4">
        <f>SUMIFS(df_blueme_sem_parcelamento!E:E,df_blueme_sem_parcelamento!H:H,Conciliacao!A360)*(-1)</f>
        <v/>
      </c>
      <c r="K360" s="4">
        <f>SUMIFS(df_blueme_com_parcelamento!J:J,df_blueme_com_parcelamento!M:M,Conciliacao!A360)*(-1)</f>
        <v/>
      </c>
      <c r="L360" s="4">
        <f>SUMIFS(df_mutuos!N:N,df_mutuos!B:B,Conciliacao!A360)*(-1)</f>
        <v/>
      </c>
      <c r="M360" s="8">
        <f>SUMIFS(df_bloqueios_judiciais!G:G,df_bloqueios_judiciais!D:D,Conciliacao!A360,df_bloqueios_judiciais!G:G,"&lt;0")</f>
        <v/>
      </c>
      <c r="N360" s="10">
        <f>SUMIFS(df_extratos!I:I,df_extratos!F:F,"&gt;="&amp;Conciliacao!BE360,df_extratos!F:F,"&lt;"&amp;Conciliacao!BE360+1,df_extratos!G:G,"DEBITO")
+SUMIFS(df_extratos!I:I,df_extratos!F:F,"&gt;="&amp;Conciliacao!A360, df_extratos!F:F,"&lt;"&amp;Conciliacao!A360+1, df_extratos!G:G,"DEBITO")
+SUMIFS(df_extratos!I:I,df_extratos!F:F,"&gt;="&amp;Conciliacao!BF360,df_extratos!F:F,"&lt;"&amp;Conciliacao!BF360+1,df_extratos!G:G,"DEBITO")
+SUMIFS(df_extratos!I:I,df_extratos!F:F,"&gt;="&amp;Conciliacao!BG360,df_extratos!F:F,"&lt;"&amp;Conciliacao!BG360+1,df_extratos!G:G,"DEBITO")
+SUMIFS(df_extratos!I:I,df_extratos!F:F,"&gt;="&amp;Conciliacao!BH360,df_extratos!F:F,"&lt;"&amp;Conciliacao!BH360+1,df_extratos!G:G,"DEBITO")</f>
        <v/>
      </c>
      <c r="O360" s="11">
        <f>N360-SUM(J360:M360)</f>
        <v/>
      </c>
      <c r="P360" s="25">
        <f>SUMIFS(df_ajustes_conciliaco!D:D,df_ajustes_conciliaco!C:C,Conciliacao!A360)</f>
        <v/>
      </c>
      <c r="Q360" s="22">
        <f>O360+I360-P360</f>
        <v/>
      </c>
      <c r="BE360" s="20" t="n">
        <v>46016.5</v>
      </c>
      <c r="BF360" s="20" t="n">
        <v>46016.125</v>
      </c>
      <c r="BG360" s="20" t="n">
        <v>46016.54166666666</v>
      </c>
      <c r="BH360" s="20" t="n">
        <v>46016.625</v>
      </c>
    </row>
    <row r="361">
      <c r="A361" s="5">
        <f>A360+1</f>
        <v/>
      </c>
      <c r="B361" s="3">
        <f>-SUMIFS(df_extrato_zig!G:G,df_extrato_zig!E:E,Conciliacao!A361,df_extrato_zig!D:D,"Saque")-SUMIFS(df_extrato_zig!G:G,df_extrato_zig!E:E,Conciliacao!A361,df_extrato_zig!D:D,"Antecipação")</f>
        <v/>
      </c>
      <c r="C361" s="3">
        <f>SUMIFS(df_extrato_zig!E:E,df_extrato_zig!L:L,Conciliacao!A361,df_extrato_zig!F:F,"DINHEIRO")</f>
        <v/>
      </c>
      <c r="D361" s="3">
        <f>SUMIFS(view_parc_agrup!H:H,view_parc_agrup!G:G,Conciliacao!A361)</f>
        <v/>
      </c>
      <c r="E361" s="3">
        <f>SUMIFS(df_eventos!F:F,df_eventos!H:H,Conciliacao!A361)</f>
        <v/>
      </c>
      <c r="F361" s="3">
        <f>SUMIFS(df_mutuos!M:M,df_mutuos!B:B,Conciliacao!A361)</f>
        <v/>
      </c>
      <c r="G361" s="6">
        <f>SUMIFS(df_bloqueios_judiciais!G:G,df_bloqueios_judiciais!D:D,Conciliacao!A361,df_bloqueios_judiciais!G:G,"&gt;0")</f>
        <v/>
      </c>
      <c r="H361" s="7">
        <f>SUMIFS(df_extratos!I:I,df_extratos!F:F,"&gt;="&amp;Conciliacao!BE361,df_extratos!F:F,"&lt;"&amp;Conciliacao!BE361+1,df_extratos!G:G,"CREDITO")
+SUMIFS(df_extratos!I:I,df_extratos!F:F,"&gt;="&amp;Conciliacao!A361, df_extratos!F:F,"&lt;"&amp;Conciliacao!A361+1, df_extratos!G:G,"CREDITO")
+SUMIFS(df_extratos!I:I,df_extratos!F:F,"&gt;="&amp;Conciliacao!BF361,df_extratos!F:F,"&lt;"&amp;Conciliacao!BF361+1,df_extratos!G:G,"CREDITO")
+SUMIFS(df_extratos!I:I,df_extratos!F:F,"&gt;="&amp;Conciliacao!BG361,df_extratos!F:F,"&lt;"&amp;Conciliacao!BG361+1,df_extratos!G:G,"CREDITO")
+SUMIFS(df_extratos!I:I,df_extratos!F:F,"&gt;="&amp;Conciliacao!BH361,df_extratos!F:F,"&lt;"&amp;Conciliacao!BH361+1,df_extratos!G:G,"CREDITO")</f>
        <v/>
      </c>
      <c r="I361" s="9">
        <f>H361-SUM(B361:G361)</f>
        <v/>
      </c>
      <c r="J361" s="4">
        <f>SUMIFS(df_blueme_sem_parcelamento!E:E,df_blueme_sem_parcelamento!H:H,Conciliacao!A361)*(-1)</f>
        <v/>
      </c>
      <c r="K361" s="4">
        <f>SUMIFS(df_blueme_com_parcelamento!J:J,df_blueme_com_parcelamento!M:M,Conciliacao!A361)*(-1)</f>
        <v/>
      </c>
      <c r="L361" s="4">
        <f>SUMIFS(df_mutuos!N:N,df_mutuos!B:B,Conciliacao!A361)*(-1)</f>
        <v/>
      </c>
      <c r="M361" s="8">
        <f>SUMIFS(df_bloqueios_judiciais!G:G,df_bloqueios_judiciais!D:D,Conciliacao!A361,df_bloqueios_judiciais!G:G,"&lt;0")</f>
        <v/>
      </c>
      <c r="N361" s="10">
        <f>SUMIFS(df_extratos!I:I,df_extratos!F:F,"&gt;="&amp;Conciliacao!BE361,df_extratos!F:F,"&lt;"&amp;Conciliacao!BE361+1,df_extratos!G:G,"DEBITO")
+SUMIFS(df_extratos!I:I,df_extratos!F:F,"&gt;="&amp;Conciliacao!A361, df_extratos!F:F,"&lt;"&amp;Conciliacao!A361+1, df_extratos!G:G,"DEBITO")
+SUMIFS(df_extratos!I:I,df_extratos!F:F,"&gt;="&amp;Conciliacao!BF361,df_extratos!F:F,"&lt;"&amp;Conciliacao!BF361+1,df_extratos!G:G,"DEBITO")
+SUMIFS(df_extratos!I:I,df_extratos!F:F,"&gt;="&amp;Conciliacao!BG361,df_extratos!F:F,"&lt;"&amp;Conciliacao!BG361+1,df_extratos!G:G,"DEBITO")
+SUMIFS(df_extratos!I:I,df_extratos!F:F,"&gt;="&amp;Conciliacao!BH361,df_extratos!F:F,"&lt;"&amp;Conciliacao!BH361+1,df_extratos!G:G,"DEBITO")</f>
        <v/>
      </c>
      <c r="O361" s="11">
        <f>N361-SUM(J361:M361)</f>
        <v/>
      </c>
      <c r="P361" s="25">
        <f>SUMIFS(df_ajustes_conciliaco!D:D,df_ajustes_conciliaco!C:C,Conciliacao!A361)</f>
        <v/>
      </c>
      <c r="Q361" s="22">
        <f>O361+I361-P361</f>
        <v/>
      </c>
      <c r="BE361" s="20" t="n">
        <v>46017.5</v>
      </c>
      <c r="BF361" s="20" t="n">
        <v>46017.125</v>
      </c>
      <c r="BG361" s="20" t="n">
        <v>46017.54166666666</v>
      </c>
      <c r="BH361" s="20" t="n">
        <v>46017.625</v>
      </c>
    </row>
    <row r="362">
      <c r="A362" s="5">
        <f>A361+1</f>
        <v/>
      </c>
      <c r="B362" s="3">
        <f>-SUMIFS(df_extrato_zig!G:G,df_extrato_zig!E:E,Conciliacao!A362,df_extrato_zig!D:D,"Saque")-SUMIFS(df_extrato_zig!G:G,df_extrato_zig!E:E,Conciliacao!A362,df_extrato_zig!D:D,"Antecipação")</f>
        <v/>
      </c>
      <c r="C362" s="3">
        <f>SUMIFS(df_extrato_zig!E:E,df_extrato_zig!L:L,Conciliacao!A362,df_extrato_zig!F:F,"DINHEIRO")</f>
        <v/>
      </c>
      <c r="D362" s="3">
        <f>SUMIFS(view_parc_agrup!H:H,view_parc_agrup!G:G,Conciliacao!A362)</f>
        <v/>
      </c>
      <c r="E362" s="3">
        <f>SUMIFS(df_eventos!F:F,df_eventos!H:H,Conciliacao!A362)</f>
        <v/>
      </c>
      <c r="F362" s="3">
        <f>SUMIFS(df_mutuos!M:M,df_mutuos!B:B,Conciliacao!A362)</f>
        <v/>
      </c>
      <c r="G362" s="6">
        <f>SUMIFS(df_bloqueios_judiciais!G:G,df_bloqueios_judiciais!D:D,Conciliacao!A362,df_bloqueios_judiciais!G:G,"&gt;0")</f>
        <v/>
      </c>
      <c r="H362" s="7">
        <f>SUMIFS(df_extratos!I:I,df_extratos!F:F,"&gt;="&amp;Conciliacao!BE362,df_extratos!F:F,"&lt;"&amp;Conciliacao!BE362+1,df_extratos!G:G,"CREDITO")
+SUMIFS(df_extratos!I:I,df_extratos!F:F,"&gt;="&amp;Conciliacao!A362, df_extratos!F:F,"&lt;"&amp;Conciliacao!A362+1, df_extratos!G:G,"CREDITO")
+SUMIFS(df_extratos!I:I,df_extratos!F:F,"&gt;="&amp;Conciliacao!BF362,df_extratos!F:F,"&lt;"&amp;Conciliacao!BF362+1,df_extratos!G:G,"CREDITO")
+SUMIFS(df_extratos!I:I,df_extratos!F:F,"&gt;="&amp;Conciliacao!BG362,df_extratos!F:F,"&lt;"&amp;Conciliacao!BG362+1,df_extratos!G:G,"CREDITO")
+SUMIFS(df_extratos!I:I,df_extratos!F:F,"&gt;="&amp;Conciliacao!BH362,df_extratos!F:F,"&lt;"&amp;Conciliacao!BH362+1,df_extratos!G:G,"CREDITO")</f>
        <v/>
      </c>
      <c r="I362" s="9">
        <f>H362-SUM(B362:G362)</f>
        <v/>
      </c>
      <c r="J362" s="4">
        <f>SUMIFS(df_blueme_sem_parcelamento!E:E,df_blueme_sem_parcelamento!H:H,Conciliacao!A362)*(-1)</f>
        <v/>
      </c>
      <c r="K362" s="4">
        <f>SUMIFS(df_blueme_com_parcelamento!J:J,df_blueme_com_parcelamento!M:M,Conciliacao!A362)*(-1)</f>
        <v/>
      </c>
      <c r="L362" s="4">
        <f>SUMIFS(df_mutuos!N:N,df_mutuos!B:B,Conciliacao!A362)*(-1)</f>
        <v/>
      </c>
      <c r="M362" s="8">
        <f>SUMIFS(df_bloqueios_judiciais!G:G,df_bloqueios_judiciais!D:D,Conciliacao!A362,df_bloqueios_judiciais!G:G,"&lt;0")</f>
        <v/>
      </c>
      <c r="N362" s="10">
        <f>SUMIFS(df_extratos!I:I,df_extratos!F:F,"&gt;="&amp;Conciliacao!BE362,df_extratos!F:F,"&lt;"&amp;Conciliacao!BE362+1,df_extratos!G:G,"DEBITO")
+SUMIFS(df_extratos!I:I,df_extratos!F:F,"&gt;="&amp;Conciliacao!A362, df_extratos!F:F,"&lt;"&amp;Conciliacao!A362+1, df_extratos!G:G,"DEBITO")
+SUMIFS(df_extratos!I:I,df_extratos!F:F,"&gt;="&amp;Conciliacao!BF362,df_extratos!F:F,"&lt;"&amp;Conciliacao!BF362+1,df_extratos!G:G,"DEBITO")
+SUMIFS(df_extratos!I:I,df_extratos!F:F,"&gt;="&amp;Conciliacao!BG362,df_extratos!F:F,"&lt;"&amp;Conciliacao!BG362+1,df_extratos!G:G,"DEBITO")
+SUMIFS(df_extratos!I:I,df_extratos!F:F,"&gt;="&amp;Conciliacao!BH362,df_extratos!F:F,"&lt;"&amp;Conciliacao!BH362+1,df_extratos!G:G,"DEBITO")</f>
        <v/>
      </c>
      <c r="O362" s="11">
        <f>N362-SUM(J362:M362)</f>
        <v/>
      </c>
      <c r="P362" s="25">
        <f>SUMIFS(df_ajustes_conciliaco!D:D,df_ajustes_conciliaco!C:C,Conciliacao!A362)</f>
        <v/>
      </c>
      <c r="Q362" s="22">
        <f>O362+I362-P362</f>
        <v/>
      </c>
      <c r="BE362" s="20" t="n">
        <v>46018.5</v>
      </c>
      <c r="BF362" s="20" t="n">
        <v>46018.125</v>
      </c>
      <c r="BG362" s="20" t="n">
        <v>46018.54166666666</v>
      </c>
      <c r="BH362" s="20" t="n">
        <v>46018.625</v>
      </c>
    </row>
    <row r="363">
      <c r="A363" s="5">
        <f>A362+1</f>
        <v/>
      </c>
      <c r="B363" s="3">
        <f>-SUMIFS(df_extrato_zig!G:G,df_extrato_zig!E:E,Conciliacao!A363,df_extrato_zig!D:D,"Saque")-SUMIFS(df_extrato_zig!G:G,df_extrato_zig!E:E,Conciliacao!A363,df_extrato_zig!D:D,"Antecipação")</f>
        <v/>
      </c>
      <c r="C363" s="3">
        <f>SUMIFS(df_extrato_zig!E:E,df_extrato_zig!L:L,Conciliacao!A363,df_extrato_zig!F:F,"DINHEIRO")</f>
        <v/>
      </c>
      <c r="D363" s="3">
        <f>SUMIFS(view_parc_agrup!H:H,view_parc_agrup!G:G,Conciliacao!A363)</f>
        <v/>
      </c>
      <c r="E363" s="3">
        <f>SUMIFS(df_eventos!F:F,df_eventos!H:H,Conciliacao!A363)</f>
        <v/>
      </c>
      <c r="F363" s="3">
        <f>SUMIFS(df_mutuos!M:M,df_mutuos!B:B,Conciliacao!A363)</f>
        <v/>
      </c>
      <c r="G363" s="6">
        <f>SUMIFS(df_bloqueios_judiciais!G:G,df_bloqueios_judiciais!D:D,Conciliacao!A363,df_bloqueios_judiciais!G:G,"&gt;0")</f>
        <v/>
      </c>
      <c r="H363" s="7">
        <f>SUMIFS(df_extratos!I:I,df_extratos!F:F,"&gt;="&amp;Conciliacao!BE363,df_extratos!F:F,"&lt;"&amp;Conciliacao!BE363+1,df_extratos!G:G,"CREDITO")
+SUMIFS(df_extratos!I:I,df_extratos!F:F,"&gt;="&amp;Conciliacao!A363, df_extratos!F:F,"&lt;"&amp;Conciliacao!A363+1, df_extratos!G:G,"CREDITO")
+SUMIFS(df_extratos!I:I,df_extratos!F:F,"&gt;="&amp;Conciliacao!BF363,df_extratos!F:F,"&lt;"&amp;Conciliacao!BF363+1,df_extratos!G:G,"CREDITO")
+SUMIFS(df_extratos!I:I,df_extratos!F:F,"&gt;="&amp;Conciliacao!BG363,df_extratos!F:F,"&lt;"&amp;Conciliacao!BG363+1,df_extratos!G:G,"CREDITO")
+SUMIFS(df_extratos!I:I,df_extratos!F:F,"&gt;="&amp;Conciliacao!BH363,df_extratos!F:F,"&lt;"&amp;Conciliacao!BH363+1,df_extratos!G:G,"CREDITO")</f>
        <v/>
      </c>
      <c r="I363" s="9">
        <f>H363-SUM(B363:G363)</f>
        <v/>
      </c>
      <c r="J363" s="4">
        <f>SUMIFS(df_blueme_sem_parcelamento!E:E,df_blueme_sem_parcelamento!H:H,Conciliacao!A363)*(-1)</f>
        <v/>
      </c>
      <c r="K363" s="4">
        <f>SUMIFS(df_blueme_com_parcelamento!J:J,df_blueme_com_parcelamento!M:M,Conciliacao!A363)*(-1)</f>
        <v/>
      </c>
      <c r="L363" s="4">
        <f>SUMIFS(df_mutuos!N:N,df_mutuos!B:B,Conciliacao!A363)*(-1)</f>
        <v/>
      </c>
      <c r="M363" s="8">
        <f>SUMIFS(df_bloqueios_judiciais!G:G,df_bloqueios_judiciais!D:D,Conciliacao!A363,df_bloqueios_judiciais!G:G,"&lt;0")</f>
        <v/>
      </c>
      <c r="N363" s="10">
        <f>SUMIFS(df_extratos!I:I,df_extratos!F:F,"&gt;="&amp;Conciliacao!BE363,df_extratos!F:F,"&lt;"&amp;Conciliacao!BE363+1,df_extratos!G:G,"DEBITO")
+SUMIFS(df_extratos!I:I,df_extratos!F:F,"&gt;="&amp;Conciliacao!A363, df_extratos!F:F,"&lt;"&amp;Conciliacao!A363+1, df_extratos!G:G,"DEBITO")
+SUMIFS(df_extratos!I:I,df_extratos!F:F,"&gt;="&amp;Conciliacao!BF363,df_extratos!F:F,"&lt;"&amp;Conciliacao!BF363+1,df_extratos!G:G,"DEBITO")
+SUMIFS(df_extratos!I:I,df_extratos!F:F,"&gt;="&amp;Conciliacao!BG363,df_extratos!F:F,"&lt;"&amp;Conciliacao!BG363+1,df_extratos!G:G,"DEBITO")
+SUMIFS(df_extratos!I:I,df_extratos!F:F,"&gt;="&amp;Conciliacao!BH363,df_extratos!F:F,"&lt;"&amp;Conciliacao!BH363+1,df_extratos!G:G,"DEBITO")</f>
        <v/>
      </c>
      <c r="O363" s="11">
        <f>N363-SUM(J363:M363)</f>
        <v/>
      </c>
      <c r="P363" s="25">
        <f>SUMIFS(df_ajustes_conciliaco!D:D,df_ajustes_conciliaco!C:C,Conciliacao!A363)</f>
        <v/>
      </c>
      <c r="Q363" s="22">
        <f>O363+I363-P363</f>
        <v/>
      </c>
      <c r="BE363" s="20" t="n">
        <v>46019.5</v>
      </c>
      <c r="BF363" s="20" t="n">
        <v>46019.125</v>
      </c>
      <c r="BG363" s="20" t="n">
        <v>46019.54166666666</v>
      </c>
      <c r="BH363" s="20" t="n">
        <v>46019.625</v>
      </c>
    </row>
    <row r="364">
      <c r="A364" s="5">
        <f>A363+1</f>
        <v/>
      </c>
      <c r="B364" s="3">
        <f>-SUMIFS(df_extrato_zig!G:G,df_extrato_zig!E:E,Conciliacao!A364,df_extrato_zig!D:D,"Saque")-SUMIFS(df_extrato_zig!G:G,df_extrato_zig!E:E,Conciliacao!A364,df_extrato_zig!D:D,"Antecipação")</f>
        <v/>
      </c>
      <c r="C364" s="3">
        <f>SUMIFS(df_extrato_zig!E:E,df_extrato_zig!L:L,Conciliacao!A364,df_extrato_zig!F:F,"DINHEIRO")</f>
        <v/>
      </c>
      <c r="D364" s="3">
        <f>SUMIFS(view_parc_agrup!H:H,view_parc_agrup!G:G,Conciliacao!A364)</f>
        <v/>
      </c>
      <c r="E364" s="3">
        <f>SUMIFS(df_eventos!F:F,df_eventos!H:H,Conciliacao!A364)</f>
        <v/>
      </c>
      <c r="F364" s="3">
        <f>SUMIFS(df_mutuos!M:M,df_mutuos!B:B,Conciliacao!A364)</f>
        <v/>
      </c>
      <c r="G364" s="6">
        <f>SUMIFS(df_bloqueios_judiciais!G:G,df_bloqueios_judiciais!D:D,Conciliacao!A364,df_bloqueios_judiciais!G:G,"&gt;0")</f>
        <v/>
      </c>
      <c r="H364" s="7">
        <f>SUMIFS(df_extratos!I:I,df_extratos!F:F,"&gt;="&amp;Conciliacao!BE364,df_extratos!F:F,"&lt;"&amp;Conciliacao!BE364+1,df_extratos!G:G,"CREDITO")
+SUMIFS(df_extratos!I:I,df_extratos!F:F,"&gt;="&amp;Conciliacao!A364, df_extratos!F:F,"&lt;"&amp;Conciliacao!A364+1, df_extratos!G:G,"CREDITO")
+SUMIFS(df_extratos!I:I,df_extratos!F:F,"&gt;="&amp;Conciliacao!BF364,df_extratos!F:F,"&lt;"&amp;Conciliacao!BF364+1,df_extratos!G:G,"CREDITO")
+SUMIFS(df_extratos!I:I,df_extratos!F:F,"&gt;="&amp;Conciliacao!BG364,df_extratos!F:F,"&lt;"&amp;Conciliacao!BG364+1,df_extratos!G:G,"CREDITO")
+SUMIFS(df_extratos!I:I,df_extratos!F:F,"&gt;="&amp;Conciliacao!BH364,df_extratos!F:F,"&lt;"&amp;Conciliacao!BH364+1,df_extratos!G:G,"CREDITO")</f>
        <v/>
      </c>
      <c r="I364" s="9">
        <f>H364-SUM(B364:G364)</f>
        <v/>
      </c>
      <c r="J364" s="4">
        <f>SUMIFS(df_blueme_sem_parcelamento!E:E,df_blueme_sem_parcelamento!H:H,Conciliacao!A364)*(-1)</f>
        <v/>
      </c>
      <c r="K364" s="4">
        <f>SUMIFS(df_blueme_com_parcelamento!J:J,df_blueme_com_parcelamento!M:M,Conciliacao!A364)*(-1)</f>
        <v/>
      </c>
      <c r="L364" s="4">
        <f>SUMIFS(df_mutuos!N:N,df_mutuos!B:B,Conciliacao!A364)*(-1)</f>
        <v/>
      </c>
      <c r="M364" s="8">
        <f>SUMIFS(df_bloqueios_judiciais!G:G,df_bloqueios_judiciais!D:D,Conciliacao!A364,df_bloqueios_judiciais!G:G,"&lt;0")</f>
        <v/>
      </c>
      <c r="N364" s="10">
        <f>SUMIFS(df_extratos!I:I,df_extratos!F:F,"&gt;="&amp;Conciliacao!BE364,df_extratos!F:F,"&lt;"&amp;Conciliacao!BE364+1,df_extratos!G:G,"DEBITO")
+SUMIFS(df_extratos!I:I,df_extratos!F:F,"&gt;="&amp;Conciliacao!A364, df_extratos!F:F,"&lt;"&amp;Conciliacao!A364+1, df_extratos!G:G,"DEBITO")
+SUMIFS(df_extratos!I:I,df_extratos!F:F,"&gt;="&amp;Conciliacao!BF364,df_extratos!F:F,"&lt;"&amp;Conciliacao!BF364+1,df_extratos!G:G,"DEBITO")
+SUMIFS(df_extratos!I:I,df_extratos!F:F,"&gt;="&amp;Conciliacao!BG364,df_extratos!F:F,"&lt;"&amp;Conciliacao!BG364+1,df_extratos!G:G,"DEBITO")
+SUMIFS(df_extratos!I:I,df_extratos!F:F,"&gt;="&amp;Conciliacao!BH364,df_extratos!F:F,"&lt;"&amp;Conciliacao!BH364+1,df_extratos!G:G,"DEBITO")</f>
        <v/>
      </c>
      <c r="O364" s="11">
        <f>N364-SUM(J364:M364)</f>
        <v/>
      </c>
      <c r="P364" s="25">
        <f>SUMIFS(df_ajustes_conciliaco!D:D,df_ajustes_conciliaco!C:C,Conciliacao!A364)</f>
        <v/>
      </c>
      <c r="Q364" s="22">
        <f>O364+I364-P364</f>
        <v/>
      </c>
      <c r="BE364" s="20" t="n">
        <v>46020.5</v>
      </c>
      <c r="BF364" s="20" t="n">
        <v>46020.125</v>
      </c>
      <c r="BG364" s="20" t="n">
        <v>46020.54166666666</v>
      </c>
      <c r="BH364" s="20" t="n">
        <v>46020.625</v>
      </c>
    </row>
    <row r="365">
      <c r="A365" s="5">
        <f>A364+1</f>
        <v/>
      </c>
      <c r="B365" s="3">
        <f>-SUMIFS(df_extrato_zig!G:G,df_extrato_zig!E:E,Conciliacao!A365,df_extrato_zig!D:D,"Saque")-SUMIFS(df_extrato_zig!G:G,df_extrato_zig!E:E,Conciliacao!A365,df_extrato_zig!D:D,"Antecipação")</f>
        <v/>
      </c>
      <c r="C365" s="3">
        <f>SUMIFS(df_extrato_zig!E:E,df_extrato_zig!L:L,Conciliacao!A365,df_extrato_zig!F:F,"DINHEIRO")</f>
        <v/>
      </c>
      <c r="D365" s="3">
        <f>SUMIFS(view_parc_agrup!H:H,view_parc_agrup!G:G,Conciliacao!A365)</f>
        <v/>
      </c>
      <c r="E365" s="3">
        <f>SUMIFS(df_eventos!F:F,df_eventos!H:H,Conciliacao!A365)</f>
        <v/>
      </c>
      <c r="F365" s="3">
        <f>SUMIFS(df_mutuos!M:M,df_mutuos!B:B,Conciliacao!A365)</f>
        <v/>
      </c>
      <c r="G365" s="6">
        <f>SUMIFS(df_bloqueios_judiciais!G:G,df_bloqueios_judiciais!D:D,Conciliacao!A365,df_bloqueios_judiciais!G:G,"&gt;0")</f>
        <v/>
      </c>
      <c r="H365" s="7">
        <f>SUMIFS(df_extratos!I:I,df_extratos!F:F,"&gt;="&amp;Conciliacao!BE365,df_extratos!F:F,"&lt;"&amp;Conciliacao!BE365+1,df_extratos!G:G,"CREDITO")
+SUMIFS(df_extratos!I:I,df_extratos!F:F,"&gt;="&amp;Conciliacao!A365, df_extratos!F:F,"&lt;"&amp;Conciliacao!A365+1, df_extratos!G:G,"CREDITO")
+SUMIFS(df_extratos!I:I,df_extratos!F:F,"&gt;="&amp;Conciliacao!BF365,df_extratos!F:F,"&lt;"&amp;Conciliacao!BF365+1,df_extratos!G:G,"CREDITO")
+SUMIFS(df_extratos!I:I,df_extratos!F:F,"&gt;="&amp;Conciliacao!BG365,df_extratos!F:F,"&lt;"&amp;Conciliacao!BG365+1,df_extratos!G:G,"CREDITO")
+SUMIFS(df_extratos!I:I,df_extratos!F:F,"&gt;="&amp;Conciliacao!BH365,df_extratos!F:F,"&lt;"&amp;Conciliacao!BH365+1,df_extratos!G:G,"CREDITO")</f>
        <v/>
      </c>
      <c r="I365" s="9">
        <f>H365-SUM(B365:G365)</f>
        <v/>
      </c>
      <c r="J365" s="4">
        <f>SUMIFS(df_blueme_sem_parcelamento!E:E,df_blueme_sem_parcelamento!H:H,Conciliacao!A365)*(-1)</f>
        <v/>
      </c>
      <c r="K365" s="4">
        <f>SUMIFS(df_blueme_com_parcelamento!J:J,df_blueme_com_parcelamento!M:M,Conciliacao!A365)*(-1)</f>
        <v/>
      </c>
      <c r="L365" s="4">
        <f>SUMIFS(df_mutuos!N:N,df_mutuos!B:B,Conciliacao!A365)*(-1)</f>
        <v/>
      </c>
      <c r="M365" s="8">
        <f>SUMIFS(df_bloqueios_judiciais!G:G,df_bloqueios_judiciais!D:D,Conciliacao!A365,df_bloqueios_judiciais!G:G,"&lt;0")</f>
        <v/>
      </c>
      <c r="N365" s="10">
        <f>SUMIFS(df_extratos!I:I,df_extratos!F:F,"&gt;="&amp;Conciliacao!BE365,df_extratos!F:F,"&lt;"&amp;Conciliacao!BE365+1,df_extratos!G:G,"DEBITO")
+SUMIFS(df_extratos!I:I,df_extratos!F:F,"&gt;="&amp;Conciliacao!A365, df_extratos!F:F,"&lt;"&amp;Conciliacao!A365+1, df_extratos!G:G,"DEBITO")
+SUMIFS(df_extratos!I:I,df_extratos!F:F,"&gt;="&amp;Conciliacao!BF365,df_extratos!F:F,"&lt;"&amp;Conciliacao!BF365+1,df_extratos!G:G,"DEBITO")
+SUMIFS(df_extratos!I:I,df_extratos!F:F,"&gt;="&amp;Conciliacao!BG365,df_extratos!F:F,"&lt;"&amp;Conciliacao!BG365+1,df_extratos!G:G,"DEBITO")
+SUMIFS(df_extratos!I:I,df_extratos!F:F,"&gt;="&amp;Conciliacao!BH365,df_extratos!F:F,"&lt;"&amp;Conciliacao!BH365+1,df_extratos!G:G,"DEBITO")</f>
        <v/>
      </c>
      <c r="O365" s="11">
        <f>N365-SUM(J365:M365)</f>
        <v/>
      </c>
      <c r="P365" s="25">
        <f>SUMIFS(df_ajustes_conciliaco!D:D,df_ajustes_conciliaco!C:C,Conciliacao!A365)</f>
        <v/>
      </c>
      <c r="Q365" s="22">
        <f>O365+I365-P365</f>
        <v/>
      </c>
      <c r="BE365" s="20" t="n">
        <v>46021.5</v>
      </c>
      <c r="BF365" s="20" t="n">
        <v>46021.125</v>
      </c>
      <c r="BG365" s="20" t="n">
        <v>46021.54166666666</v>
      </c>
      <c r="BH365" s="20" t="n">
        <v>46021.625</v>
      </c>
    </row>
    <row r="366">
      <c r="A366" s="5">
        <f>A365+1</f>
        <v/>
      </c>
      <c r="B366" s="3">
        <f>-SUMIFS(df_extrato_zig!G:G,df_extrato_zig!E:E,Conciliacao!A366,df_extrato_zig!D:D,"Saque")-SUMIFS(df_extrato_zig!G:G,df_extrato_zig!E:E,Conciliacao!A366,df_extrato_zig!D:D,"Antecipação")</f>
        <v/>
      </c>
      <c r="C366" s="3">
        <f>SUMIFS(df_extrato_zig!E:E,df_extrato_zig!L:L,Conciliacao!A366,df_extrato_zig!F:F,"DINHEIRO")</f>
        <v/>
      </c>
      <c r="D366" s="3">
        <f>SUMIFS(view_parc_agrup!H:H,view_parc_agrup!G:G,Conciliacao!A366)</f>
        <v/>
      </c>
      <c r="E366" s="3">
        <f>SUMIFS(df_eventos!F:F,df_eventos!H:H,Conciliacao!A366)</f>
        <v/>
      </c>
      <c r="F366" s="3">
        <f>SUMIFS(df_mutuos!M:M,df_mutuos!B:B,Conciliacao!A366)</f>
        <v/>
      </c>
      <c r="G366" s="6">
        <f>SUMIFS(df_bloqueios_judiciais!G:G,df_bloqueios_judiciais!D:D,Conciliacao!A366,df_bloqueios_judiciais!G:G,"&gt;0")</f>
        <v/>
      </c>
      <c r="H366" s="7">
        <f>SUMIFS(df_extratos!I:I,df_extratos!F:F,"&gt;="&amp;Conciliacao!BE366,df_extratos!F:F,"&lt;"&amp;Conciliacao!BE366+1,df_extratos!G:G,"CREDITO")
+SUMIFS(df_extratos!I:I,df_extratos!F:F,"&gt;="&amp;Conciliacao!A366, df_extratos!F:F,"&lt;"&amp;Conciliacao!A366+1, df_extratos!G:G,"CREDITO")
+SUMIFS(df_extratos!I:I,df_extratos!F:F,"&gt;="&amp;Conciliacao!BF366,df_extratos!F:F,"&lt;"&amp;Conciliacao!BF366+1,df_extratos!G:G,"CREDITO")
+SUMIFS(df_extratos!I:I,df_extratos!F:F,"&gt;="&amp;Conciliacao!BG366,df_extratos!F:F,"&lt;"&amp;Conciliacao!BG366+1,df_extratos!G:G,"CREDITO")
+SUMIFS(df_extratos!I:I,df_extratos!F:F,"&gt;="&amp;Conciliacao!BH366,df_extratos!F:F,"&lt;"&amp;Conciliacao!BH366+1,df_extratos!G:G,"CREDITO")</f>
        <v/>
      </c>
      <c r="I366" s="9">
        <f>H366-SUM(B366:G366)</f>
        <v/>
      </c>
      <c r="J366" s="4">
        <f>SUMIFS(df_blueme_sem_parcelamento!E:E,df_blueme_sem_parcelamento!H:H,Conciliacao!A366)*(-1)</f>
        <v/>
      </c>
      <c r="K366" s="4">
        <f>SUMIFS(df_blueme_com_parcelamento!J:J,df_blueme_com_parcelamento!M:M,Conciliacao!A366)*(-1)</f>
        <v/>
      </c>
      <c r="L366" s="4">
        <f>SUMIFS(df_mutuos!N:N,df_mutuos!B:B,Conciliacao!A366)*(-1)</f>
        <v/>
      </c>
      <c r="M366" s="8">
        <f>SUMIFS(df_bloqueios_judiciais!G:G,df_bloqueios_judiciais!D:D,Conciliacao!A366,df_bloqueios_judiciais!G:G,"&lt;0")</f>
        <v/>
      </c>
      <c r="N366" s="10">
        <f>SUMIFS(df_extratos!I:I,df_extratos!F:F,"&gt;="&amp;Conciliacao!BE366,df_extratos!F:F,"&lt;"&amp;Conciliacao!BE366+1,df_extratos!G:G,"DEBITO")
+SUMIFS(df_extratos!I:I,df_extratos!F:F,"&gt;="&amp;Conciliacao!A366, df_extratos!F:F,"&lt;"&amp;Conciliacao!A366+1, df_extratos!G:G,"DEBITO")
+SUMIFS(df_extratos!I:I,df_extratos!F:F,"&gt;="&amp;Conciliacao!BF366,df_extratos!F:F,"&lt;"&amp;Conciliacao!BF366+1,df_extratos!G:G,"DEBITO")
+SUMIFS(df_extratos!I:I,df_extratos!F:F,"&gt;="&amp;Conciliacao!BG366,df_extratos!F:F,"&lt;"&amp;Conciliacao!BG366+1,df_extratos!G:G,"DEBITO")
+SUMIFS(df_extratos!I:I,df_extratos!F:F,"&gt;="&amp;Conciliacao!BH366,df_extratos!F:F,"&lt;"&amp;Conciliacao!BH366+1,df_extratos!G:G,"DEBITO")</f>
        <v/>
      </c>
      <c r="O366" s="11">
        <f>N366-SUM(J366:M366)</f>
        <v/>
      </c>
      <c r="P366" s="25">
        <f>SUMIFS(df_ajustes_conciliaco!D:D,df_ajustes_conciliaco!C:C,Conciliacao!A366)</f>
        <v/>
      </c>
      <c r="Q366" s="22">
        <f>O366+I366-P366</f>
        <v/>
      </c>
      <c r="BE366" s="20" t="n">
        <v>46022.5</v>
      </c>
      <c r="BF366" s="20" t="n">
        <v>46022.125</v>
      </c>
      <c r="BG366" s="20" t="n">
        <v>46022.54166666666</v>
      </c>
      <c r="BH366" s="20" t="n">
        <v>46022.625</v>
      </c>
    </row>
    <row r="367">
      <c r="A367" s="5">
        <f>A366+1</f>
        <v/>
      </c>
      <c r="B367" s="3">
        <f>-SUMIFS(df_extrato_zig!G:G,df_extrato_zig!E:E,Conciliacao!A367,df_extrato_zig!D:D,"Saque")-SUMIFS(df_extrato_zig!G:G,df_extrato_zig!E:E,Conciliacao!A367,df_extrato_zig!D:D,"Antecipação")</f>
        <v/>
      </c>
      <c r="C367" s="3">
        <f>SUMIFS(df_extrato_zig!E:E,df_extrato_zig!L:L,Conciliacao!A367,df_extrato_zig!F:F,"DINHEIRO")</f>
        <v/>
      </c>
      <c r="D367" s="3">
        <f>SUMIFS(view_parc_agrup!H:H,view_parc_agrup!G:G,Conciliacao!A367)</f>
        <v/>
      </c>
      <c r="E367" s="3">
        <f>SUMIFS(df_eventos!F:F,df_eventos!H:H,Conciliacao!A367)</f>
        <v/>
      </c>
      <c r="F367" s="3">
        <f>SUMIFS(df_mutuos!M:M,df_mutuos!B:B,Conciliacao!A367)</f>
        <v/>
      </c>
      <c r="G367" s="6">
        <f>SUMIFS(df_bloqueios_judiciais!G:G,df_bloqueios_judiciais!D:D,Conciliacao!A367,df_bloqueios_judiciais!G:G,"&gt;0")</f>
        <v/>
      </c>
      <c r="H367" s="7">
        <f>SUMIFS(df_extratos!I:I,df_extratos!F:F,"&gt;="&amp;Conciliacao!BE367,df_extratos!F:F,"&lt;"&amp;Conciliacao!BE367+1,df_extratos!G:G,"CREDITO")
+SUMIFS(df_extratos!I:I,df_extratos!F:F,"&gt;="&amp;Conciliacao!A367, df_extratos!F:F,"&lt;"&amp;Conciliacao!A367+1, df_extratos!G:G,"CREDITO")
+SUMIFS(df_extratos!I:I,df_extratos!F:F,"&gt;="&amp;Conciliacao!BF367,df_extratos!F:F,"&lt;"&amp;Conciliacao!BF367+1,df_extratos!G:G,"CREDITO")
+SUMIFS(df_extratos!I:I,df_extratos!F:F,"&gt;="&amp;Conciliacao!BG367,df_extratos!F:F,"&lt;"&amp;Conciliacao!BG367+1,df_extratos!G:G,"CREDITO")
+SUMIFS(df_extratos!I:I,df_extratos!F:F,"&gt;="&amp;Conciliacao!BH367,df_extratos!F:F,"&lt;"&amp;Conciliacao!BH367+1,df_extratos!G:G,"CREDITO")</f>
        <v/>
      </c>
      <c r="I367" s="9">
        <f>H367-SUM(B367:G367)</f>
        <v/>
      </c>
      <c r="J367" s="4">
        <f>SUMIFS(df_blueme_sem_parcelamento!E:E,df_blueme_sem_parcelamento!H:H,Conciliacao!A367)*(-1)</f>
        <v/>
      </c>
      <c r="K367" s="4">
        <f>SUMIFS(df_blueme_com_parcelamento!J:J,df_blueme_com_parcelamento!M:M,Conciliacao!A367)*(-1)</f>
        <v/>
      </c>
      <c r="L367" s="4">
        <f>SUMIFS(df_mutuos!N:N,df_mutuos!B:B,Conciliacao!A367)*(-1)</f>
        <v/>
      </c>
      <c r="M367" s="8">
        <f>SUMIFS(df_bloqueios_judiciais!G:G,df_bloqueios_judiciais!D:D,Conciliacao!A367,df_bloqueios_judiciais!G:G,"&lt;0")</f>
        <v/>
      </c>
      <c r="N367" s="10">
        <f>SUMIFS(df_extratos!I:I,df_extratos!F:F,"&gt;="&amp;Conciliacao!BE367,df_extratos!F:F,"&lt;"&amp;Conciliacao!BE367+1,df_extratos!G:G,"DEBITO")
+SUMIFS(df_extratos!I:I,df_extratos!F:F,"&gt;="&amp;Conciliacao!A367, df_extratos!F:F,"&lt;"&amp;Conciliacao!A367+1, df_extratos!G:G,"DEBITO")
+SUMIFS(df_extratos!I:I,df_extratos!F:F,"&gt;="&amp;Conciliacao!BF367,df_extratos!F:F,"&lt;"&amp;Conciliacao!BF367+1,df_extratos!G:G,"DEBITO")
+SUMIFS(df_extratos!I:I,df_extratos!F:F,"&gt;="&amp;Conciliacao!BG367,df_extratos!F:F,"&lt;"&amp;Conciliacao!BG367+1,df_extratos!G:G,"DEBITO")
+SUMIFS(df_extratos!I:I,df_extratos!F:F,"&gt;="&amp;Conciliacao!BH367,df_extratos!F:F,"&lt;"&amp;Conciliacao!BH367+1,df_extratos!G:G,"DEBITO")</f>
        <v/>
      </c>
      <c r="O367" s="11">
        <f>N367-SUM(J367:M367)</f>
        <v/>
      </c>
      <c r="P367" s="25">
        <f>SUMIFS(df_ajustes_conciliaco!D:D,df_ajustes_conciliaco!C:C,Conciliacao!A367)</f>
        <v/>
      </c>
      <c r="Q367" s="22">
        <f>O367+I367-P367</f>
        <v/>
      </c>
    </row>
    <row r="368">
      <c r="A368" s="5">
        <f>A367+1</f>
        <v/>
      </c>
      <c r="B368" s="3">
        <f>-SUMIFS(df_extrato_zig!G:G,df_extrato_zig!E:E,Conciliacao!A368,df_extrato_zig!D:D,"Saque")-SUMIFS(df_extrato_zig!G:G,df_extrato_zig!E:E,Conciliacao!A368,df_extrato_zig!D:D,"Antecipação")</f>
        <v/>
      </c>
      <c r="C368" s="3">
        <f>SUMIFS(df_extrato_zig!E:E,df_extrato_zig!L:L,Conciliacao!A368,df_extrato_zig!F:F,"DINHEIRO")</f>
        <v/>
      </c>
      <c r="D368" s="3">
        <f>SUMIFS(view_parc_agrup!H:H,view_parc_agrup!G:G,Conciliacao!A368)</f>
        <v/>
      </c>
      <c r="E368" s="3">
        <f>SUMIFS(df_eventos!F:F,df_eventos!H:H,Conciliacao!A368)</f>
        <v/>
      </c>
      <c r="F368" s="3">
        <f>SUMIFS(df_mutuos!M:M,df_mutuos!B:B,Conciliacao!A368)</f>
        <v/>
      </c>
      <c r="G368" s="6">
        <f>SUMIFS(df_bloqueios_judiciais!G:G,df_bloqueios_judiciais!D:D,Conciliacao!A368,df_bloqueios_judiciais!G:G,"&gt;0")</f>
        <v/>
      </c>
      <c r="H368" s="7">
        <f>SUMIFS(df_extratos!I:I,df_extratos!F:F,"&gt;="&amp;Conciliacao!BE368,df_extratos!F:F,"&lt;"&amp;Conciliacao!BE368+1,df_extratos!G:G,"CREDITO")
+SUMIFS(df_extratos!I:I,df_extratos!F:F,"&gt;="&amp;Conciliacao!A368, df_extratos!F:F,"&lt;"&amp;Conciliacao!A368+1, df_extratos!G:G,"CREDITO")
+SUMIFS(df_extratos!I:I,df_extratos!F:F,"&gt;="&amp;Conciliacao!BF368,df_extratos!F:F,"&lt;"&amp;Conciliacao!BF368+1,df_extratos!G:G,"CREDITO")
+SUMIFS(df_extratos!I:I,df_extratos!F:F,"&gt;="&amp;Conciliacao!BG368,df_extratos!F:F,"&lt;"&amp;Conciliacao!BG368+1,df_extratos!G:G,"CREDITO")
+SUMIFS(df_extratos!I:I,df_extratos!F:F,"&gt;="&amp;Conciliacao!BH368,df_extratos!F:F,"&lt;"&amp;Conciliacao!BH368+1,df_extratos!G:G,"CREDITO")</f>
        <v/>
      </c>
      <c r="I368" s="9">
        <f>H368-SUM(B368:G368)</f>
        <v/>
      </c>
      <c r="J368" s="4">
        <f>SUMIFS(df_blueme_sem_parcelamento!E:E,df_blueme_sem_parcelamento!H:H,Conciliacao!A368)*(-1)</f>
        <v/>
      </c>
      <c r="K368" s="4">
        <f>SUMIFS(df_blueme_com_parcelamento!J:J,df_blueme_com_parcelamento!M:M,Conciliacao!A368)*(-1)</f>
        <v/>
      </c>
      <c r="L368" s="4">
        <f>SUMIFS(df_mutuos!N:N,df_mutuos!B:B,Conciliacao!A368)*(-1)</f>
        <v/>
      </c>
      <c r="M368" s="8">
        <f>SUMIFS(df_bloqueios_judiciais!G:G,df_bloqueios_judiciais!D:D,Conciliacao!A368,df_bloqueios_judiciais!G:G,"&lt;0")</f>
        <v/>
      </c>
      <c r="N368" s="10">
        <f>SUMIFS(df_extratos!I:I,df_extratos!F:F,"&gt;="&amp;Conciliacao!BE368,df_extratos!F:F,"&lt;"&amp;Conciliacao!BE368+1,df_extratos!G:G,"DEBITO")
+SUMIFS(df_extratos!I:I,df_extratos!F:F,"&gt;="&amp;Conciliacao!A368, df_extratos!F:F,"&lt;"&amp;Conciliacao!A368+1, df_extratos!G:G,"DEBITO")
+SUMIFS(df_extratos!I:I,df_extratos!F:F,"&gt;="&amp;Conciliacao!BF368,df_extratos!F:F,"&lt;"&amp;Conciliacao!BF368+1,df_extratos!G:G,"DEBITO")
+SUMIFS(df_extratos!I:I,df_extratos!F:F,"&gt;="&amp;Conciliacao!BG368,df_extratos!F:F,"&lt;"&amp;Conciliacao!BG368+1,df_extratos!G:G,"DEBITO")
+SUMIFS(df_extratos!I:I,df_extratos!F:F,"&gt;="&amp;Conciliacao!BH368,df_extratos!F:F,"&lt;"&amp;Conciliacao!BH368+1,df_extratos!G:G,"DEBITO")</f>
        <v/>
      </c>
      <c r="O368" s="11">
        <f>N368-SUM(J368:M368)</f>
        <v/>
      </c>
      <c r="P368" s="25">
        <f>SUMIFS(df_ajustes_conciliaco!D:D,df_ajustes_conciliaco!C:C,Conciliacao!A368)</f>
        <v/>
      </c>
      <c r="Q368" s="22">
        <f>O368+I368-P368</f>
        <v/>
      </c>
    </row>
    <row r="369">
      <c r="A369" s="5">
        <f>A368+1</f>
        <v/>
      </c>
      <c r="B369" s="3">
        <f>-SUMIFS(df_extrato_zig!G:G,df_extrato_zig!E:E,Conciliacao!A369,df_extrato_zig!D:D,"Saque")-SUMIFS(df_extrato_zig!G:G,df_extrato_zig!E:E,Conciliacao!A369,df_extrato_zig!D:D,"Antecipação")</f>
        <v/>
      </c>
      <c r="C369" s="3">
        <f>SUMIFS(df_extrato_zig!E:E,df_extrato_zig!L:L,Conciliacao!A369,df_extrato_zig!F:F,"DINHEIRO")</f>
        <v/>
      </c>
      <c r="D369" s="3">
        <f>SUMIFS(view_parc_agrup!H:H,view_parc_agrup!G:G,Conciliacao!A369)</f>
        <v/>
      </c>
      <c r="E369" s="3">
        <f>SUMIFS(df_eventos!F:F,df_eventos!H:H,Conciliacao!A369)</f>
        <v/>
      </c>
      <c r="F369" s="3">
        <f>SUMIFS(df_mutuos!M:M,df_mutuos!B:B,Conciliacao!A369)</f>
        <v/>
      </c>
      <c r="G369" s="6">
        <f>SUMIFS(df_bloqueios_judiciais!G:G,df_bloqueios_judiciais!D:D,Conciliacao!A369,df_bloqueios_judiciais!G:G,"&gt;0")</f>
        <v/>
      </c>
      <c r="H369" s="7">
        <f>SUMIFS(df_extratos!I:I,df_extratos!F:F,"&gt;="&amp;Conciliacao!BE369,df_extratos!F:F,"&lt;"&amp;Conciliacao!BE369+1,df_extratos!G:G,"CREDITO")
+SUMIFS(df_extratos!I:I,df_extratos!F:F,"&gt;="&amp;Conciliacao!A369, df_extratos!F:F,"&lt;"&amp;Conciliacao!A369+1, df_extratos!G:G,"CREDITO")
+SUMIFS(df_extratos!I:I,df_extratos!F:F,"&gt;="&amp;Conciliacao!BF369,df_extratos!F:F,"&lt;"&amp;Conciliacao!BF369+1,df_extratos!G:G,"CREDITO")
+SUMIFS(df_extratos!I:I,df_extratos!F:F,"&gt;="&amp;Conciliacao!BG369,df_extratos!F:F,"&lt;"&amp;Conciliacao!BG369+1,df_extratos!G:G,"CREDITO")
+SUMIFS(df_extratos!I:I,df_extratos!F:F,"&gt;="&amp;Conciliacao!BH369,df_extratos!F:F,"&lt;"&amp;Conciliacao!BH369+1,df_extratos!G:G,"CREDITO")</f>
        <v/>
      </c>
      <c r="I369" s="9">
        <f>H369-SUM(B369:G369)</f>
        <v/>
      </c>
      <c r="J369" s="4">
        <f>SUMIFS(df_blueme_sem_parcelamento!E:E,df_blueme_sem_parcelamento!H:H,Conciliacao!A369)*(-1)</f>
        <v/>
      </c>
      <c r="K369" s="4">
        <f>SUMIFS(df_blueme_com_parcelamento!J:J,df_blueme_com_parcelamento!M:M,Conciliacao!A369)*(-1)</f>
        <v/>
      </c>
      <c r="L369" s="4">
        <f>SUMIFS(df_mutuos!N:N,df_mutuos!B:B,Conciliacao!A369)*(-1)</f>
        <v/>
      </c>
      <c r="M369" s="8">
        <f>SUMIFS(df_bloqueios_judiciais!G:G,df_bloqueios_judiciais!D:D,Conciliacao!A369,df_bloqueios_judiciais!G:G,"&lt;0")</f>
        <v/>
      </c>
      <c r="N369" s="10">
        <f>SUMIFS(df_extratos!I:I,df_extratos!F:F,"&gt;="&amp;Conciliacao!BE369,df_extratos!F:F,"&lt;"&amp;Conciliacao!BE369+1,df_extratos!G:G,"DEBITO")
+SUMIFS(df_extratos!I:I,df_extratos!F:F,"&gt;="&amp;Conciliacao!A369, df_extratos!F:F,"&lt;"&amp;Conciliacao!A369+1, df_extratos!G:G,"DEBITO")
+SUMIFS(df_extratos!I:I,df_extratos!F:F,"&gt;="&amp;Conciliacao!BF369,df_extratos!F:F,"&lt;"&amp;Conciliacao!BF369+1,df_extratos!G:G,"DEBITO")
+SUMIFS(df_extratos!I:I,df_extratos!F:F,"&gt;="&amp;Conciliacao!BG369,df_extratos!F:F,"&lt;"&amp;Conciliacao!BG369+1,df_extratos!G:G,"DEBITO")
+SUMIFS(df_extratos!I:I,df_extratos!F:F,"&gt;="&amp;Conciliacao!BH369,df_extratos!F:F,"&lt;"&amp;Conciliacao!BH369+1,df_extratos!G:G,"DEBITO")</f>
        <v/>
      </c>
      <c r="O369" s="11">
        <f>N369-SUM(J369:M369)</f>
        <v/>
      </c>
      <c r="P369" s="25">
        <f>SUMIFS(df_ajustes_conciliaco!D:D,df_ajustes_conciliaco!C:C,Conciliacao!A369)</f>
        <v/>
      </c>
      <c r="Q369" s="22">
        <f>O369+I369-P369</f>
        <v/>
      </c>
    </row>
    <row r="370">
      <c r="A370" s="5">
        <f>A369+1</f>
        <v/>
      </c>
      <c r="B370" s="3">
        <f>-SUMIFS(df_extrato_zig!G:G,df_extrato_zig!E:E,Conciliacao!A370,df_extrato_zig!D:D,"Saque")-SUMIFS(df_extrato_zig!G:G,df_extrato_zig!E:E,Conciliacao!A370,df_extrato_zig!D:D,"Antecipação")</f>
        <v/>
      </c>
      <c r="C370" s="3">
        <f>SUMIFS(df_extrato_zig!E:E,df_extrato_zig!L:L,Conciliacao!A370,df_extrato_zig!F:F,"DINHEIRO")</f>
        <v/>
      </c>
      <c r="D370" s="3">
        <f>SUMIFS(view_parc_agrup!H:H,view_parc_agrup!G:G,Conciliacao!A370)</f>
        <v/>
      </c>
      <c r="E370" s="3">
        <f>SUMIFS(df_eventos!F:F,df_eventos!H:H,Conciliacao!A370)</f>
        <v/>
      </c>
      <c r="F370" s="3">
        <f>SUMIFS(df_mutuos!M:M,df_mutuos!B:B,Conciliacao!A370)</f>
        <v/>
      </c>
      <c r="G370" s="6">
        <f>SUMIFS(df_bloqueios_judiciais!G:G,df_bloqueios_judiciais!D:D,Conciliacao!A370,df_bloqueios_judiciais!G:G,"&gt;0")</f>
        <v/>
      </c>
      <c r="H370" s="7">
        <f>SUMIFS(df_extratos!I:I,df_extratos!F:F,"&gt;="&amp;Conciliacao!BE370,df_extratos!F:F,"&lt;"&amp;Conciliacao!BE370+1,df_extratos!G:G,"CREDITO")
+SUMIFS(df_extratos!I:I,df_extratos!F:F,"&gt;="&amp;Conciliacao!A370, df_extratos!F:F,"&lt;"&amp;Conciliacao!A370+1, df_extratos!G:G,"CREDITO")
+SUMIFS(df_extratos!I:I,df_extratos!F:F,"&gt;="&amp;Conciliacao!BF370,df_extratos!F:F,"&lt;"&amp;Conciliacao!BF370+1,df_extratos!G:G,"CREDITO")
+SUMIFS(df_extratos!I:I,df_extratos!F:F,"&gt;="&amp;Conciliacao!BG370,df_extratos!F:F,"&lt;"&amp;Conciliacao!BG370+1,df_extratos!G:G,"CREDITO")
+SUMIFS(df_extratos!I:I,df_extratos!F:F,"&gt;="&amp;Conciliacao!BH370,df_extratos!F:F,"&lt;"&amp;Conciliacao!BH370+1,df_extratos!G:G,"CREDITO")</f>
        <v/>
      </c>
      <c r="I370" s="9">
        <f>H370-SUM(B370:G370)</f>
        <v/>
      </c>
      <c r="J370" s="4">
        <f>SUMIFS(df_blueme_sem_parcelamento!E:E,df_blueme_sem_parcelamento!H:H,Conciliacao!A370)*(-1)</f>
        <v/>
      </c>
      <c r="K370" s="4">
        <f>SUMIFS(df_blueme_com_parcelamento!J:J,df_blueme_com_parcelamento!M:M,Conciliacao!A370)*(-1)</f>
        <v/>
      </c>
      <c r="L370" s="4">
        <f>SUMIFS(df_mutuos!N:N,df_mutuos!B:B,Conciliacao!A370)*(-1)</f>
        <v/>
      </c>
      <c r="M370" s="8">
        <f>SUMIFS(df_bloqueios_judiciais!G:G,df_bloqueios_judiciais!D:D,Conciliacao!A370,df_bloqueios_judiciais!G:G,"&lt;0")</f>
        <v/>
      </c>
      <c r="N370" s="10">
        <f>SUMIFS(df_extratos!I:I,df_extratos!F:F,"&gt;="&amp;Conciliacao!BE370,df_extratos!F:F,"&lt;"&amp;Conciliacao!BE370+1,df_extratos!G:G,"DEBITO")
+SUMIFS(df_extratos!I:I,df_extratos!F:F,"&gt;="&amp;Conciliacao!A370, df_extratos!F:F,"&lt;"&amp;Conciliacao!A370+1, df_extratos!G:G,"DEBITO")
+SUMIFS(df_extratos!I:I,df_extratos!F:F,"&gt;="&amp;Conciliacao!BF370,df_extratos!F:F,"&lt;"&amp;Conciliacao!BF370+1,df_extratos!G:G,"DEBITO")
+SUMIFS(df_extratos!I:I,df_extratos!F:F,"&gt;="&amp;Conciliacao!BG370,df_extratos!F:F,"&lt;"&amp;Conciliacao!BG370+1,df_extratos!G:G,"DEBITO")
+SUMIFS(df_extratos!I:I,df_extratos!F:F,"&gt;="&amp;Conciliacao!BH370,df_extratos!F:F,"&lt;"&amp;Conciliacao!BH370+1,df_extratos!G:G,"DEBITO")</f>
        <v/>
      </c>
      <c r="O370" s="11">
        <f>N370-SUM(J370:M370)</f>
        <v/>
      </c>
      <c r="P370" s="25">
        <f>SUMIFS(df_ajustes_conciliaco!D:D,df_ajustes_conciliaco!C:C,Conciliacao!A370)</f>
        <v/>
      </c>
      <c r="Q370" s="22">
        <f>O370+I370-P370</f>
        <v/>
      </c>
    </row>
    <row r="371">
      <c r="A371" s="5">
        <f>A370+1</f>
        <v/>
      </c>
      <c r="B371" s="3">
        <f>-SUMIFS(df_extrato_zig!G:G,df_extrato_zig!E:E,Conciliacao!A371,df_extrato_zig!D:D,"Saque")-SUMIFS(df_extrato_zig!G:G,df_extrato_zig!E:E,Conciliacao!A371,df_extrato_zig!D:D,"Antecipação")</f>
        <v/>
      </c>
      <c r="C371" s="3">
        <f>SUMIFS(df_extrato_zig!E:E,df_extrato_zig!L:L,Conciliacao!A371,df_extrato_zig!F:F,"DINHEIRO")</f>
        <v/>
      </c>
      <c r="D371" s="3">
        <f>SUMIFS(view_parc_agrup!H:H,view_parc_agrup!G:G,Conciliacao!A371)</f>
        <v/>
      </c>
      <c r="E371" s="3">
        <f>SUMIFS(df_eventos!F:F,df_eventos!H:H,Conciliacao!A371)</f>
        <v/>
      </c>
      <c r="F371" s="3">
        <f>SUMIFS(df_mutuos!M:M,df_mutuos!B:B,Conciliacao!A371)</f>
        <v/>
      </c>
      <c r="G371" s="6">
        <f>SUMIFS(df_bloqueios_judiciais!G:G,df_bloqueios_judiciais!D:D,Conciliacao!A371,df_bloqueios_judiciais!G:G,"&gt;0")</f>
        <v/>
      </c>
      <c r="H371" s="7">
        <f>SUMIFS(df_extratos!I:I,df_extratos!F:F,"&gt;="&amp;Conciliacao!BE371,df_extratos!F:F,"&lt;"&amp;Conciliacao!BE371+1,df_extratos!G:G,"CREDITO")
+SUMIFS(df_extratos!I:I,df_extratos!F:F,"&gt;="&amp;Conciliacao!A371, df_extratos!F:F,"&lt;"&amp;Conciliacao!A371+1, df_extratos!G:G,"CREDITO")
+SUMIFS(df_extratos!I:I,df_extratos!F:F,"&gt;="&amp;Conciliacao!BF371,df_extratos!F:F,"&lt;"&amp;Conciliacao!BF371+1,df_extratos!G:G,"CREDITO")
+SUMIFS(df_extratos!I:I,df_extratos!F:F,"&gt;="&amp;Conciliacao!BG371,df_extratos!F:F,"&lt;"&amp;Conciliacao!BG371+1,df_extratos!G:G,"CREDITO")
+SUMIFS(df_extratos!I:I,df_extratos!F:F,"&gt;="&amp;Conciliacao!BH371,df_extratos!F:F,"&lt;"&amp;Conciliacao!BH371+1,df_extratos!G:G,"CREDITO")</f>
        <v/>
      </c>
      <c r="I371" s="9">
        <f>H371-SUM(B371:G371)</f>
        <v/>
      </c>
      <c r="J371" s="4">
        <f>SUMIFS(df_blueme_sem_parcelamento!E:E,df_blueme_sem_parcelamento!H:H,Conciliacao!A371)*(-1)</f>
        <v/>
      </c>
      <c r="K371" s="4">
        <f>SUMIFS(df_blueme_com_parcelamento!J:J,df_blueme_com_parcelamento!M:M,Conciliacao!A371)*(-1)</f>
        <v/>
      </c>
      <c r="L371" s="4">
        <f>SUMIFS(df_mutuos!N:N,df_mutuos!B:B,Conciliacao!A371)*(-1)</f>
        <v/>
      </c>
      <c r="M371" s="8">
        <f>SUMIFS(df_bloqueios_judiciais!G:G,df_bloqueios_judiciais!D:D,Conciliacao!A371,df_bloqueios_judiciais!G:G,"&lt;0")</f>
        <v/>
      </c>
      <c r="N371" s="10">
        <f>SUMIFS(df_extratos!I:I,df_extratos!F:F,"&gt;="&amp;Conciliacao!BE371,df_extratos!F:F,"&lt;"&amp;Conciliacao!BE371+1,df_extratos!G:G,"DEBITO")
+SUMIFS(df_extratos!I:I,df_extratos!F:F,"&gt;="&amp;Conciliacao!A371, df_extratos!F:F,"&lt;"&amp;Conciliacao!A371+1, df_extratos!G:G,"DEBITO")
+SUMIFS(df_extratos!I:I,df_extratos!F:F,"&gt;="&amp;Conciliacao!BF371,df_extratos!F:F,"&lt;"&amp;Conciliacao!BF371+1,df_extratos!G:G,"DEBITO")
+SUMIFS(df_extratos!I:I,df_extratos!F:F,"&gt;="&amp;Conciliacao!BG371,df_extratos!F:F,"&lt;"&amp;Conciliacao!BG371+1,df_extratos!G:G,"DEBITO")
+SUMIFS(df_extratos!I:I,df_extratos!F:F,"&gt;="&amp;Conciliacao!BH371,df_extratos!F:F,"&lt;"&amp;Conciliacao!BH371+1,df_extratos!G:G,"DEBITO")</f>
        <v/>
      </c>
      <c r="O371" s="11">
        <f>N371-SUM(J371:M371)</f>
        <v/>
      </c>
      <c r="P371" s="25">
        <f>SUMIFS(df_ajustes_conciliaco!D:D,df_ajustes_conciliaco!C:C,Conciliacao!A371)</f>
        <v/>
      </c>
      <c r="Q371" s="22">
        <f>O371+I371-P371</f>
        <v/>
      </c>
    </row>
    <row r="372">
      <c r="A372" s="5">
        <f>A371+1</f>
        <v/>
      </c>
      <c r="B372" s="3">
        <f>-SUMIFS(df_extrato_zig!G:G,df_extrato_zig!E:E,Conciliacao!A372,df_extrato_zig!D:D,"Saque")-SUMIFS(df_extrato_zig!G:G,df_extrato_zig!E:E,Conciliacao!A372,df_extrato_zig!D:D,"Antecipação")</f>
        <v/>
      </c>
      <c r="C372" s="3">
        <f>SUMIFS(df_extrato_zig!E:E,df_extrato_zig!L:L,Conciliacao!A372,df_extrato_zig!F:F,"DINHEIRO")</f>
        <v/>
      </c>
      <c r="D372" s="3">
        <f>SUMIFS(view_parc_agrup!H:H,view_parc_agrup!G:G,Conciliacao!A372)</f>
        <v/>
      </c>
      <c r="E372" s="3">
        <f>SUMIFS(df_eventos!F:F,df_eventos!H:H,Conciliacao!A372)</f>
        <v/>
      </c>
      <c r="F372" s="3">
        <f>SUMIFS(df_mutuos!M:M,df_mutuos!B:B,Conciliacao!A372)</f>
        <v/>
      </c>
      <c r="G372" s="6">
        <f>SUMIFS(df_bloqueios_judiciais!G:G,df_bloqueios_judiciais!D:D,Conciliacao!A372,df_bloqueios_judiciais!G:G,"&gt;0")</f>
        <v/>
      </c>
      <c r="H372" s="7">
        <f>SUMIFS(df_extratos!I:I,df_extratos!F:F,"&gt;="&amp;Conciliacao!BE372,df_extratos!F:F,"&lt;"&amp;Conciliacao!BE372+1,df_extratos!G:G,"CREDITO")
+SUMIFS(df_extratos!I:I,df_extratos!F:F,"&gt;="&amp;Conciliacao!A372, df_extratos!F:F,"&lt;"&amp;Conciliacao!A372+1, df_extratos!G:G,"CREDITO")
+SUMIFS(df_extratos!I:I,df_extratos!F:F,"&gt;="&amp;Conciliacao!BF372,df_extratos!F:F,"&lt;"&amp;Conciliacao!BF372+1,df_extratos!G:G,"CREDITO")
+SUMIFS(df_extratos!I:I,df_extratos!F:F,"&gt;="&amp;Conciliacao!BG372,df_extratos!F:F,"&lt;"&amp;Conciliacao!BG372+1,df_extratos!G:G,"CREDITO")
+SUMIFS(df_extratos!I:I,df_extratos!F:F,"&gt;="&amp;Conciliacao!BH372,df_extratos!F:F,"&lt;"&amp;Conciliacao!BH372+1,df_extratos!G:G,"CREDITO")</f>
        <v/>
      </c>
      <c r="I372" s="9">
        <f>H372-SUM(B372:G372)</f>
        <v/>
      </c>
      <c r="J372" s="4">
        <f>SUMIFS(df_blueme_sem_parcelamento!E:E,df_blueme_sem_parcelamento!H:H,Conciliacao!A372)*(-1)</f>
        <v/>
      </c>
      <c r="K372" s="4">
        <f>SUMIFS(df_blueme_com_parcelamento!J:J,df_blueme_com_parcelamento!M:M,Conciliacao!A372)*(-1)</f>
        <v/>
      </c>
      <c r="L372" s="4">
        <f>SUMIFS(df_mutuos!N:N,df_mutuos!B:B,Conciliacao!A372)*(-1)</f>
        <v/>
      </c>
      <c r="M372" s="8">
        <f>SUMIFS(df_bloqueios_judiciais!G:G,df_bloqueios_judiciais!D:D,Conciliacao!A372,df_bloqueios_judiciais!G:G,"&lt;0")</f>
        <v/>
      </c>
      <c r="N372" s="10">
        <f>SUMIFS(df_extratos!I:I,df_extratos!F:F,"&gt;="&amp;Conciliacao!BE372,df_extratos!F:F,"&lt;"&amp;Conciliacao!BE372+1,df_extratos!G:G,"DEBITO")
+SUMIFS(df_extratos!I:I,df_extratos!F:F,"&gt;="&amp;Conciliacao!A372, df_extratos!F:F,"&lt;"&amp;Conciliacao!A372+1, df_extratos!G:G,"DEBITO")
+SUMIFS(df_extratos!I:I,df_extratos!F:F,"&gt;="&amp;Conciliacao!BF372,df_extratos!F:F,"&lt;"&amp;Conciliacao!BF372+1,df_extratos!G:G,"DEBITO")
+SUMIFS(df_extratos!I:I,df_extratos!F:F,"&gt;="&amp;Conciliacao!BG372,df_extratos!F:F,"&lt;"&amp;Conciliacao!BG372+1,df_extratos!G:G,"DEBITO")
+SUMIFS(df_extratos!I:I,df_extratos!F:F,"&gt;="&amp;Conciliacao!BH372,df_extratos!F:F,"&lt;"&amp;Conciliacao!BH372+1,df_extratos!G:G,"DEBITO")</f>
        <v/>
      </c>
      <c r="O372" s="11">
        <f>N372-SUM(J372:M372)</f>
        <v/>
      </c>
      <c r="P372" s="25">
        <f>SUMIFS(df_ajustes_conciliaco!D:D,df_ajustes_conciliaco!C:C,Conciliacao!A372)</f>
        <v/>
      </c>
      <c r="Q372" s="22">
        <f>O372+I372-P372</f>
        <v/>
      </c>
    </row>
    <row r="373">
      <c r="A373" s="5">
        <f>A372+1</f>
        <v/>
      </c>
      <c r="B373" s="3">
        <f>-SUMIFS(df_extrato_zig!G:G,df_extrato_zig!E:E,Conciliacao!A373,df_extrato_zig!D:D,"Saque")-SUMIFS(df_extrato_zig!G:G,df_extrato_zig!E:E,Conciliacao!A373,df_extrato_zig!D:D,"Antecipação")</f>
        <v/>
      </c>
      <c r="C373" s="3">
        <f>SUMIFS(df_extrato_zig!E:E,df_extrato_zig!L:L,Conciliacao!A373,df_extrato_zig!F:F,"DINHEIRO")</f>
        <v/>
      </c>
      <c r="D373" s="3">
        <f>SUMIFS(view_parc_agrup!H:H,view_parc_agrup!G:G,Conciliacao!A373)</f>
        <v/>
      </c>
      <c r="E373" s="3">
        <f>SUMIFS(df_eventos!F:F,df_eventos!H:H,Conciliacao!A373)</f>
        <v/>
      </c>
      <c r="F373" s="3">
        <f>SUMIFS(df_mutuos!M:M,df_mutuos!B:B,Conciliacao!A373)</f>
        <v/>
      </c>
      <c r="G373" s="6">
        <f>SUMIFS(df_bloqueios_judiciais!G:G,df_bloqueios_judiciais!D:D,Conciliacao!A373,df_bloqueios_judiciais!G:G,"&gt;0")</f>
        <v/>
      </c>
      <c r="H373" s="7">
        <f>SUMIFS(df_extratos!I:I,df_extratos!F:F,"&gt;="&amp;Conciliacao!BE373,df_extratos!F:F,"&lt;"&amp;Conciliacao!BE373+1,df_extratos!G:G,"CREDITO")
+SUMIFS(df_extratos!I:I,df_extratos!F:F,"&gt;="&amp;Conciliacao!A373, df_extratos!F:F,"&lt;"&amp;Conciliacao!A373+1, df_extratos!G:G,"CREDITO")
+SUMIFS(df_extratos!I:I,df_extratos!F:F,"&gt;="&amp;Conciliacao!BF373,df_extratos!F:F,"&lt;"&amp;Conciliacao!BF373+1,df_extratos!G:G,"CREDITO")
+SUMIFS(df_extratos!I:I,df_extratos!F:F,"&gt;="&amp;Conciliacao!BG373,df_extratos!F:F,"&lt;"&amp;Conciliacao!BG373+1,df_extratos!G:G,"CREDITO")
+SUMIFS(df_extratos!I:I,df_extratos!F:F,"&gt;="&amp;Conciliacao!BH373,df_extratos!F:F,"&lt;"&amp;Conciliacao!BH373+1,df_extratos!G:G,"CREDITO")</f>
        <v/>
      </c>
      <c r="I373" s="9">
        <f>H373-SUM(B373:G373)</f>
        <v/>
      </c>
      <c r="J373" s="4">
        <f>SUMIFS(df_blueme_sem_parcelamento!E:E,df_blueme_sem_parcelamento!H:H,Conciliacao!A373)*(-1)</f>
        <v/>
      </c>
      <c r="K373" s="4">
        <f>SUMIFS(df_blueme_com_parcelamento!J:J,df_blueme_com_parcelamento!M:M,Conciliacao!A373)*(-1)</f>
        <v/>
      </c>
      <c r="L373" s="4">
        <f>SUMIFS(df_mutuos!N:N,df_mutuos!B:B,Conciliacao!A373)*(-1)</f>
        <v/>
      </c>
      <c r="M373" s="8">
        <f>SUMIFS(df_bloqueios_judiciais!G:G,df_bloqueios_judiciais!D:D,Conciliacao!A373,df_bloqueios_judiciais!G:G,"&lt;0")</f>
        <v/>
      </c>
      <c r="N373" s="10">
        <f>SUMIFS(df_extratos!I:I,df_extratos!F:F,"&gt;="&amp;Conciliacao!BE373,df_extratos!F:F,"&lt;"&amp;Conciliacao!BE373+1,df_extratos!G:G,"DEBITO")
+SUMIFS(df_extratos!I:I,df_extratos!F:F,"&gt;="&amp;Conciliacao!A373, df_extratos!F:F,"&lt;"&amp;Conciliacao!A373+1, df_extratos!G:G,"DEBITO")
+SUMIFS(df_extratos!I:I,df_extratos!F:F,"&gt;="&amp;Conciliacao!BF373,df_extratos!F:F,"&lt;"&amp;Conciliacao!BF373+1,df_extratos!G:G,"DEBITO")
+SUMIFS(df_extratos!I:I,df_extratos!F:F,"&gt;="&amp;Conciliacao!BG373,df_extratos!F:F,"&lt;"&amp;Conciliacao!BG373+1,df_extratos!G:G,"DEBITO")
+SUMIFS(df_extratos!I:I,df_extratos!F:F,"&gt;="&amp;Conciliacao!BH373,df_extratos!F:F,"&lt;"&amp;Conciliacao!BH373+1,df_extratos!G:G,"DEBITO")</f>
        <v/>
      </c>
      <c r="O373" s="11">
        <f>N373-SUM(J373:M373)</f>
        <v/>
      </c>
      <c r="P373" s="25">
        <f>SUMIFS(df_ajustes_conciliaco!D:D,df_ajustes_conciliaco!C:C,Conciliacao!A373)</f>
        <v/>
      </c>
      <c r="Q373" s="22">
        <f>O373+I373-P373</f>
        <v/>
      </c>
    </row>
    <row r="374">
      <c r="A374" s="5">
        <f>A373+1</f>
        <v/>
      </c>
      <c r="B374" s="3">
        <f>-SUMIFS(df_extrato_zig!G:G,df_extrato_zig!E:E,Conciliacao!A374,df_extrato_zig!D:D,"Saque")-SUMIFS(df_extrato_zig!G:G,df_extrato_zig!E:E,Conciliacao!A374,df_extrato_zig!D:D,"Antecipação")</f>
        <v/>
      </c>
      <c r="C374" s="3">
        <f>SUMIFS(df_extrato_zig!E:E,df_extrato_zig!L:L,Conciliacao!A374,df_extrato_zig!F:F,"DINHEIRO")</f>
        <v/>
      </c>
      <c r="D374" s="3">
        <f>SUMIFS(view_parc_agrup!H:H,view_parc_agrup!G:G,Conciliacao!A374)</f>
        <v/>
      </c>
      <c r="E374" s="3">
        <f>SUMIFS(df_eventos!F:F,df_eventos!H:H,Conciliacao!A374)</f>
        <v/>
      </c>
      <c r="F374" s="3">
        <f>SUMIFS(df_mutuos!M:M,df_mutuos!B:B,Conciliacao!A374)</f>
        <v/>
      </c>
      <c r="G374" s="6">
        <f>SUMIFS(df_bloqueios_judiciais!G:G,df_bloqueios_judiciais!D:D,Conciliacao!A374,df_bloqueios_judiciais!G:G,"&gt;0")</f>
        <v/>
      </c>
      <c r="H374" s="7">
        <f>SUMIFS(df_extratos!I:I,df_extratos!F:F,"&gt;="&amp;Conciliacao!BE374,df_extratos!F:F,"&lt;"&amp;Conciliacao!BE374+1,df_extratos!G:G,"CREDITO")
+SUMIFS(df_extratos!I:I,df_extratos!F:F,"&gt;="&amp;Conciliacao!A374, df_extratos!F:F,"&lt;"&amp;Conciliacao!A374+1, df_extratos!G:G,"CREDITO")
+SUMIFS(df_extratos!I:I,df_extratos!F:F,"&gt;="&amp;Conciliacao!BF374,df_extratos!F:F,"&lt;"&amp;Conciliacao!BF374+1,df_extratos!G:G,"CREDITO")
+SUMIFS(df_extratos!I:I,df_extratos!F:F,"&gt;="&amp;Conciliacao!BG374,df_extratos!F:F,"&lt;"&amp;Conciliacao!BG374+1,df_extratos!G:G,"CREDITO")
+SUMIFS(df_extratos!I:I,df_extratos!F:F,"&gt;="&amp;Conciliacao!BH374,df_extratos!F:F,"&lt;"&amp;Conciliacao!BH374+1,df_extratos!G:G,"CREDITO")</f>
        <v/>
      </c>
      <c r="I374" s="9">
        <f>H374-SUM(B374:G374)</f>
        <v/>
      </c>
      <c r="J374" s="4">
        <f>SUMIFS(df_blueme_sem_parcelamento!E:E,df_blueme_sem_parcelamento!H:H,Conciliacao!A374)*(-1)</f>
        <v/>
      </c>
      <c r="K374" s="4">
        <f>SUMIFS(df_blueme_com_parcelamento!J:J,df_blueme_com_parcelamento!M:M,Conciliacao!A374)*(-1)</f>
        <v/>
      </c>
      <c r="L374" s="4">
        <f>SUMIFS(df_mutuos!N:N,df_mutuos!B:B,Conciliacao!A374)*(-1)</f>
        <v/>
      </c>
      <c r="M374" s="8">
        <f>SUMIFS(df_bloqueios_judiciais!G:G,df_bloqueios_judiciais!D:D,Conciliacao!A374,df_bloqueios_judiciais!G:G,"&lt;0")</f>
        <v/>
      </c>
      <c r="N374" s="10">
        <f>SUMIFS(df_extratos!I:I,df_extratos!F:F,"&gt;="&amp;Conciliacao!BE374,df_extratos!F:F,"&lt;"&amp;Conciliacao!BE374+1,df_extratos!G:G,"DEBITO")
+SUMIFS(df_extratos!I:I,df_extratos!F:F,"&gt;="&amp;Conciliacao!A374, df_extratos!F:F,"&lt;"&amp;Conciliacao!A374+1, df_extratos!G:G,"DEBITO")
+SUMIFS(df_extratos!I:I,df_extratos!F:F,"&gt;="&amp;Conciliacao!BF374,df_extratos!F:F,"&lt;"&amp;Conciliacao!BF374+1,df_extratos!G:G,"DEBITO")
+SUMIFS(df_extratos!I:I,df_extratos!F:F,"&gt;="&amp;Conciliacao!BG374,df_extratos!F:F,"&lt;"&amp;Conciliacao!BG374+1,df_extratos!G:G,"DEBITO")
+SUMIFS(df_extratos!I:I,df_extratos!F:F,"&gt;="&amp;Conciliacao!BH374,df_extratos!F:F,"&lt;"&amp;Conciliacao!BH374+1,df_extratos!G:G,"DEBITO")</f>
        <v/>
      </c>
      <c r="O374" s="11">
        <f>N374-SUM(J374:M374)</f>
        <v/>
      </c>
      <c r="P374" s="25">
        <f>SUMIFS(df_ajustes_conciliaco!D:D,df_ajustes_conciliaco!C:C,Conciliacao!A374)</f>
        <v/>
      </c>
      <c r="Q374" s="22">
        <f>O374+I374-P374</f>
        <v/>
      </c>
    </row>
    <row r="375">
      <c r="A375" s="5">
        <f>A374+1</f>
        <v/>
      </c>
      <c r="B375" s="3">
        <f>-SUMIFS(df_extrato_zig!G:G,df_extrato_zig!E:E,Conciliacao!A375,df_extrato_zig!D:D,"Saque")-SUMIFS(df_extrato_zig!G:G,df_extrato_zig!E:E,Conciliacao!A375,df_extrato_zig!D:D,"Antecipação")</f>
        <v/>
      </c>
      <c r="C375" s="3">
        <f>SUMIFS(df_extrato_zig!E:E,df_extrato_zig!L:L,Conciliacao!A375,df_extrato_zig!F:F,"DINHEIRO")</f>
        <v/>
      </c>
      <c r="D375" s="3">
        <f>SUMIFS(view_parc_agrup!H:H,view_parc_agrup!G:G,Conciliacao!A375)</f>
        <v/>
      </c>
      <c r="E375" s="3">
        <f>SUMIFS(df_eventos!F:F,df_eventos!H:H,Conciliacao!A375)</f>
        <v/>
      </c>
      <c r="F375" s="3">
        <f>SUMIFS(df_mutuos!M:M,df_mutuos!B:B,Conciliacao!A375)</f>
        <v/>
      </c>
      <c r="G375" s="6">
        <f>SUMIFS(df_bloqueios_judiciais!G:G,df_bloqueios_judiciais!D:D,Conciliacao!A375,df_bloqueios_judiciais!G:G,"&gt;0")</f>
        <v/>
      </c>
      <c r="H375" s="7">
        <f>SUMIFS(df_extratos!I:I,df_extratos!F:F,"&gt;="&amp;Conciliacao!BE375,df_extratos!F:F,"&lt;"&amp;Conciliacao!BE375+1,df_extratos!G:G,"CREDITO")
+SUMIFS(df_extratos!I:I,df_extratos!F:F,"&gt;="&amp;Conciliacao!A375, df_extratos!F:F,"&lt;"&amp;Conciliacao!A375+1, df_extratos!G:G,"CREDITO")
+SUMIFS(df_extratos!I:I,df_extratos!F:F,"&gt;="&amp;Conciliacao!BF375,df_extratos!F:F,"&lt;"&amp;Conciliacao!BF375+1,df_extratos!G:G,"CREDITO")
+SUMIFS(df_extratos!I:I,df_extratos!F:F,"&gt;="&amp;Conciliacao!BG375,df_extratos!F:F,"&lt;"&amp;Conciliacao!BG375+1,df_extratos!G:G,"CREDITO")
+SUMIFS(df_extratos!I:I,df_extratos!F:F,"&gt;="&amp;Conciliacao!BH375,df_extratos!F:F,"&lt;"&amp;Conciliacao!BH375+1,df_extratos!G:G,"CREDITO")</f>
        <v/>
      </c>
      <c r="I375" s="9">
        <f>H375-SUM(B375:G375)</f>
        <v/>
      </c>
      <c r="J375" s="4">
        <f>SUMIFS(df_blueme_sem_parcelamento!E:E,df_blueme_sem_parcelamento!H:H,Conciliacao!A375)*(-1)</f>
        <v/>
      </c>
      <c r="K375" s="4">
        <f>SUMIFS(df_blueme_com_parcelamento!J:J,df_blueme_com_parcelamento!M:M,Conciliacao!A375)*(-1)</f>
        <v/>
      </c>
      <c r="L375" s="4">
        <f>SUMIFS(df_mutuos!N:N,df_mutuos!B:B,Conciliacao!A375)*(-1)</f>
        <v/>
      </c>
      <c r="M375" s="8">
        <f>SUMIFS(df_bloqueios_judiciais!G:G,df_bloqueios_judiciais!D:D,Conciliacao!A375,df_bloqueios_judiciais!G:G,"&lt;0")</f>
        <v/>
      </c>
      <c r="N375" s="10">
        <f>SUMIFS(df_extratos!I:I,df_extratos!F:F,"&gt;="&amp;Conciliacao!BE375,df_extratos!F:F,"&lt;"&amp;Conciliacao!BE375+1,df_extratos!G:G,"DEBITO")
+SUMIFS(df_extratos!I:I,df_extratos!F:F,"&gt;="&amp;Conciliacao!A375, df_extratos!F:F,"&lt;"&amp;Conciliacao!A375+1, df_extratos!G:G,"DEBITO")
+SUMIFS(df_extratos!I:I,df_extratos!F:F,"&gt;="&amp;Conciliacao!BF375,df_extratos!F:F,"&lt;"&amp;Conciliacao!BF375+1,df_extratos!G:G,"DEBITO")
+SUMIFS(df_extratos!I:I,df_extratos!F:F,"&gt;="&amp;Conciliacao!BG375,df_extratos!F:F,"&lt;"&amp;Conciliacao!BG375+1,df_extratos!G:G,"DEBITO")
+SUMIFS(df_extratos!I:I,df_extratos!F:F,"&gt;="&amp;Conciliacao!BH375,df_extratos!F:F,"&lt;"&amp;Conciliacao!BH375+1,df_extratos!G:G,"DEBITO")</f>
        <v/>
      </c>
      <c r="O375" s="11">
        <f>N375-SUM(J375:M375)</f>
        <v/>
      </c>
      <c r="P375" s="25">
        <f>SUMIFS(df_ajustes_conciliaco!D:D,df_ajustes_conciliaco!C:C,Conciliacao!A375)</f>
        <v/>
      </c>
      <c r="Q375" s="22">
        <f>O375+I375-P375</f>
        <v/>
      </c>
    </row>
    <row r="376">
      <c r="A376" s="5">
        <f>A375+1</f>
        <v/>
      </c>
      <c r="B376" s="3">
        <f>-SUMIFS(df_extrato_zig!G:G,df_extrato_zig!E:E,Conciliacao!A376,df_extrato_zig!D:D,"Saque")-SUMIFS(df_extrato_zig!G:G,df_extrato_zig!E:E,Conciliacao!A376,df_extrato_zig!D:D,"Antecipação")</f>
        <v/>
      </c>
      <c r="C376" s="3">
        <f>SUMIFS(df_extrato_zig!E:E,df_extrato_zig!L:L,Conciliacao!A376,df_extrato_zig!F:F,"DINHEIRO")</f>
        <v/>
      </c>
      <c r="D376" s="3">
        <f>SUMIFS(view_parc_agrup!H:H,view_parc_agrup!G:G,Conciliacao!A376)</f>
        <v/>
      </c>
      <c r="E376" s="3">
        <f>SUMIFS(df_eventos!F:F,df_eventos!H:H,Conciliacao!A376)</f>
        <v/>
      </c>
      <c r="F376" s="3">
        <f>SUMIFS(df_mutuos!M:M,df_mutuos!B:B,Conciliacao!A376)</f>
        <v/>
      </c>
      <c r="G376" s="6">
        <f>SUMIFS(df_bloqueios_judiciais!G:G,df_bloqueios_judiciais!D:D,Conciliacao!A376,df_bloqueios_judiciais!G:G,"&gt;0")</f>
        <v/>
      </c>
      <c r="H376" s="7">
        <f>SUMIFS(df_extratos!I:I,df_extratos!F:F,"&gt;="&amp;Conciliacao!BE376,df_extratos!F:F,"&lt;"&amp;Conciliacao!BE376+1,df_extratos!G:G,"CREDITO")
+SUMIFS(df_extratos!I:I,df_extratos!F:F,"&gt;="&amp;Conciliacao!A376, df_extratos!F:F,"&lt;"&amp;Conciliacao!A376+1, df_extratos!G:G,"CREDITO")
+SUMIFS(df_extratos!I:I,df_extratos!F:F,"&gt;="&amp;Conciliacao!BF376,df_extratos!F:F,"&lt;"&amp;Conciliacao!BF376+1,df_extratos!G:G,"CREDITO")
+SUMIFS(df_extratos!I:I,df_extratos!F:F,"&gt;="&amp;Conciliacao!BG376,df_extratos!F:F,"&lt;"&amp;Conciliacao!BG376+1,df_extratos!G:G,"CREDITO")
+SUMIFS(df_extratos!I:I,df_extratos!F:F,"&gt;="&amp;Conciliacao!BH376,df_extratos!F:F,"&lt;"&amp;Conciliacao!BH376+1,df_extratos!G:G,"CREDITO")</f>
        <v/>
      </c>
      <c r="I376" s="9">
        <f>H376-SUM(B376:G376)</f>
        <v/>
      </c>
      <c r="J376" s="4">
        <f>SUMIFS(df_blueme_sem_parcelamento!E:E,df_blueme_sem_parcelamento!H:H,Conciliacao!A376)*(-1)</f>
        <v/>
      </c>
      <c r="K376" s="4">
        <f>SUMIFS(df_blueme_com_parcelamento!J:J,df_blueme_com_parcelamento!M:M,Conciliacao!A376)*(-1)</f>
        <v/>
      </c>
      <c r="L376" s="4">
        <f>SUMIFS(df_mutuos!N:N,df_mutuos!B:B,Conciliacao!A376)*(-1)</f>
        <v/>
      </c>
      <c r="M376" s="8">
        <f>SUMIFS(df_bloqueios_judiciais!G:G,df_bloqueios_judiciais!D:D,Conciliacao!A376,df_bloqueios_judiciais!G:G,"&lt;0")</f>
        <v/>
      </c>
      <c r="N376" s="10">
        <f>SUMIFS(df_extratos!I:I,df_extratos!F:F,"&gt;="&amp;Conciliacao!BE376,df_extratos!F:F,"&lt;"&amp;Conciliacao!BE376+1,df_extratos!G:G,"DEBITO")
+SUMIFS(df_extratos!I:I,df_extratos!F:F,"&gt;="&amp;Conciliacao!A376, df_extratos!F:F,"&lt;"&amp;Conciliacao!A376+1, df_extratos!G:G,"DEBITO")
+SUMIFS(df_extratos!I:I,df_extratos!F:F,"&gt;="&amp;Conciliacao!BF376,df_extratos!F:F,"&lt;"&amp;Conciliacao!BF376+1,df_extratos!G:G,"DEBITO")
+SUMIFS(df_extratos!I:I,df_extratos!F:F,"&gt;="&amp;Conciliacao!BG376,df_extratos!F:F,"&lt;"&amp;Conciliacao!BG376+1,df_extratos!G:G,"DEBITO")
+SUMIFS(df_extratos!I:I,df_extratos!F:F,"&gt;="&amp;Conciliacao!BH376,df_extratos!F:F,"&lt;"&amp;Conciliacao!BH376+1,df_extratos!G:G,"DEBITO")</f>
        <v/>
      </c>
      <c r="O376" s="11">
        <f>N376-SUM(J376:M376)</f>
        <v/>
      </c>
      <c r="P376" s="25">
        <f>SUMIFS(df_ajustes_conciliaco!D:D,df_ajustes_conciliaco!C:C,Conciliacao!A376)</f>
        <v/>
      </c>
      <c r="Q376" s="22">
        <f>O376+I376-P376</f>
        <v/>
      </c>
    </row>
    <row r="377">
      <c r="A377" s="5">
        <f>A376+1</f>
        <v/>
      </c>
      <c r="B377" s="3">
        <f>-SUMIFS(df_extrato_zig!G:G,df_extrato_zig!E:E,Conciliacao!A377,df_extrato_zig!D:D,"Saque")-SUMIFS(df_extrato_zig!G:G,df_extrato_zig!E:E,Conciliacao!A377,df_extrato_zig!D:D,"Antecipação")</f>
        <v/>
      </c>
      <c r="C377" s="3">
        <f>SUMIFS(df_extrato_zig!E:E,df_extrato_zig!L:L,Conciliacao!A377,df_extrato_zig!F:F,"DINHEIRO")</f>
        <v/>
      </c>
      <c r="D377" s="3">
        <f>SUMIFS(view_parc_agrup!H:H,view_parc_agrup!G:G,Conciliacao!A377)</f>
        <v/>
      </c>
      <c r="E377" s="3">
        <f>SUMIFS(df_eventos!F:F,df_eventos!H:H,Conciliacao!A377)</f>
        <v/>
      </c>
      <c r="F377" s="3">
        <f>SUMIFS(df_mutuos!M:M,df_mutuos!B:B,Conciliacao!A377)</f>
        <v/>
      </c>
      <c r="G377" s="6">
        <f>SUMIFS(df_bloqueios_judiciais!G:G,df_bloqueios_judiciais!D:D,Conciliacao!A377,df_bloqueios_judiciais!G:G,"&gt;0")</f>
        <v/>
      </c>
      <c r="H377" s="7">
        <f>SUMIFS(df_extratos!I:I,df_extratos!F:F,"&gt;="&amp;Conciliacao!BE377,df_extratos!F:F,"&lt;"&amp;Conciliacao!BE377+1,df_extratos!G:G,"CREDITO")
+SUMIFS(df_extratos!I:I,df_extratos!F:F,"&gt;="&amp;Conciliacao!A377, df_extratos!F:F,"&lt;"&amp;Conciliacao!A377+1, df_extratos!G:G,"CREDITO")
+SUMIFS(df_extratos!I:I,df_extratos!F:F,"&gt;="&amp;Conciliacao!BF377,df_extratos!F:F,"&lt;"&amp;Conciliacao!BF377+1,df_extratos!G:G,"CREDITO")
+SUMIFS(df_extratos!I:I,df_extratos!F:F,"&gt;="&amp;Conciliacao!BG377,df_extratos!F:F,"&lt;"&amp;Conciliacao!BG377+1,df_extratos!G:G,"CREDITO")
+SUMIFS(df_extratos!I:I,df_extratos!F:F,"&gt;="&amp;Conciliacao!BH377,df_extratos!F:F,"&lt;"&amp;Conciliacao!BH377+1,df_extratos!G:G,"CREDITO")</f>
        <v/>
      </c>
      <c r="I377" s="9">
        <f>H377-SUM(B377:G377)</f>
        <v/>
      </c>
      <c r="J377" s="4">
        <f>SUMIFS(df_blueme_sem_parcelamento!E:E,df_blueme_sem_parcelamento!H:H,Conciliacao!A377)*(-1)</f>
        <v/>
      </c>
      <c r="K377" s="4">
        <f>SUMIFS(df_blueme_com_parcelamento!J:J,df_blueme_com_parcelamento!M:M,Conciliacao!A377)*(-1)</f>
        <v/>
      </c>
      <c r="L377" s="4">
        <f>SUMIFS(df_mutuos!N:N,df_mutuos!B:B,Conciliacao!A377)*(-1)</f>
        <v/>
      </c>
      <c r="M377" s="8">
        <f>SUMIFS(df_bloqueios_judiciais!G:G,df_bloqueios_judiciais!D:D,Conciliacao!A377,df_bloqueios_judiciais!G:G,"&lt;0")</f>
        <v/>
      </c>
      <c r="N377" s="10">
        <f>SUMIFS(df_extratos!I:I,df_extratos!F:F,"&gt;="&amp;Conciliacao!BE377,df_extratos!F:F,"&lt;"&amp;Conciliacao!BE377+1,df_extratos!G:G,"DEBITO")
+SUMIFS(df_extratos!I:I,df_extratos!F:F,"&gt;="&amp;Conciliacao!A377, df_extratos!F:F,"&lt;"&amp;Conciliacao!A377+1, df_extratos!G:G,"DEBITO")
+SUMIFS(df_extratos!I:I,df_extratos!F:F,"&gt;="&amp;Conciliacao!BF377,df_extratos!F:F,"&lt;"&amp;Conciliacao!BF377+1,df_extratos!G:G,"DEBITO")
+SUMIFS(df_extratos!I:I,df_extratos!F:F,"&gt;="&amp;Conciliacao!BG377,df_extratos!F:F,"&lt;"&amp;Conciliacao!BG377+1,df_extratos!G:G,"DEBITO")
+SUMIFS(df_extratos!I:I,df_extratos!F:F,"&gt;="&amp;Conciliacao!BH377,df_extratos!F:F,"&lt;"&amp;Conciliacao!BH377+1,df_extratos!G:G,"DEBITO")</f>
        <v/>
      </c>
      <c r="O377" s="11">
        <f>N377-SUM(J377:M377)</f>
        <v/>
      </c>
      <c r="P377" s="25">
        <f>SUMIFS(df_ajustes_conciliaco!D:D,df_ajustes_conciliaco!C:C,Conciliacao!A377)</f>
        <v/>
      </c>
      <c r="Q377" s="22">
        <f>O377+I377-P377</f>
        <v/>
      </c>
    </row>
    <row r="378">
      <c r="A378" s="5">
        <f>A377+1</f>
        <v/>
      </c>
      <c r="B378" s="3">
        <f>-SUMIFS(df_extrato_zig!G:G,df_extrato_zig!E:E,Conciliacao!A378,df_extrato_zig!D:D,"Saque")-SUMIFS(df_extrato_zig!G:G,df_extrato_zig!E:E,Conciliacao!A378,df_extrato_zig!D:D,"Antecipação")</f>
        <v/>
      </c>
      <c r="C378" s="3">
        <f>SUMIFS(df_extrato_zig!E:E,df_extrato_zig!L:L,Conciliacao!A378,df_extrato_zig!F:F,"DINHEIRO")</f>
        <v/>
      </c>
      <c r="D378" s="3">
        <f>SUMIFS(view_parc_agrup!H:H,view_parc_agrup!G:G,Conciliacao!A378)</f>
        <v/>
      </c>
      <c r="E378" s="3">
        <f>SUMIFS(df_eventos!F:F,df_eventos!H:H,Conciliacao!A378)</f>
        <v/>
      </c>
      <c r="F378" s="3">
        <f>SUMIFS(df_mutuos!M:M,df_mutuos!B:B,Conciliacao!A378)</f>
        <v/>
      </c>
      <c r="G378" s="6">
        <f>SUMIFS(df_bloqueios_judiciais!G:G,df_bloqueios_judiciais!D:D,Conciliacao!A378,df_bloqueios_judiciais!G:G,"&gt;0")</f>
        <v/>
      </c>
      <c r="H378" s="7">
        <f>SUMIFS(df_extratos!I:I,df_extratos!F:F,"&gt;="&amp;Conciliacao!BE378,df_extratos!F:F,"&lt;"&amp;Conciliacao!BE378+1,df_extratos!G:G,"CREDITO")
+SUMIFS(df_extratos!I:I,df_extratos!F:F,"&gt;="&amp;Conciliacao!A378, df_extratos!F:F,"&lt;"&amp;Conciliacao!A378+1, df_extratos!G:G,"CREDITO")
+SUMIFS(df_extratos!I:I,df_extratos!F:F,"&gt;="&amp;Conciliacao!BF378,df_extratos!F:F,"&lt;"&amp;Conciliacao!BF378+1,df_extratos!G:G,"CREDITO")
+SUMIFS(df_extratos!I:I,df_extratos!F:F,"&gt;="&amp;Conciliacao!BG378,df_extratos!F:F,"&lt;"&amp;Conciliacao!BG378+1,df_extratos!G:G,"CREDITO")
+SUMIFS(df_extratos!I:I,df_extratos!F:F,"&gt;="&amp;Conciliacao!BH378,df_extratos!F:F,"&lt;"&amp;Conciliacao!BH378+1,df_extratos!G:G,"CREDITO")</f>
        <v/>
      </c>
      <c r="I378" s="9">
        <f>H378-SUM(B378:G378)</f>
        <v/>
      </c>
      <c r="J378" s="4">
        <f>SUMIFS(df_blueme_sem_parcelamento!E:E,df_blueme_sem_parcelamento!H:H,Conciliacao!A378)*(-1)</f>
        <v/>
      </c>
      <c r="K378" s="4">
        <f>SUMIFS(df_blueme_com_parcelamento!J:J,df_blueme_com_parcelamento!M:M,Conciliacao!A378)*(-1)</f>
        <v/>
      </c>
      <c r="L378" s="4">
        <f>SUMIFS(df_mutuos!N:N,df_mutuos!B:B,Conciliacao!A378)*(-1)</f>
        <v/>
      </c>
      <c r="M378" s="8">
        <f>SUMIFS(df_bloqueios_judiciais!G:G,df_bloqueios_judiciais!D:D,Conciliacao!A378,df_bloqueios_judiciais!G:G,"&lt;0")</f>
        <v/>
      </c>
      <c r="N378" s="10">
        <f>SUMIFS(df_extratos!I:I,df_extratos!F:F,"&gt;="&amp;Conciliacao!BE378,df_extratos!F:F,"&lt;"&amp;Conciliacao!BE378+1,df_extratos!G:G,"DEBITO")
+SUMIFS(df_extratos!I:I,df_extratos!F:F,"&gt;="&amp;Conciliacao!A378, df_extratos!F:F,"&lt;"&amp;Conciliacao!A378+1, df_extratos!G:G,"DEBITO")
+SUMIFS(df_extratos!I:I,df_extratos!F:F,"&gt;="&amp;Conciliacao!BF378,df_extratos!F:F,"&lt;"&amp;Conciliacao!BF378+1,df_extratos!G:G,"DEBITO")
+SUMIFS(df_extratos!I:I,df_extratos!F:F,"&gt;="&amp;Conciliacao!BG378,df_extratos!F:F,"&lt;"&amp;Conciliacao!BG378+1,df_extratos!G:G,"DEBITO")
+SUMIFS(df_extratos!I:I,df_extratos!F:F,"&gt;="&amp;Conciliacao!BH378,df_extratos!F:F,"&lt;"&amp;Conciliacao!BH378+1,df_extratos!G:G,"DEBITO")</f>
        <v/>
      </c>
      <c r="O378" s="11">
        <f>N378-SUM(J378:M378)</f>
        <v/>
      </c>
      <c r="P378" s="25">
        <f>SUMIFS(df_ajustes_conciliaco!D:D,df_ajustes_conciliaco!C:C,Conciliacao!A378)</f>
        <v/>
      </c>
      <c r="Q378" s="22">
        <f>O378+I378-P378</f>
        <v/>
      </c>
    </row>
    <row r="379">
      <c r="A379" s="5">
        <f>A378+1</f>
        <v/>
      </c>
      <c r="B379" s="3">
        <f>-SUMIFS(df_extrato_zig!G:G,df_extrato_zig!E:E,Conciliacao!A379,df_extrato_zig!D:D,"Saque")-SUMIFS(df_extrato_zig!G:G,df_extrato_zig!E:E,Conciliacao!A379,df_extrato_zig!D:D,"Antecipação")</f>
        <v/>
      </c>
      <c r="C379" s="3">
        <f>SUMIFS(df_extrato_zig!E:E,df_extrato_zig!L:L,Conciliacao!A379,df_extrato_zig!F:F,"DINHEIRO")</f>
        <v/>
      </c>
      <c r="D379" s="3">
        <f>SUMIFS(view_parc_agrup!H:H,view_parc_agrup!G:G,Conciliacao!A379)</f>
        <v/>
      </c>
      <c r="E379" s="3">
        <f>SUMIFS(df_eventos!F:F,df_eventos!H:H,Conciliacao!A379)</f>
        <v/>
      </c>
      <c r="F379" s="3">
        <f>SUMIFS(df_mutuos!M:M,df_mutuos!B:B,Conciliacao!A379)</f>
        <v/>
      </c>
      <c r="G379" s="6">
        <f>SUMIFS(df_bloqueios_judiciais!G:G,df_bloqueios_judiciais!D:D,Conciliacao!A379,df_bloqueios_judiciais!G:G,"&gt;0")</f>
        <v/>
      </c>
      <c r="H379" s="7">
        <f>SUMIFS(df_extratos!I:I,df_extratos!F:F,"&gt;="&amp;Conciliacao!BE379,df_extratos!F:F,"&lt;"&amp;Conciliacao!BE379+1,df_extratos!G:G,"CREDITO")
+SUMIFS(df_extratos!I:I,df_extratos!F:F,"&gt;="&amp;Conciliacao!A379, df_extratos!F:F,"&lt;"&amp;Conciliacao!A379+1, df_extratos!G:G,"CREDITO")
+SUMIFS(df_extratos!I:I,df_extratos!F:F,"&gt;="&amp;Conciliacao!BF379,df_extratos!F:F,"&lt;"&amp;Conciliacao!BF379+1,df_extratos!G:G,"CREDITO")
+SUMIFS(df_extratos!I:I,df_extratos!F:F,"&gt;="&amp;Conciliacao!BG379,df_extratos!F:F,"&lt;"&amp;Conciliacao!BG379+1,df_extratos!G:G,"CREDITO")
+SUMIFS(df_extratos!I:I,df_extratos!F:F,"&gt;="&amp;Conciliacao!BH379,df_extratos!F:F,"&lt;"&amp;Conciliacao!BH379+1,df_extratos!G:G,"CREDITO")</f>
        <v/>
      </c>
      <c r="I379" s="9">
        <f>H379-SUM(B379:G379)</f>
        <v/>
      </c>
      <c r="J379" s="4">
        <f>SUMIFS(df_blueme_sem_parcelamento!E:E,df_blueme_sem_parcelamento!H:H,Conciliacao!A379)*(-1)</f>
        <v/>
      </c>
      <c r="K379" s="4">
        <f>SUMIFS(df_blueme_com_parcelamento!J:J,df_blueme_com_parcelamento!M:M,Conciliacao!A379)*(-1)</f>
        <v/>
      </c>
      <c r="L379" s="4">
        <f>SUMIFS(df_mutuos!N:N,df_mutuos!B:B,Conciliacao!A379)*(-1)</f>
        <v/>
      </c>
      <c r="M379" s="8">
        <f>SUMIFS(df_bloqueios_judiciais!G:G,df_bloqueios_judiciais!D:D,Conciliacao!A379,df_bloqueios_judiciais!G:G,"&lt;0")</f>
        <v/>
      </c>
      <c r="N379" s="10">
        <f>SUMIFS(df_extratos!I:I,df_extratos!F:F,"&gt;="&amp;Conciliacao!BE379,df_extratos!F:F,"&lt;"&amp;Conciliacao!BE379+1,df_extratos!G:G,"DEBITO")
+SUMIFS(df_extratos!I:I,df_extratos!F:F,"&gt;="&amp;Conciliacao!A379, df_extratos!F:F,"&lt;"&amp;Conciliacao!A379+1, df_extratos!G:G,"DEBITO")
+SUMIFS(df_extratos!I:I,df_extratos!F:F,"&gt;="&amp;Conciliacao!BF379,df_extratos!F:F,"&lt;"&amp;Conciliacao!BF379+1,df_extratos!G:G,"DEBITO")
+SUMIFS(df_extratos!I:I,df_extratos!F:F,"&gt;="&amp;Conciliacao!BG379,df_extratos!F:F,"&lt;"&amp;Conciliacao!BG379+1,df_extratos!G:G,"DEBITO")
+SUMIFS(df_extratos!I:I,df_extratos!F:F,"&gt;="&amp;Conciliacao!BH379,df_extratos!F:F,"&lt;"&amp;Conciliacao!BH379+1,df_extratos!G:G,"DEBITO")</f>
        <v/>
      </c>
      <c r="O379" s="11">
        <f>N379-SUM(J379:M379)</f>
        <v/>
      </c>
      <c r="P379" s="25">
        <f>SUMIFS(df_ajustes_conciliaco!D:D,df_ajustes_conciliaco!C:C,Conciliacao!A379)</f>
        <v/>
      </c>
      <c r="Q379" s="22">
        <f>O379+I379-P379</f>
        <v/>
      </c>
    </row>
    <row r="380">
      <c r="A380" s="5">
        <f>A379+1</f>
        <v/>
      </c>
      <c r="B380" s="3">
        <f>-SUMIFS(df_extrato_zig!G:G,df_extrato_zig!E:E,Conciliacao!A380,df_extrato_zig!D:D,"Saque")-SUMIFS(df_extrato_zig!G:G,df_extrato_zig!E:E,Conciliacao!A380,df_extrato_zig!D:D,"Antecipação")</f>
        <v/>
      </c>
      <c r="C380" s="3">
        <f>SUMIFS(df_extrato_zig!E:E,df_extrato_zig!L:L,Conciliacao!A380,df_extrato_zig!F:F,"DINHEIRO")</f>
        <v/>
      </c>
      <c r="D380" s="3">
        <f>SUMIFS(view_parc_agrup!H:H,view_parc_agrup!G:G,Conciliacao!A380)</f>
        <v/>
      </c>
      <c r="E380" s="3">
        <f>SUMIFS(df_eventos!F:F,df_eventos!H:H,Conciliacao!A380)</f>
        <v/>
      </c>
      <c r="F380" s="3">
        <f>SUMIFS(df_mutuos!M:M,df_mutuos!B:B,Conciliacao!A380)</f>
        <v/>
      </c>
      <c r="G380" s="6">
        <f>SUMIFS(df_bloqueios_judiciais!G:G,df_bloqueios_judiciais!D:D,Conciliacao!A380,df_bloqueios_judiciais!G:G,"&gt;0")</f>
        <v/>
      </c>
      <c r="H380" s="7">
        <f>SUMIFS(df_extratos!I:I,df_extratos!F:F,"&gt;="&amp;Conciliacao!BE380,df_extratos!F:F,"&lt;"&amp;Conciliacao!BE380+1,df_extratos!G:G,"CREDITO")
+SUMIFS(df_extratos!I:I,df_extratos!F:F,"&gt;="&amp;Conciliacao!A380, df_extratos!F:F,"&lt;"&amp;Conciliacao!A380+1, df_extratos!G:G,"CREDITO")
+SUMIFS(df_extratos!I:I,df_extratos!F:F,"&gt;="&amp;Conciliacao!BF380,df_extratos!F:F,"&lt;"&amp;Conciliacao!BF380+1,df_extratos!G:G,"CREDITO")
+SUMIFS(df_extratos!I:I,df_extratos!F:F,"&gt;="&amp;Conciliacao!BG380,df_extratos!F:F,"&lt;"&amp;Conciliacao!BG380+1,df_extratos!G:G,"CREDITO")
+SUMIFS(df_extratos!I:I,df_extratos!F:F,"&gt;="&amp;Conciliacao!BH380,df_extratos!F:F,"&lt;"&amp;Conciliacao!BH380+1,df_extratos!G:G,"CREDITO")</f>
        <v/>
      </c>
      <c r="I380" s="9">
        <f>H380-SUM(B380:G380)</f>
        <v/>
      </c>
      <c r="J380" s="4">
        <f>SUMIFS(df_blueme_sem_parcelamento!E:E,df_blueme_sem_parcelamento!H:H,Conciliacao!A380)*(-1)</f>
        <v/>
      </c>
      <c r="K380" s="4">
        <f>SUMIFS(df_blueme_com_parcelamento!J:J,df_blueme_com_parcelamento!M:M,Conciliacao!A380)*(-1)</f>
        <v/>
      </c>
      <c r="L380" s="4">
        <f>SUMIFS(df_mutuos!N:N,df_mutuos!B:B,Conciliacao!A380)*(-1)</f>
        <v/>
      </c>
      <c r="M380" s="8">
        <f>SUMIFS(df_bloqueios_judiciais!G:G,df_bloqueios_judiciais!D:D,Conciliacao!A380,df_bloqueios_judiciais!G:G,"&lt;0")</f>
        <v/>
      </c>
      <c r="N380" s="10">
        <f>SUMIFS(df_extratos!I:I,df_extratos!F:F,"&gt;="&amp;Conciliacao!BE380,df_extratos!F:F,"&lt;"&amp;Conciliacao!BE380+1,df_extratos!G:G,"DEBITO")
+SUMIFS(df_extratos!I:I,df_extratos!F:F,"&gt;="&amp;Conciliacao!A380, df_extratos!F:F,"&lt;"&amp;Conciliacao!A380+1, df_extratos!G:G,"DEBITO")
+SUMIFS(df_extratos!I:I,df_extratos!F:F,"&gt;="&amp;Conciliacao!BF380,df_extratos!F:F,"&lt;"&amp;Conciliacao!BF380+1,df_extratos!G:G,"DEBITO")
+SUMIFS(df_extratos!I:I,df_extratos!F:F,"&gt;="&amp;Conciliacao!BG380,df_extratos!F:F,"&lt;"&amp;Conciliacao!BG380+1,df_extratos!G:G,"DEBITO")
+SUMIFS(df_extratos!I:I,df_extratos!F:F,"&gt;="&amp;Conciliacao!BH380,df_extratos!F:F,"&lt;"&amp;Conciliacao!BH380+1,df_extratos!G:G,"DEBITO")</f>
        <v/>
      </c>
      <c r="O380" s="11">
        <f>N380-SUM(J380:M380)</f>
        <v/>
      </c>
      <c r="P380" s="25">
        <f>SUMIFS(df_ajustes_conciliaco!D:D,df_ajustes_conciliaco!C:C,Conciliacao!A380)</f>
        <v/>
      </c>
      <c r="Q380" s="22">
        <f>O380+I380-P380</f>
        <v/>
      </c>
    </row>
    <row r="381">
      <c r="A381" s="5">
        <f>A380+1</f>
        <v/>
      </c>
      <c r="B381" s="3">
        <f>-SUMIFS(df_extrato_zig!G:G,df_extrato_zig!E:E,Conciliacao!A381,df_extrato_zig!D:D,"Saque")-SUMIFS(df_extrato_zig!G:G,df_extrato_zig!E:E,Conciliacao!A381,df_extrato_zig!D:D,"Antecipação")</f>
        <v/>
      </c>
      <c r="C381" s="3">
        <f>SUMIFS(df_extrato_zig!E:E,df_extrato_zig!L:L,Conciliacao!A381,df_extrato_zig!F:F,"DINHEIRO")</f>
        <v/>
      </c>
      <c r="D381" s="3">
        <f>SUMIFS(view_parc_agrup!H:H,view_parc_agrup!G:G,Conciliacao!A381)</f>
        <v/>
      </c>
      <c r="E381" s="3">
        <f>SUMIFS(df_eventos!F:F,df_eventos!H:H,Conciliacao!A381)</f>
        <v/>
      </c>
      <c r="F381" s="3">
        <f>SUMIFS(df_mutuos!M:M,df_mutuos!B:B,Conciliacao!A381)</f>
        <v/>
      </c>
      <c r="G381" s="6">
        <f>SUMIFS(df_bloqueios_judiciais!G:G,df_bloqueios_judiciais!D:D,Conciliacao!A381,df_bloqueios_judiciais!G:G,"&gt;0")</f>
        <v/>
      </c>
      <c r="H381" s="7">
        <f>SUMIFS(df_extratos!I:I,df_extratos!F:F,"&gt;="&amp;Conciliacao!BE381,df_extratos!F:F,"&lt;"&amp;Conciliacao!BE381+1,df_extratos!G:G,"CREDITO")
+SUMIFS(df_extratos!I:I,df_extratos!F:F,"&gt;="&amp;Conciliacao!A381, df_extratos!F:F,"&lt;"&amp;Conciliacao!A381+1, df_extratos!G:G,"CREDITO")
+SUMIFS(df_extratos!I:I,df_extratos!F:F,"&gt;="&amp;Conciliacao!BF381,df_extratos!F:F,"&lt;"&amp;Conciliacao!BF381+1,df_extratos!G:G,"CREDITO")
+SUMIFS(df_extratos!I:I,df_extratos!F:F,"&gt;="&amp;Conciliacao!BG381,df_extratos!F:F,"&lt;"&amp;Conciliacao!BG381+1,df_extratos!G:G,"CREDITO")
+SUMIFS(df_extratos!I:I,df_extratos!F:F,"&gt;="&amp;Conciliacao!BH381,df_extratos!F:F,"&lt;"&amp;Conciliacao!BH381+1,df_extratos!G:G,"CREDITO")</f>
        <v/>
      </c>
      <c r="I381" s="9">
        <f>H381-SUM(B381:G381)</f>
        <v/>
      </c>
      <c r="J381" s="4">
        <f>SUMIFS(df_blueme_sem_parcelamento!E:E,df_blueme_sem_parcelamento!H:H,Conciliacao!A381)*(-1)</f>
        <v/>
      </c>
      <c r="K381" s="4">
        <f>SUMIFS(df_blueme_com_parcelamento!J:J,df_blueme_com_parcelamento!M:M,Conciliacao!A381)*(-1)</f>
        <v/>
      </c>
      <c r="L381" s="4">
        <f>SUMIFS(df_mutuos!N:N,df_mutuos!B:B,Conciliacao!A381)*(-1)</f>
        <v/>
      </c>
      <c r="M381" s="8">
        <f>SUMIFS(df_bloqueios_judiciais!G:G,df_bloqueios_judiciais!D:D,Conciliacao!A381,df_bloqueios_judiciais!G:G,"&lt;0")</f>
        <v/>
      </c>
      <c r="N381" s="10">
        <f>SUMIFS(df_extratos!I:I,df_extratos!F:F,"&gt;="&amp;Conciliacao!BE381,df_extratos!F:F,"&lt;"&amp;Conciliacao!BE381+1,df_extratos!G:G,"DEBITO")
+SUMIFS(df_extratos!I:I,df_extratos!F:F,"&gt;="&amp;Conciliacao!A381, df_extratos!F:F,"&lt;"&amp;Conciliacao!A381+1, df_extratos!G:G,"DEBITO")
+SUMIFS(df_extratos!I:I,df_extratos!F:F,"&gt;="&amp;Conciliacao!BF381,df_extratos!F:F,"&lt;"&amp;Conciliacao!BF381+1,df_extratos!G:G,"DEBITO")
+SUMIFS(df_extratos!I:I,df_extratos!F:F,"&gt;="&amp;Conciliacao!BG381,df_extratos!F:F,"&lt;"&amp;Conciliacao!BG381+1,df_extratos!G:G,"DEBITO")
+SUMIFS(df_extratos!I:I,df_extratos!F:F,"&gt;="&amp;Conciliacao!BH381,df_extratos!F:F,"&lt;"&amp;Conciliacao!BH381+1,df_extratos!G:G,"DEBITO")</f>
        <v/>
      </c>
      <c r="O381" s="11">
        <f>N381-SUM(J381:M381)</f>
        <v/>
      </c>
      <c r="P381" s="25">
        <f>SUMIFS(df_ajustes_conciliaco!D:D,df_ajustes_conciliaco!C:C,Conciliacao!A381)</f>
        <v/>
      </c>
      <c r="Q381" s="22">
        <f>O381+I381-P381</f>
        <v/>
      </c>
    </row>
    <row r="382">
      <c r="A382" s="5">
        <f>A381+1</f>
        <v/>
      </c>
      <c r="B382" s="3">
        <f>-SUMIFS(df_extrato_zig!G:G,df_extrato_zig!E:E,Conciliacao!A382,df_extrato_zig!D:D,"Saque")-SUMIFS(df_extrato_zig!G:G,df_extrato_zig!E:E,Conciliacao!A382,df_extrato_zig!D:D,"Antecipação")</f>
        <v/>
      </c>
      <c r="C382" s="3">
        <f>SUMIFS(df_extrato_zig!E:E,df_extrato_zig!L:L,Conciliacao!A382,df_extrato_zig!F:F,"DINHEIRO")</f>
        <v/>
      </c>
      <c r="D382" s="3">
        <f>SUMIFS(view_parc_agrup!H:H,view_parc_agrup!G:G,Conciliacao!A382)</f>
        <v/>
      </c>
      <c r="E382" s="3">
        <f>SUMIFS(df_eventos!F:F,df_eventos!H:H,Conciliacao!A382)</f>
        <v/>
      </c>
      <c r="F382" s="3">
        <f>SUMIFS(df_mutuos!M:M,df_mutuos!B:B,Conciliacao!A382)</f>
        <v/>
      </c>
      <c r="G382" s="6">
        <f>SUMIFS(df_bloqueios_judiciais!G:G,df_bloqueios_judiciais!D:D,Conciliacao!A382,df_bloqueios_judiciais!G:G,"&gt;0")</f>
        <v/>
      </c>
      <c r="H382" s="7">
        <f>SUMIFS(df_extratos!I:I,df_extratos!F:F,"&gt;="&amp;Conciliacao!BE382,df_extratos!F:F,"&lt;"&amp;Conciliacao!BE382+1,df_extratos!G:G,"CREDITO")
+SUMIFS(df_extratos!I:I,df_extratos!F:F,"&gt;="&amp;Conciliacao!A382, df_extratos!F:F,"&lt;"&amp;Conciliacao!A382+1, df_extratos!G:G,"CREDITO")
+SUMIFS(df_extratos!I:I,df_extratos!F:F,"&gt;="&amp;Conciliacao!BF382,df_extratos!F:F,"&lt;"&amp;Conciliacao!BF382+1,df_extratos!G:G,"CREDITO")
+SUMIFS(df_extratos!I:I,df_extratos!F:F,"&gt;="&amp;Conciliacao!BG382,df_extratos!F:F,"&lt;"&amp;Conciliacao!BG382+1,df_extratos!G:G,"CREDITO")
+SUMIFS(df_extratos!I:I,df_extratos!F:F,"&gt;="&amp;Conciliacao!BH382,df_extratos!F:F,"&lt;"&amp;Conciliacao!BH382+1,df_extratos!G:G,"CREDITO")</f>
        <v/>
      </c>
      <c r="I382" s="9">
        <f>H382-SUM(B382:G382)</f>
        <v/>
      </c>
      <c r="J382" s="4">
        <f>SUMIFS(df_blueme_sem_parcelamento!E:E,df_blueme_sem_parcelamento!H:H,Conciliacao!A382)*(-1)</f>
        <v/>
      </c>
      <c r="K382" s="4">
        <f>SUMIFS(df_blueme_com_parcelamento!J:J,df_blueme_com_parcelamento!M:M,Conciliacao!A382)*(-1)</f>
        <v/>
      </c>
      <c r="L382" s="4">
        <f>SUMIFS(df_mutuos!N:N,df_mutuos!B:B,Conciliacao!A382)*(-1)</f>
        <v/>
      </c>
      <c r="M382" s="8">
        <f>SUMIFS(df_bloqueios_judiciais!G:G,df_bloqueios_judiciais!D:D,Conciliacao!A382,df_bloqueios_judiciais!G:G,"&lt;0")</f>
        <v/>
      </c>
      <c r="N382" s="10">
        <f>SUMIFS(df_extratos!I:I,df_extratos!F:F,"&gt;="&amp;Conciliacao!BE382,df_extratos!F:F,"&lt;"&amp;Conciliacao!BE382+1,df_extratos!G:G,"DEBITO")
+SUMIFS(df_extratos!I:I,df_extratos!F:F,"&gt;="&amp;Conciliacao!A382, df_extratos!F:F,"&lt;"&amp;Conciliacao!A382+1, df_extratos!G:G,"DEBITO")
+SUMIFS(df_extratos!I:I,df_extratos!F:F,"&gt;="&amp;Conciliacao!BF382,df_extratos!F:F,"&lt;"&amp;Conciliacao!BF382+1,df_extratos!G:G,"DEBITO")
+SUMIFS(df_extratos!I:I,df_extratos!F:F,"&gt;="&amp;Conciliacao!BG382,df_extratos!F:F,"&lt;"&amp;Conciliacao!BG382+1,df_extratos!G:G,"DEBITO")
+SUMIFS(df_extratos!I:I,df_extratos!F:F,"&gt;="&amp;Conciliacao!BH382,df_extratos!F:F,"&lt;"&amp;Conciliacao!BH382+1,df_extratos!G:G,"DEBITO")</f>
        <v/>
      </c>
      <c r="O382" s="11">
        <f>N382-SUM(J382:M382)</f>
        <v/>
      </c>
      <c r="P382" s="25">
        <f>SUMIFS(df_ajustes_conciliaco!D:D,df_ajustes_conciliaco!C:C,Conciliacao!A382)</f>
        <v/>
      </c>
      <c r="Q382" s="22">
        <f>O382+I382-P382</f>
        <v/>
      </c>
    </row>
    <row r="383">
      <c r="A383" s="5">
        <f>A382+1</f>
        <v/>
      </c>
      <c r="B383" s="3">
        <f>-SUMIFS(df_extrato_zig!G:G,df_extrato_zig!E:E,Conciliacao!A383,df_extrato_zig!D:D,"Saque")-SUMIFS(df_extrato_zig!G:G,df_extrato_zig!E:E,Conciliacao!A383,df_extrato_zig!D:D,"Antecipação")</f>
        <v/>
      </c>
      <c r="C383" s="3">
        <f>SUMIFS(df_extrato_zig!E:E,df_extrato_zig!L:L,Conciliacao!A383,df_extrato_zig!F:F,"DINHEIRO")</f>
        <v/>
      </c>
      <c r="D383" s="3">
        <f>SUMIFS(view_parc_agrup!H:H,view_parc_agrup!G:G,Conciliacao!A383)</f>
        <v/>
      </c>
      <c r="E383" s="3">
        <f>SUMIFS(df_eventos!F:F,df_eventos!H:H,Conciliacao!A383)</f>
        <v/>
      </c>
      <c r="F383" s="3">
        <f>SUMIFS(df_mutuos!M:M,df_mutuos!B:B,Conciliacao!A383)</f>
        <v/>
      </c>
      <c r="G383" s="6">
        <f>SUMIFS(df_bloqueios_judiciais!G:G,df_bloqueios_judiciais!D:D,Conciliacao!A383,df_bloqueios_judiciais!G:G,"&gt;0")</f>
        <v/>
      </c>
      <c r="H383" s="7">
        <f>SUMIFS(df_extratos!I:I,df_extratos!F:F,"&gt;="&amp;Conciliacao!BE383,df_extratos!F:F,"&lt;"&amp;Conciliacao!BE383+1,df_extratos!G:G,"CREDITO")
+SUMIFS(df_extratos!I:I,df_extratos!F:F,"&gt;="&amp;Conciliacao!A383, df_extratos!F:F,"&lt;"&amp;Conciliacao!A383+1, df_extratos!G:G,"CREDITO")
+SUMIFS(df_extratos!I:I,df_extratos!F:F,"&gt;="&amp;Conciliacao!BF383,df_extratos!F:F,"&lt;"&amp;Conciliacao!BF383+1,df_extratos!G:G,"CREDITO")
+SUMIFS(df_extratos!I:I,df_extratos!F:F,"&gt;="&amp;Conciliacao!BG383,df_extratos!F:F,"&lt;"&amp;Conciliacao!BG383+1,df_extratos!G:G,"CREDITO")
+SUMIFS(df_extratos!I:I,df_extratos!F:F,"&gt;="&amp;Conciliacao!BH383,df_extratos!F:F,"&lt;"&amp;Conciliacao!BH383+1,df_extratos!G:G,"CREDITO")</f>
        <v/>
      </c>
      <c r="I383" s="9">
        <f>H383-SUM(B383:G383)</f>
        <v/>
      </c>
      <c r="J383" s="4">
        <f>SUMIFS(df_blueme_sem_parcelamento!E:E,df_blueme_sem_parcelamento!H:H,Conciliacao!A383)*(-1)</f>
        <v/>
      </c>
      <c r="K383" s="4">
        <f>SUMIFS(df_blueme_com_parcelamento!J:J,df_blueme_com_parcelamento!M:M,Conciliacao!A383)*(-1)</f>
        <v/>
      </c>
      <c r="L383" s="4">
        <f>SUMIFS(df_mutuos!N:N,df_mutuos!B:B,Conciliacao!A383)*(-1)</f>
        <v/>
      </c>
      <c r="M383" s="8">
        <f>SUMIFS(df_bloqueios_judiciais!G:G,df_bloqueios_judiciais!D:D,Conciliacao!A383,df_bloqueios_judiciais!G:G,"&lt;0")</f>
        <v/>
      </c>
      <c r="N383" s="10">
        <f>SUMIFS(df_extratos!I:I,df_extratos!F:F,"&gt;="&amp;Conciliacao!BE383,df_extratos!F:F,"&lt;"&amp;Conciliacao!BE383+1,df_extratos!G:G,"DEBITO")
+SUMIFS(df_extratos!I:I,df_extratos!F:F,"&gt;="&amp;Conciliacao!A383, df_extratos!F:F,"&lt;"&amp;Conciliacao!A383+1, df_extratos!G:G,"DEBITO")
+SUMIFS(df_extratos!I:I,df_extratos!F:F,"&gt;="&amp;Conciliacao!BF383,df_extratos!F:F,"&lt;"&amp;Conciliacao!BF383+1,df_extratos!G:G,"DEBITO")
+SUMIFS(df_extratos!I:I,df_extratos!F:F,"&gt;="&amp;Conciliacao!BG383,df_extratos!F:F,"&lt;"&amp;Conciliacao!BG383+1,df_extratos!G:G,"DEBITO")
+SUMIFS(df_extratos!I:I,df_extratos!F:F,"&gt;="&amp;Conciliacao!BH383,df_extratos!F:F,"&lt;"&amp;Conciliacao!BH383+1,df_extratos!G:G,"DEBITO")</f>
        <v/>
      </c>
      <c r="O383" s="11">
        <f>N383-SUM(J383:M383)</f>
        <v/>
      </c>
      <c r="P383" s="25">
        <f>SUMIFS(df_ajustes_conciliaco!D:D,df_ajustes_conciliaco!C:C,Conciliacao!A383)</f>
        <v/>
      </c>
      <c r="Q383" s="22">
        <f>O383+I383-P383</f>
        <v/>
      </c>
    </row>
    <row r="384">
      <c r="A384" s="5">
        <f>A383+1</f>
        <v/>
      </c>
      <c r="B384" s="3">
        <f>-SUMIFS(df_extrato_zig!G:G,df_extrato_zig!E:E,Conciliacao!A384,df_extrato_zig!D:D,"Saque")-SUMIFS(df_extrato_zig!G:G,df_extrato_zig!E:E,Conciliacao!A384,df_extrato_zig!D:D,"Antecipação")</f>
        <v/>
      </c>
      <c r="C384" s="3">
        <f>SUMIFS(df_extrato_zig!E:E,df_extrato_zig!L:L,Conciliacao!A384,df_extrato_zig!F:F,"DINHEIRO")</f>
        <v/>
      </c>
      <c r="D384" s="3">
        <f>SUMIFS(view_parc_agrup!H:H,view_parc_agrup!G:G,Conciliacao!A384)</f>
        <v/>
      </c>
      <c r="E384" s="3">
        <f>SUMIFS(df_eventos!F:F,df_eventos!H:H,Conciliacao!A384)</f>
        <v/>
      </c>
      <c r="F384" s="3">
        <f>SUMIFS(df_mutuos!M:M,df_mutuos!B:B,Conciliacao!A384)</f>
        <v/>
      </c>
      <c r="G384" s="6">
        <f>SUMIFS(df_bloqueios_judiciais!G:G,df_bloqueios_judiciais!D:D,Conciliacao!A384,df_bloqueios_judiciais!G:G,"&gt;0")</f>
        <v/>
      </c>
      <c r="H384" s="7">
        <f>SUMIFS(df_extratos!I:I,df_extratos!F:F,"&gt;="&amp;Conciliacao!BE384,df_extratos!F:F,"&lt;"&amp;Conciliacao!BE384+1,df_extratos!G:G,"CREDITO")
+SUMIFS(df_extratos!I:I,df_extratos!F:F,"&gt;="&amp;Conciliacao!A384, df_extratos!F:F,"&lt;"&amp;Conciliacao!A384+1, df_extratos!G:G,"CREDITO")
+SUMIFS(df_extratos!I:I,df_extratos!F:F,"&gt;="&amp;Conciliacao!BF384,df_extratos!F:F,"&lt;"&amp;Conciliacao!BF384+1,df_extratos!G:G,"CREDITO")
+SUMIFS(df_extratos!I:I,df_extratos!F:F,"&gt;="&amp;Conciliacao!BG384,df_extratos!F:F,"&lt;"&amp;Conciliacao!BG384+1,df_extratos!G:G,"CREDITO")
+SUMIFS(df_extratos!I:I,df_extratos!F:F,"&gt;="&amp;Conciliacao!BH384,df_extratos!F:F,"&lt;"&amp;Conciliacao!BH384+1,df_extratos!G:G,"CREDITO")</f>
        <v/>
      </c>
      <c r="I384" s="9">
        <f>H384-SUM(B384:G384)</f>
        <v/>
      </c>
      <c r="J384" s="4">
        <f>SUMIFS(df_blueme_sem_parcelamento!E:E,df_blueme_sem_parcelamento!H:H,Conciliacao!A384)*(-1)</f>
        <v/>
      </c>
      <c r="K384" s="4">
        <f>SUMIFS(df_blueme_com_parcelamento!J:J,df_blueme_com_parcelamento!M:M,Conciliacao!A384)*(-1)</f>
        <v/>
      </c>
      <c r="L384" s="4">
        <f>SUMIFS(df_mutuos!N:N,df_mutuos!B:B,Conciliacao!A384)*(-1)</f>
        <v/>
      </c>
      <c r="M384" s="8">
        <f>SUMIFS(df_bloqueios_judiciais!G:G,df_bloqueios_judiciais!D:D,Conciliacao!A384,df_bloqueios_judiciais!G:G,"&lt;0")</f>
        <v/>
      </c>
      <c r="N384" s="10">
        <f>SUMIFS(df_extratos!I:I,df_extratos!F:F,"&gt;="&amp;Conciliacao!BE384,df_extratos!F:F,"&lt;"&amp;Conciliacao!BE384+1,df_extratos!G:G,"DEBITO")
+SUMIFS(df_extratos!I:I,df_extratos!F:F,"&gt;="&amp;Conciliacao!A384, df_extratos!F:F,"&lt;"&amp;Conciliacao!A384+1, df_extratos!G:G,"DEBITO")
+SUMIFS(df_extratos!I:I,df_extratos!F:F,"&gt;="&amp;Conciliacao!BF384,df_extratos!F:F,"&lt;"&amp;Conciliacao!BF384+1,df_extratos!G:G,"DEBITO")
+SUMIFS(df_extratos!I:I,df_extratos!F:F,"&gt;="&amp;Conciliacao!BG384,df_extratos!F:F,"&lt;"&amp;Conciliacao!BG384+1,df_extratos!G:G,"DEBITO")
+SUMIFS(df_extratos!I:I,df_extratos!F:F,"&gt;="&amp;Conciliacao!BH384,df_extratos!F:F,"&lt;"&amp;Conciliacao!BH384+1,df_extratos!G:G,"DEBITO")</f>
        <v/>
      </c>
      <c r="O384" s="11">
        <f>N384-SUM(J384:M384)</f>
        <v/>
      </c>
      <c r="P384" s="25">
        <f>SUMIFS(df_ajustes_conciliaco!D:D,df_ajustes_conciliaco!C:C,Conciliacao!A384)</f>
        <v/>
      </c>
      <c r="Q384" s="22">
        <f>O384+I384-P384</f>
        <v/>
      </c>
    </row>
    <row r="385">
      <c r="A385" s="5">
        <f>A384+1</f>
        <v/>
      </c>
      <c r="B385" s="3">
        <f>-SUMIFS(df_extrato_zig!G:G,df_extrato_zig!E:E,Conciliacao!A385,df_extrato_zig!D:D,"Saque")-SUMIFS(df_extrato_zig!G:G,df_extrato_zig!E:E,Conciliacao!A385,df_extrato_zig!D:D,"Antecipação")</f>
        <v/>
      </c>
      <c r="C385" s="3">
        <f>SUMIFS(df_extrato_zig!E:E,df_extrato_zig!L:L,Conciliacao!A385,df_extrato_zig!F:F,"DINHEIRO")</f>
        <v/>
      </c>
      <c r="D385" s="3">
        <f>SUMIFS(view_parc_agrup!H:H,view_parc_agrup!G:G,Conciliacao!A385)</f>
        <v/>
      </c>
      <c r="E385" s="3">
        <f>SUMIFS(df_eventos!F:F,df_eventos!H:H,Conciliacao!A385)</f>
        <v/>
      </c>
      <c r="F385" s="3">
        <f>SUMIFS(df_mutuos!M:M,df_mutuos!B:B,Conciliacao!A385)</f>
        <v/>
      </c>
      <c r="G385" s="6">
        <f>SUMIFS(df_bloqueios_judiciais!G:G,df_bloqueios_judiciais!D:D,Conciliacao!A385,df_bloqueios_judiciais!G:G,"&gt;0")</f>
        <v/>
      </c>
      <c r="H385" s="7">
        <f>SUMIFS(df_extratos!I:I,df_extratos!F:F,"&gt;="&amp;Conciliacao!BE385,df_extratos!F:F,"&lt;"&amp;Conciliacao!BE385+1,df_extratos!G:G,"CREDITO")
+SUMIFS(df_extratos!I:I,df_extratos!F:F,"&gt;="&amp;Conciliacao!A385, df_extratos!F:F,"&lt;"&amp;Conciliacao!A385+1, df_extratos!G:G,"CREDITO")
+SUMIFS(df_extratos!I:I,df_extratos!F:F,"&gt;="&amp;Conciliacao!BF385,df_extratos!F:F,"&lt;"&amp;Conciliacao!BF385+1,df_extratos!G:G,"CREDITO")
+SUMIFS(df_extratos!I:I,df_extratos!F:F,"&gt;="&amp;Conciliacao!BG385,df_extratos!F:F,"&lt;"&amp;Conciliacao!BG385+1,df_extratos!G:G,"CREDITO")
+SUMIFS(df_extratos!I:I,df_extratos!F:F,"&gt;="&amp;Conciliacao!BH385,df_extratos!F:F,"&lt;"&amp;Conciliacao!BH385+1,df_extratos!G:G,"CREDITO")</f>
        <v/>
      </c>
      <c r="I385" s="9">
        <f>H385-SUM(B385:G385)</f>
        <v/>
      </c>
      <c r="J385" s="4">
        <f>SUMIFS(df_blueme_sem_parcelamento!E:E,df_blueme_sem_parcelamento!H:H,Conciliacao!A385)*(-1)</f>
        <v/>
      </c>
      <c r="K385" s="4">
        <f>SUMIFS(df_blueme_com_parcelamento!J:J,df_blueme_com_parcelamento!M:M,Conciliacao!A385)*(-1)</f>
        <v/>
      </c>
      <c r="L385" s="4">
        <f>SUMIFS(df_mutuos!N:N,df_mutuos!B:B,Conciliacao!A385)*(-1)</f>
        <v/>
      </c>
      <c r="M385" s="8">
        <f>SUMIFS(df_bloqueios_judiciais!G:G,df_bloqueios_judiciais!D:D,Conciliacao!A385,df_bloqueios_judiciais!G:G,"&lt;0")</f>
        <v/>
      </c>
      <c r="N385" s="10">
        <f>SUMIFS(df_extratos!I:I,df_extratos!F:F,"&gt;="&amp;Conciliacao!BE385,df_extratos!F:F,"&lt;"&amp;Conciliacao!BE385+1,df_extratos!G:G,"DEBITO")
+SUMIFS(df_extratos!I:I,df_extratos!F:F,"&gt;="&amp;Conciliacao!A385, df_extratos!F:F,"&lt;"&amp;Conciliacao!A385+1, df_extratos!G:G,"DEBITO")
+SUMIFS(df_extratos!I:I,df_extratos!F:F,"&gt;="&amp;Conciliacao!BF385,df_extratos!F:F,"&lt;"&amp;Conciliacao!BF385+1,df_extratos!G:G,"DEBITO")
+SUMIFS(df_extratos!I:I,df_extratos!F:F,"&gt;="&amp;Conciliacao!BG385,df_extratos!F:F,"&lt;"&amp;Conciliacao!BG385+1,df_extratos!G:G,"DEBITO")
+SUMIFS(df_extratos!I:I,df_extratos!F:F,"&gt;="&amp;Conciliacao!BH385,df_extratos!F:F,"&lt;"&amp;Conciliacao!BH385+1,df_extratos!G:G,"DEBITO")</f>
        <v/>
      </c>
      <c r="O385" s="11">
        <f>N385-SUM(J385:M385)</f>
        <v/>
      </c>
      <c r="P385" s="25">
        <f>SUMIFS(df_ajustes_conciliaco!D:D,df_ajustes_conciliaco!C:C,Conciliacao!A385)</f>
        <v/>
      </c>
      <c r="Q385" s="22">
        <f>O385+I385-P385</f>
        <v/>
      </c>
    </row>
    <row r="386">
      <c r="A386" s="5">
        <f>A385+1</f>
        <v/>
      </c>
      <c r="B386" s="3">
        <f>-SUMIFS(df_extrato_zig!G:G,df_extrato_zig!E:E,Conciliacao!A386,df_extrato_zig!D:D,"Saque")-SUMIFS(df_extrato_zig!G:G,df_extrato_zig!E:E,Conciliacao!A386,df_extrato_zig!D:D,"Antecipação")</f>
        <v/>
      </c>
      <c r="C386" s="3">
        <f>SUMIFS(df_extrato_zig!E:E,df_extrato_zig!L:L,Conciliacao!A386,df_extrato_zig!F:F,"DINHEIRO")</f>
        <v/>
      </c>
      <c r="D386" s="3">
        <f>SUMIFS(view_parc_agrup!H:H,view_parc_agrup!G:G,Conciliacao!A386)</f>
        <v/>
      </c>
      <c r="E386" s="3">
        <f>SUMIFS(df_eventos!F:F,df_eventos!H:H,Conciliacao!A386)</f>
        <v/>
      </c>
      <c r="F386" s="3">
        <f>SUMIFS(df_mutuos!M:M,df_mutuos!B:B,Conciliacao!A386)</f>
        <v/>
      </c>
      <c r="G386" s="6">
        <f>SUMIFS(df_bloqueios_judiciais!G:G,df_bloqueios_judiciais!D:D,Conciliacao!A386,df_bloqueios_judiciais!G:G,"&gt;0")</f>
        <v/>
      </c>
      <c r="H386" s="7">
        <f>SUMIFS(df_extratos!I:I,df_extratos!F:F,"&gt;="&amp;Conciliacao!BE386,df_extratos!F:F,"&lt;"&amp;Conciliacao!BE386+1,df_extratos!G:G,"CREDITO")
+SUMIFS(df_extratos!I:I,df_extratos!F:F,"&gt;="&amp;Conciliacao!A386, df_extratos!F:F,"&lt;"&amp;Conciliacao!A386+1, df_extratos!G:G,"CREDITO")
+SUMIFS(df_extratos!I:I,df_extratos!F:F,"&gt;="&amp;Conciliacao!BF386,df_extratos!F:F,"&lt;"&amp;Conciliacao!BF386+1,df_extratos!G:G,"CREDITO")
+SUMIFS(df_extratos!I:I,df_extratos!F:F,"&gt;="&amp;Conciliacao!BG386,df_extratos!F:F,"&lt;"&amp;Conciliacao!BG386+1,df_extratos!G:G,"CREDITO")
+SUMIFS(df_extratos!I:I,df_extratos!F:F,"&gt;="&amp;Conciliacao!BH386,df_extratos!F:F,"&lt;"&amp;Conciliacao!BH386+1,df_extratos!G:G,"CREDITO")</f>
        <v/>
      </c>
      <c r="I386" s="9">
        <f>H386-SUM(B386:G386)</f>
        <v/>
      </c>
      <c r="J386" s="4">
        <f>SUMIFS(df_blueme_sem_parcelamento!E:E,df_blueme_sem_parcelamento!H:H,Conciliacao!A386)*(-1)</f>
        <v/>
      </c>
      <c r="K386" s="4">
        <f>SUMIFS(df_blueme_com_parcelamento!J:J,df_blueme_com_parcelamento!M:M,Conciliacao!A386)*(-1)</f>
        <v/>
      </c>
      <c r="L386" s="4">
        <f>SUMIFS(df_mutuos!N:N,df_mutuos!B:B,Conciliacao!A386)*(-1)</f>
        <v/>
      </c>
      <c r="M386" s="8">
        <f>SUMIFS(df_bloqueios_judiciais!G:G,df_bloqueios_judiciais!D:D,Conciliacao!A386,df_bloqueios_judiciais!G:G,"&lt;0")</f>
        <v/>
      </c>
      <c r="N386" s="10">
        <f>SUMIFS(df_extratos!I:I,df_extratos!F:F,"&gt;="&amp;Conciliacao!BE386,df_extratos!F:F,"&lt;"&amp;Conciliacao!BE386+1,df_extratos!G:G,"DEBITO")
+SUMIFS(df_extratos!I:I,df_extratos!F:F,"&gt;="&amp;Conciliacao!A386, df_extratos!F:F,"&lt;"&amp;Conciliacao!A386+1, df_extratos!G:G,"DEBITO")
+SUMIFS(df_extratos!I:I,df_extratos!F:F,"&gt;="&amp;Conciliacao!BF386,df_extratos!F:F,"&lt;"&amp;Conciliacao!BF386+1,df_extratos!G:G,"DEBITO")
+SUMIFS(df_extratos!I:I,df_extratos!F:F,"&gt;="&amp;Conciliacao!BG386,df_extratos!F:F,"&lt;"&amp;Conciliacao!BG386+1,df_extratos!G:G,"DEBITO")
+SUMIFS(df_extratos!I:I,df_extratos!F:F,"&gt;="&amp;Conciliacao!BH386,df_extratos!F:F,"&lt;"&amp;Conciliacao!BH386+1,df_extratos!G:G,"DEBITO")</f>
        <v/>
      </c>
      <c r="O386" s="11">
        <f>N386-SUM(J386:M386)</f>
        <v/>
      </c>
      <c r="P386" s="25">
        <f>SUMIFS(df_ajustes_conciliaco!D:D,df_ajustes_conciliaco!C:C,Conciliacao!A386)</f>
        <v/>
      </c>
      <c r="Q386" s="22">
        <f>O386+I386-P386</f>
        <v/>
      </c>
    </row>
    <row r="387">
      <c r="A387" s="5">
        <f>A386+1</f>
        <v/>
      </c>
      <c r="B387" s="3">
        <f>-SUMIFS(df_extrato_zig!G:G,df_extrato_zig!E:E,Conciliacao!A387,df_extrato_zig!D:D,"Saque")-SUMIFS(df_extrato_zig!G:G,df_extrato_zig!E:E,Conciliacao!A387,df_extrato_zig!D:D,"Antecipação")</f>
        <v/>
      </c>
      <c r="C387" s="3">
        <f>SUMIFS(df_extrato_zig!E:E,df_extrato_zig!L:L,Conciliacao!A387,df_extrato_zig!F:F,"DINHEIRO")</f>
        <v/>
      </c>
      <c r="D387" s="3">
        <f>SUMIFS(view_parc_agrup!H:H,view_parc_agrup!G:G,Conciliacao!A387)</f>
        <v/>
      </c>
      <c r="E387" s="3">
        <f>SUMIFS(df_eventos!F:F,df_eventos!H:H,Conciliacao!A387)</f>
        <v/>
      </c>
      <c r="F387" s="3">
        <f>SUMIFS(df_mutuos!M:M,df_mutuos!B:B,Conciliacao!A387)</f>
        <v/>
      </c>
      <c r="G387" s="6">
        <f>SUMIFS(df_bloqueios_judiciais!G:G,df_bloqueios_judiciais!D:D,Conciliacao!A387,df_bloqueios_judiciais!G:G,"&gt;0")</f>
        <v/>
      </c>
      <c r="H387" s="7">
        <f>SUMIFS(df_extratos!I:I,df_extratos!F:F,"&gt;="&amp;Conciliacao!BE387,df_extratos!F:F,"&lt;"&amp;Conciliacao!BE387+1,df_extratos!G:G,"CREDITO")
+SUMIFS(df_extratos!I:I,df_extratos!F:F,"&gt;="&amp;Conciliacao!A387, df_extratos!F:F,"&lt;"&amp;Conciliacao!A387+1, df_extratos!G:G,"CREDITO")
+SUMIFS(df_extratos!I:I,df_extratos!F:F,"&gt;="&amp;Conciliacao!BF387,df_extratos!F:F,"&lt;"&amp;Conciliacao!BF387+1,df_extratos!G:G,"CREDITO")
+SUMIFS(df_extratos!I:I,df_extratos!F:F,"&gt;="&amp;Conciliacao!BG387,df_extratos!F:F,"&lt;"&amp;Conciliacao!BG387+1,df_extratos!G:G,"CREDITO")
+SUMIFS(df_extratos!I:I,df_extratos!F:F,"&gt;="&amp;Conciliacao!BH387,df_extratos!F:F,"&lt;"&amp;Conciliacao!BH387+1,df_extratos!G:G,"CREDITO")</f>
        <v/>
      </c>
      <c r="I387" s="9">
        <f>H387-SUM(B387:G387)</f>
        <v/>
      </c>
      <c r="J387" s="4">
        <f>SUMIFS(df_blueme_sem_parcelamento!E:E,df_blueme_sem_parcelamento!H:H,Conciliacao!A387)*(-1)</f>
        <v/>
      </c>
      <c r="K387" s="4">
        <f>SUMIFS(df_blueme_com_parcelamento!J:J,df_blueme_com_parcelamento!M:M,Conciliacao!A387)*(-1)</f>
        <v/>
      </c>
      <c r="L387" s="4">
        <f>SUMIFS(df_mutuos!N:N,df_mutuos!B:B,Conciliacao!A387)*(-1)</f>
        <v/>
      </c>
      <c r="M387" s="8">
        <f>SUMIFS(df_bloqueios_judiciais!G:G,df_bloqueios_judiciais!D:D,Conciliacao!A387,df_bloqueios_judiciais!G:G,"&lt;0")</f>
        <v/>
      </c>
      <c r="N387" s="10">
        <f>SUMIFS(df_extratos!I:I,df_extratos!F:F,"&gt;="&amp;Conciliacao!BE387,df_extratos!F:F,"&lt;"&amp;Conciliacao!BE387+1,df_extratos!G:G,"DEBITO")
+SUMIFS(df_extratos!I:I,df_extratos!F:F,"&gt;="&amp;Conciliacao!A387, df_extratos!F:F,"&lt;"&amp;Conciliacao!A387+1, df_extratos!G:G,"DEBITO")
+SUMIFS(df_extratos!I:I,df_extratos!F:F,"&gt;="&amp;Conciliacao!BF387,df_extratos!F:F,"&lt;"&amp;Conciliacao!BF387+1,df_extratos!G:G,"DEBITO")
+SUMIFS(df_extratos!I:I,df_extratos!F:F,"&gt;="&amp;Conciliacao!BG387,df_extratos!F:F,"&lt;"&amp;Conciliacao!BG387+1,df_extratos!G:G,"DEBITO")
+SUMIFS(df_extratos!I:I,df_extratos!F:F,"&gt;="&amp;Conciliacao!BH387,df_extratos!F:F,"&lt;"&amp;Conciliacao!BH387+1,df_extratos!G:G,"DEBITO")</f>
        <v/>
      </c>
      <c r="O387" s="11">
        <f>N387-SUM(J387:M387)</f>
        <v/>
      </c>
      <c r="P387" s="25">
        <f>SUMIFS(df_ajustes_conciliaco!D:D,df_ajustes_conciliaco!C:C,Conciliacao!A387)</f>
        <v/>
      </c>
      <c r="Q387" s="22">
        <f>O387+I387-P387</f>
        <v/>
      </c>
    </row>
    <row r="388">
      <c r="A388" s="5">
        <f>A387+1</f>
        <v/>
      </c>
      <c r="B388" s="3">
        <f>-SUMIFS(df_extrato_zig!G:G,df_extrato_zig!E:E,Conciliacao!A388,df_extrato_zig!D:D,"Saque")-SUMIFS(df_extrato_zig!G:G,df_extrato_zig!E:E,Conciliacao!A388,df_extrato_zig!D:D,"Antecipação")</f>
        <v/>
      </c>
      <c r="C388" s="3">
        <f>SUMIFS(df_extrato_zig!E:E,df_extrato_zig!L:L,Conciliacao!A388,df_extrato_zig!F:F,"DINHEIRO")</f>
        <v/>
      </c>
      <c r="D388" s="3">
        <f>SUMIFS(view_parc_agrup!H:H,view_parc_agrup!G:G,Conciliacao!A388)</f>
        <v/>
      </c>
      <c r="E388" s="3">
        <f>SUMIFS(df_eventos!F:F,df_eventos!H:H,Conciliacao!A388)</f>
        <v/>
      </c>
      <c r="F388" s="3">
        <f>SUMIFS(df_mutuos!M:M,df_mutuos!B:B,Conciliacao!A388)</f>
        <v/>
      </c>
      <c r="G388" s="6">
        <f>SUMIFS(df_bloqueios_judiciais!G:G,df_bloqueios_judiciais!D:D,Conciliacao!A388,df_bloqueios_judiciais!G:G,"&gt;0")</f>
        <v/>
      </c>
      <c r="H388" s="7">
        <f>SUMIFS(df_extratos!I:I,df_extratos!F:F,"&gt;="&amp;Conciliacao!BE388,df_extratos!F:F,"&lt;"&amp;Conciliacao!BE388+1,df_extratos!G:G,"CREDITO")
+SUMIFS(df_extratos!I:I,df_extratos!F:F,"&gt;="&amp;Conciliacao!A388, df_extratos!F:F,"&lt;"&amp;Conciliacao!A388+1, df_extratos!G:G,"CREDITO")
+SUMIFS(df_extratos!I:I,df_extratos!F:F,"&gt;="&amp;Conciliacao!BF388,df_extratos!F:F,"&lt;"&amp;Conciliacao!BF388+1,df_extratos!G:G,"CREDITO")
+SUMIFS(df_extratos!I:I,df_extratos!F:F,"&gt;="&amp;Conciliacao!BG388,df_extratos!F:F,"&lt;"&amp;Conciliacao!BG388+1,df_extratos!G:G,"CREDITO")
+SUMIFS(df_extratos!I:I,df_extratos!F:F,"&gt;="&amp;Conciliacao!BH388,df_extratos!F:F,"&lt;"&amp;Conciliacao!BH388+1,df_extratos!G:G,"CREDITO")</f>
        <v/>
      </c>
      <c r="I388" s="9">
        <f>H388-SUM(B388:G388)</f>
        <v/>
      </c>
      <c r="J388" s="4">
        <f>SUMIFS(df_blueme_sem_parcelamento!E:E,df_blueme_sem_parcelamento!H:H,Conciliacao!A388)*(-1)</f>
        <v/>
      </c>
      <c r="K388" s="4">
        <f>SUMIFS(df_blueme_com_parcelamento!J:J,df_blueme_com_parcelamento!M:M,Conciliacao!A388)*(-1)</f>
        <v/>
      </c>
      <c r="L388" s="4">
        <f>SUMIFS(df_mutuos!N:N,df_mutuos!B:B,Conciliacao!A388)*(-1)</f>
        <v/>
      </c>
      <c r="M388" s="8">
        <f>SUMIFS(df_bloqueios_judiciais!G:G,df_bloqueios_judiciais!D:D,Conciliacao!A388,df_bloqueios_judiciais!G:G,"&lt;0")</f>
        <v/>
      </c>
      <c r="N388" s="10">
        <f>SUMIFS(df_extratos!I:I,df_extratos!F:F,"&gt;="&amp;Conciliacao!BE388,df_extratos!F:F,"&lt;"&amp;Conciliacao!BE388+1,df_extratos!G:G,"DEBITO")
+SUMIFS(df_extratos!I:I,df_extratos!F:F,"&gt;="&amp;Conciliacao!A388, df_extratos!F:F,"&lt;"&amp;Conciliacao!A388+1, df_extratos!G:G,"DEBITO")
+SUMIFS(df_extratos!I:I,df_extratos!F:F,"&gt;="&amp;Conciliacao!BF388,df_extratos!F:F,"&lt;"&amp;Conciliacao!BF388+1,df_extratos!G:G,"DEBITO")
+SUMIFS(df_extratos!I:I,df_extratos!F:F,"&gt;="&amp;Conciliacao!BG388,df_extratos!F:F,"&lt;"&amp;Conciliacao!BG388+1,df_extratos!G:G,"DEBITO")
+SUMIFS(df_extratos!I:I,df_extratos!F:F,"&gt;="&amp;Conciliacao!BH388,df_extratos!F:F,"&lt;"&amp;Conciliacao!BH388+1,df_extratos!G:G,"DEBITO")</f>
        <v/>
      </c>
      <c r="O388" s="11">
        <f>N388-SUM(J388:M388)</f>
        <v/>
      </c>
      <c r="P388" s="25">
        <f>SUMIFS(df_ajustes_conciliaco!D:D,df_ajustes_conciliaco!C:C,Conciliacao!A388)</f>
        <v/>
      </c>
      <c r="Q388" s="22">
        <f>O388+I388-P388</f>
        <v/>
      </c>
    </row>
    <row r="389">
      <c r="A389" s="5">
        <f>A388+1</f>
        <v/>
      </c>
      <c r="B389" s="3">
        <f>-SUMIFS(df_extrato_zig!G:G,df_extrato_zig!E:E,Conciliacao!A389,df_extrato_zig!D:D,"Saque")-SUMIFS(df_extrato_zig!G:G,df_extrato_zig!E:E,Conciliacao!A389,df_extrato_zig!D:D,"Antecipação")</f>
        <v/>
      </c>
      <c r="C389" s="3">
        <f>SUMIFS(df_extrato_zig!E:E,df_extrato_zig!L:L,Conciliacao!A389,df_extrato_zig!F:F,"DINHEIRO")</f>
        <v/>
      </c>
      <c r="D389" s="3">
        <f>SUMIFS(view_parc_agrup!H:H,view_parc_agrup!G:G,Conciliacao!A389)</f>
        <v/>
      </c>
      <c r="E389" s="3">
        <f>SUMIFS(df_eventos!F:F,df_eventos!H:H,Conciliacao!A389)</f>
        <v/>
      </c>
      <c r="F389" s="3">
        <f>SUMIFS(df_mutuos!M:M,df_mutuos!B:B,Conciliacao!A389)</f>
        <v/>
      </c>
      <c r="G389" s="6">
        <f>SUMIFS(df_bloqueios_judiciais!G:G,df_bloqueios_judiciais!D:D,Conciliacao!A389,df_bloqueios_judiciais!G:G,"&gt;0")</f>
        <v/>
      </c>
      <c r="H389" s="7">
        <f>SUMIFS(df_extratos!I:I,df_extratos!F:F,"&gt;="&amp;Conciliacao!BE389,df_extratos!F:F,"&lt;"&amp;Conciliacao!BE389+1,df_extratos!G:G,"CREDITO")
+SUMIFS(df_extratos!I:I,df_extratos!F:F,"&gt;="&amp;Conciliacao!A389, df_extratos!F:F,"&lt;"&amp;Conciliacao!A389+1, df_extratos!G:G,"CREDITO")
+SUMIFS(df_extratos!I:I,df_extratos!F:F,"&gt;="&amp;Conciliacao!BF389,df_extratos!F:F,"&lt;"&amp;Conciliacao!BF389+1,df_extratos!G:G,"CREDITO")
+SUMIFS(df_extratos!I:I,df_extratos!F:F,"&gt;="&amp;Conciliacao!BG389,df_extratos!F:F,"&lt;"&amp;Conciliacao!BG389+1,df_extratos!G:G,"CREDITO")
+SUMIFS(df_extratos!I:I,df_extratos!F:F,"&gt;="&amp;Conciliacao!BH389,df_extratos!F:F,"&lt;"&amp;Conciliacao!BH389+1,df_extratos!G:G,"CREDITO")</f>
        <v/>
      </c>
      <c r="I389" s="9">
        <f>H389-SUM(B389:G389)</f>
        <v/>
      </c>
      <c r="J389" s="4">
        <f>SUMIFS(df_blueme_sem_parcelamento!E:E,df_blueme_sem_parcelamento!H:H,Conciliacao!A389)*(-1)</f>
        <v/>
      </c>
      <c r="K389" s="4">
        <f>SUMIFS(df_blueme_com_parcelamento!J:J,df_blueme_com_parcelamento!M:M,Conciliacao!A389)*(-1)</f>
        <v/>
      </c>
      <c r="L389" s="4">
        <f>SUMIFS(df_mutuos!N:N,df_mutuos!B:B,Conciliacao!A389)*(-1)</f>
        <v/>
      </c>
      <c r="M389" s="8">
        <f>SUMIFS(df_bloqueios_judiciais!G:G,df_bloqueios_judiciais!D:D,Conciliacao!A389,df_bloqueios_judiciais!G:G,"&lt;0")</f>
        <v/>
      </c>
      <c r="N389" s="10">
        <f>SUMIFS(df_extratos!I:I,df_extratos!F:F,"&gt;="&amp;Conciliacao!BE389,df_extratos!F:F,"&lt;"&amp;Conciliacao!BE389+1,df_extratos!G:G,"DEBITO")
+SUMIFS(df_extratos!I:I,df_extratos!F:F,"&gt;="&amp;Conciliacao!A389, df_extratos!F:F,"&lt;"&amp;Conciliacao!A389+1, df_extratos!G:G,"DEBITO")
+SUMIFS(df_extratos!I:I,df_extratos!F:F,"&gt;="&amp;Conciliacao!BF389,df_extratos!F:F,"&lt;"&amp;Conciliacao!BF389+1,df_extratos!G:G,"DEBITO")
+SUMIFS(df_extratos!I:I,df_extratos!F:F,"&gt;="&amp;Conciliacao!BG389,df_extratos!F:F,"&lt;"&amp;Conciliacao!BG389+1,df_extratos!G:G,"DEBITO")
+SUMIFS(df_extratos!I:I,df_extratos!F:F,"&gt;="&amp;Conciliacao!BH389,df_extratos!F:F,"&lt;"&amp;Conciliacao!BH389+1,df_extratos!G:G,"DEBITO")</f>
        <v/>
      </c>
      <c r="O389" s="11">
        <f>N389-SUM(J389:M389)</f>
        <v/>
      </c>
      <c r="P389" s="25">
        <f>SUMIFS(df_ajustes_conciliaco!D:D,df_ajustes_conciliaco!C:C,Conciliacao!A389)</f>
        <v/>
      </c>
      <c r="Q389" s="22">
        <f>O389+I389-P389</f>
        <v/>
      </c>
    </row>
    <row r="390">
      <c r="A390" s="5">
        <f>A389+1</f>
        <v/>
      </c>
      <c r="B390" s="3">
        <f>-SUMIFS(df_extrato_zig!G:G,df_extrato_zig!E:E,Conciliacao!A390,df_extrato_zig!D:D,"Saque")-SUMIFS(df_extrato_zig!G:G,df_extrato_zig!E:E,Conciliacao!A390,df_extrato_zig!D:D,"Antecipação")</f>
        <v/>
      </c>
      <c r="C390" s="3">
        <f>SUMIFS(df_extrato_zig!E:E,df_extrato_zig!L:L,Conciliacao!A390,df_extrato_zig!F:F,"DINHEIRO")</f>
        <v/>
      </c>
      <c r="D390" s="3">
        <f>SUMIFS(view_parc_agrup!H:H,view_parc_agrup!G:G,Conciliacao!A390)</f>
        <v/>
      </c>
      <c r="E390" s="3">
        <f>SUMIFS(df_eventos!F:F,df_eventos!H:H,Conciliacao!A390)</f>
        <v/>
      </c>
      <c r="F390" s="3">
        <f>SUMIFS(df_mutuos!M:M,df_mutuos!B:B,Conciliacao!A390)</f>
        <v/>
      </c>
      <c r="G390" s="6">
        <f>SUMIFS(df_bloqueios_judiciais!G:G,df_bloqueios_judiciais!D:D,Conciliacao!A390,df_bloqueios_judiciais!G:G,"&gt;0")</f>
        <v/>
      </c>
      <c r="H390" s="7">
        <f>SUMIFS(df_extratos!I:I,df_extratos!F:F,"&gt;="&amp;Conciliacao!BE390,df_extratos!F:F,"&lt;"&amp;Conciliacao!BE390+1,df_extratos!G:G,"CREDITO")
+SUMIFS(df_extratos!I:I,df_extratos!F:F,"&gt;="&amp;Conciliacao!A390, df_extratos!F:F,"&lt;"&amp;Conciliacao!A390+1, df_extratos!G:G,"CREDITO")
+SUMIFS(df_extratos!I:I,df_extratos!F:F,"&gt;="&amp;Conciliacao!BF390,df_extratos!F:F,"&lt;"&amp;Conciliacao!BF390+1,df_extratos!G:G,"CREDITO")
+SUMIFS(df_extratos!I:I,df_extratos!F:F,"&gt;="&amp;Conciliacao!BG390,df_extratos!F:F,"&lt;"&amp;Conciliacao!BG390+1,df_extratos!G:G,"CREDITO")
+SUMIFS(df_extratos!I:I,df_extratos!F:F,"&gt;="&amp;Conciliacao!BH390,df_extratos!F:F,"&lt;"&amp;Conciliacao!BH390+1,df_extratos!G:G,"CREDITO")</f>
        <v/>
      </c>
      <c r="I390" s="9">
        <f>H390-SUM(B390:G390)</f>
        <v/>
      </c>
      <c r="J390" s="4">
        <f>SUMIFS(df_blueme_sem_parcelamento!E:E,df_blueme_sem_parcelamento!H:H,Conciliacao!A390)*(-1)</f>
        <v/>
      </c>
      <c r="K390" s="4">
        <f>SUMIFS(df_blueme_com_parcelamento!J:J,df_blueme_com_parcelamento!M:M,Conciliacao!A390)*(-1)</f>
        <v/>
      </c>
      <c r="L390" s="4">
        <f>SUMIFS(df_mutuos!N:N,df_mutuos!B:B,Conciliacao!A390)*(-1)</f>
        <v/>
      </c>
      <c r="M390" s="8">
        <f>SUMIFS(df_bloqueios_judiciais!G:G,df_bloqueios_judiciais!D:D,Conciliacao!A390,df_bloqueios_judiciais!G:G,"&lt;0")</f>
        <v/>
      </c>
      <c r="N390" s="10">
        <f>SUMIFS(df_extratos!I:I,df_extratos!F:F,"&gt;="&amp;Conciliacao!BE390,df_extratos!F:F,"&lt;"&amp;Conciliacao!BE390+1,df_extratos!G:G,"DEBITO")
+SUMIFS(df_extratos!I:I,df_extratos!F:F,"&gt;="&amp;Conciliacao!A390, df_extratos!F:F,"&lt;"&amp;Conciliacao!A390+1, df_extratos!G:G,"DEBITO")
+SUMIFS(df_extratos!I:I,df_extratos!F:F,"&gt;="&amp;Conciliacao!BF390,df_extratos!F:F,"&lt;"&amp;Conciliacao!BF390+1,df_extratos!G:G,"DEBITO")
+SUMIFS(df_extratos!I:I,df_extratos!F:F,"&gt;="&amp;Conciliacao!BG390,df_extratos!F:F,"&lt;"&amp;Conciliacao!BG390+1,df_extratos!G:G,"DEBITO")
+SUMIFS(df_extratos!I:I,df_extratos!F:F,"&gt;="&amp;Conciliacao!BH390,df_extratos!F:F,"&lt;"&amp;Conciliacao!BH390+1,df_extratos!G:G,"DEBITO")</f>
        <v/>
      </c>
      <c r="O390" s="11">
        <f>N390-SUM(J390:M390)</f>
        <v/>
      </c>
      <c r="P390" s="25">
        <f>SUMIFS(df_ajustes_conciliaco!D:D,df_ajustes_conciliaco!C:C,Conciliacao!A390)</f>
        <v/>
      </c>
      <c r="Q390" s="22">
        <f>O390+I390-P390</f>
        <v/>
      </c>
    </row>
    <row r="391">
      <c r="A391" s="5">
        <f>A390+1</f>
        <v/>
      </c>
      <c r="B391" s="3">
        <f>-SUMIFS(df_extrato_zig!G:G,df_extrato_zig!E:E,Conciliacao!A391,df_extrato_zig!D:D,"Saque")-SUMIFS(df_extrato_zig!G:G,df_extrato_zig!E:E,Conciliacao!A391,df_extrato_zig!D:D,"Antecipação")</f>
        <v/>
      </c>
      <c r="C391" s="3">
        <f>SUMIFS(df_extrato_zig!E:E,df_extrato_zig!L:L,Conciliacao!A391,df_extrato_zig!F:F,"DINHEIRO")</f>
        <v/>
      </c>
      <c r="D391" s="3">
        <f>SUMIFS(view_parc_agrup!H:H,view_parc_agrup!G:G,Conciliacao!A391)</f>
        <v/>
      </c>
      <c r="E391" s="3">
        <f>SUMIFS(df_eventos!F:F,df_eventos!H:H,Conciliacao!A391)</f>
        <v/>
      </c>
      <c r="F391" s="3">
        <f>SUMIFS(df_mutuos!M:M,df_mutuos!B:B,Conciliacao!A391)</f>
        <v/>
      </c>
      <c r="G391" s="6">
        <f>SUMIFS(df_bloqueios_judiciais!G:G,df_bloqueios_judiciais!D:D,Conciliacao!A391,df_bloqueios_judiciais!G:G,"&gt;0")</f>
        <v/>
      </c>
      <c r="H391" s="7">
        <f>SUMIFS(df_extratos!I:I,df_extratos!F:F,"&gt;="&amp;Conciliacao!BE391,df_extratos!F:F,"&lt;"&amp;Conciliacao!BE391+1,df_extratos!G:G,"CREDITO")
+SUMIFS(df_extratos!I:I,df_extratos!F:F,"&gt;="&amp;Conciliacao!A391, df_extratos!F:F,"&lt;"&amp;Conciliacao!A391+1, df_extratos!G:G,"CREDITO")
+SUMIFS(df_extratos!I:I,df_extratos!F:F,"&gt;="&amp;Conciliacao!BF391,df_extratos!F:F,"&lt;"&amp;Conciliacao!BF391+1,df_extratos!G:G,"CREDITO")
+SUMIFS(df_extratos!I:I,df_extratos!F:F,"&gt;="&amp;Conciliacao!BG391,df_extratos!F:F,"&lt;"&amp;Conciliacao!BG391+1,df_extratos!G:G,"CREDITO")
+SUMIFS(df_extratos!I:I,df_extratos!F:F,"&gt;="&amp;Conciliacao!BH391,df_extratos!F:F,"&lt;"&amp;Conciliacao!BH391+1,df_extratos!G:G,"CREDITO")</f>
        <v/>
      </c>
      <c r="I391" s="9">
        <f>H391-SUM(B391:G391)</f>
        <v/>
      </c>
      <c r="J391" s="4">
        <f>SUMIFS(df_blueme_sem_parcelamento!E:E,df_blueme_sem_parcelamento!H:H,Conciliacao!A391)*(-1)</f>
        <v/>
      </c>
      <c r="K391" s="4">
        <f>SUMIFS(df_blueme_com_parcelamento!J:J,df_blueme_com_parcelamento!M:M,Conciliacao!A391)*(-1)</f>
        <v/>
      </c>
      <c r="L391" s="4">
        <f>SUMIFS(df_mutuos!N:N,df_mutuos!B:B,Conciliacao!A391)*(-1)</f>
        <v/>
      </c>
      <c r="M391" s="8">
        <f>SUMIFS(df_bloqueios_judiciais!G:G,df_bloqueios_judiciais!D:D,Conciliacao!A391,df_bloqueios_judiciais!G:G,"&lt;0")</f>
        <v/>
      </c>
      <c r="N391" s="10">
        <f>SUMIFS(df_extratos!I:I,df_extratos!F:F,"&gt;="&amp;Conciliacao!BE391,df_extratos!F:F,"&lt;"&amp;Conciliacao!BE391+1,df_extratos!G:G,"DEBITO")
+SUMIFS(df_extratos!I:I,df_extratos!F:F,"&gt;="&amp;Conciliacao!A391, df_extratos!F:F,"&lt;"&amp;Conciliacao!A391+1, df_extratos!G:G,"DEBITO")
+SUMIFS(df_extratos!I:I,df_extratos!F:F,"&gt;="&amp;Conciliacao!BF391,df_extratos!F:F,"&lt;"&amp;Conciliacao!BF391+1,df_extratos!G:G,"DEBITO")
+SUMIFS(df_extratos!I:I,df_extratos!F:F,"&gt;="&amp;Conciliacao!BG391,df_extratos!F:F,"&lt;"&amp;Conciliacao!BG391+1,df_extratos!G:G,"DEBITO")
+SUMIFS(df_extratos!I:I,df_extratos!F:F,"&gt;="&amp;Conciliacao!BH391,df_extratos!F:F,"&lt;"&amp;Conciliacao!BH391+1,df_extratos!G:G,"DEBITO")</f>
        <v/>
      </c>
      <c r="O391" s="11">
        <f>N391-SUM(J391:M391)</f>
        <v/>
      </c>
      <c r="P391" s="25">
        <f>SUMIFS(df_ajustes_conciliaco!D:D,df_ajustes_conciliaco!C:C,Conciliacao!A391)</f>
        <v/>
      </c>
      <c r="Q391" s="22">
        <f>O391+I391-P391</f>
        <v/>
      </c>
    </row>
    <row r="392">
      <c r="A392" s="5">
        <f>A391+1</f>
        <v/>
      </c>
      <c r="B392" s="3">
        <f>-SUMIFS(df_extrato_zig!G:G,df_extrato_zig!E:E,Conciliacao!A392,df_extrato_zig!D:D,"Saque")-SUMIFS(df_extrato_zig!G:G,df_extrato_zig!E:E,Conciliacao!A392,df_extrato_zig!D:D,"Antecipação")</f>
        <v/>
      </c>
      <c r="C392" s="3">
        <f>SUMIFS(df_extrato_zig!E:E,df_extrato_zig!L:L,Conciliacao!A392,df_extrato_zig!F:F,"DINHEIRO")</f>
        <v/>
      </c>
      <c r="D392" s="3">
        <f>SUMIFS(view_parc_agrup!H:H,view_parc_agrup!G:G,Conciliacao!A392)</f>
        <v/>
      </c>
      <c r="E392" s="3">
        <f>SUMIFS(df_eventos!F:F,df_eventos!H:H,Conciliacao!A392)</f>
        <v/>
      </c>
      <c r="F392" s="3">
        <f>SUMIFS(df_mutuos!M:M,df_mutuos!B:B,Conciliacao!A392)</f>
        <v/>
      </c>
      <c r="G392" s="6">
        <f>SUMIFS(df_bloqueios_judiciais!G:G,df_bloqueios_judiciais!D:D,Conciliacao!A392,df_bloqueios_judiciais!G:G,"&gt;0")</f>
        <v/>
      </c>
      <c r="H392" s="7">
        <f>SUMIFS(df_extratos!I:I,df_extratos!F:F,"&gt;="&amp;Conciliacao!BE392,df_extratos!F:F,"&lt;"&amp;Conciliacao!BE392+1,df_extratos!G:G,"CREDITO")
+SUMIFS(df_extratos!I:I,df_extratos!F:F,"&gt;="&amp;Conciliacao!A392, df_extratos!F:F,"&lt;"&amp;Conciliacao!A392+1, df_extratos!G:G,"CREDITO")
+SUMIFS(df_extratos!I:I,df_extratos!F:F,"&gt;="&amp;Conciliacao!BF392,df_extratos!F:F,"&lt;"&amp;Conciliacao!BF392+1,df_extratos!G:G,"CREDITO")
+SUMIFS(df_extratos!I:I,df_extratos!F:F,"&gt;="&amp;Conciliacao!BG392,df_extratos!F:F,"&lt;"&amp;Conciliacao!BG392+1,df_extratos!G:G,"CREDITO")
+SUMIFS(df_extratos!I:I,df_extratos!F:F,"&gt;="&amp;Conciliacao!BH392,df_extratos!F:F,"&lt;"&amp;Conciliacao!BH392+1,df_extratos!G:G,"CREDITO")</f>
        <v/>
      </c>
      <c r="I392" s="9">
        <f>H392-SUM(B392:G392)</f>
        <v/>
      </c>
      <c r="J392" s="4">
        <f>SUMIFS(df_blueme_sem_parcelamento!E:E,df_blueme_sem_parcelamento!H:H,Conciliacao!A392)*(-1)</f>
        <v/>
      </c>
      <c r="K392" s="4">
        <f>SUMIFS(df_blueme_com_parcelamento!J:J,df_blueme_com_parcelamento!M:M,Conciliacao!A392)*(-1)</f>
        <v/>
      </c>
      <c r="L392" s="4">
        <f>SUMIFS(df_mutuos!N:N,df_mutuos!B:B,Conciliacao!A392)*(-1)</f>
        <v/>
      </c>
      <c r="M392" s="8">
        <f>SUMIFS(df_bloqueios_judiciais!G:G,df_bloqueios_judiciais!D:D,Conciliacao!A392,df_bloqueios_judiciais!G:G,"&lt;0")</f>
        <v/>
      </c>
      <c r="N392" s="10">
        <f>SUMIFS(df_extratos!I:I,df_extratos!F:F,"&gt;="&amp;Conciliacao!BE392,df_extratos!F:F,"&lt;"&amp;Conciliacao!BE392+1,df_extratos!G:G,"DEBITO")
+SUMIFS(df_extratos!I:I,df_extratos!F:F,"&gt;="&amp;Conciliacao!A392, df_extratos!F:F,"&lt;"&amp;Conciliacao!A392+1, df_extratos!G:G,"DEBITO")
+SUMIFS(df_extratos!I:I,df_extratos!F:F,"&gt;="&amp;Conciliacao!BF392,df_extratos!F:F,"&lt;"&amp;Conciliacao!BF392+1,df_extratos!G:G,"DEBITO")
+SUMIFS(df_extratos!I:I,df_extratos!F:F,"&gt;="&amp;Conciliacao!BG392,df_extratos!F:F,"&lt;"&amp;Conciliacao!BG392+1,df_extratos!G:G,"DEBITO")
+SUMIFS(df_extratos!I:I,df_extratos!F:F,"&gt;="&amp;Conciliacao!BH392,df_extratos!F:F,"&lt;"&amp;Conciliacao!BH392+1,df_extratos!G:G,"DEBITO")</f>
        <v/>
      </c>
      <c r="O392" s="11">
        <f>N392-SUM(J392:M392)</f>
        <v/>
      </c>
      <c r="P392" s="25">
        <f>SUMIFS(df_ajustes_conciliaco!D:D,df_ajustes_conciliaco!C:C,Conciliacao!A392)</f>
        <v/>
      </c>
      <c r="Q392" s="22">
        <f>O392+I392-P392</f>
        <v/>
      </c>
    </row>
    <row r="393">
      <c r="A393" s="5">
        <f>A392+1</f>
        <v/>
      </c>
      <c r="B393" s="3">
        <f>-SUMIFS(df_extrato_zig!G:G,df_extrato_zig!E:E,Conciliacao!A393,df_extrato_zig!D:D,"Saque")-SUMIFS(df_extrato_zig!G:G,df_extrato_zig!E:E,Conciliacao!A393,df_extrato_zig!D:D,"Antecipação")</f>
        <v/>
      </c>
      <c r="C393" s="3">
        <f>SUMIFS(df_extrato_zig!E:E,df_extrato_zig!L:L,Conciliacao!A393,df_extrato_zig!F:F,"DINHEIRO")</f>
        <v/>
      </c>
      <c r="D393" s="3">
        <f>SUMIFS(view_parc_agrup!H:H,view_parc_agrup!G:G,Conciliacao!A393)</f>
        <v/>
      </c>
      <c r="E393" s="3">
        <f>SUMIFS(df_eventos!F:F,df_eventos!H:H,Conciliacao!A393)</f>
        <v/>
      </c>
      <c r="F393" s="3">
        <f>SUMIFS(df_mutuos!M:M,df_mutuos!B:B,Conciliacao!A393)</f>
        <v/>
      </c>
      <c r="G393" s="6">
        <f>SUMIFS(df_bloqueios_judiciais!G:G,df_bloqueios_judiciais!D:D,Conciliacao!A393,df_bloqueios_judiciais!G:G,"&gt;0")</f>
        <v/>
      </c>
      <c r="H393" s="7">
        <f>SUMIFS(df_extratos!I:I,df_extratos!F:F,"&gt;="&amp;Conciliacao!BE393,df_extratos!F:F,"&lt;"&amp;Conciliacao!BE393+1,df_extratos!G:G,"CREDITO")
+SUMIFS(df_extratos!I:I,df_extratos!F:F,"&gt;="&amp;Conciliacao!A393, df_extratos!F:F,"&lt;"&amp;Conciliacao!A393+1, df_extratos!G:G,"CREDITO")
+SUMIFS(df_extratos!I:I,df_extratos!F:F,"&gt;="&amp;Conciliacao!BF393,df_extratos!F:F,"&lt;"&amp;Conciliacao!BF393+1,df_extratos!G:G,"CREDITO")
+SUMIFS(df_extratos!I:I,df_extratos!F:F,"&gt;="&amp;Conciliacao!BG393,df_extratos!F:F,"&lt;"&amp;Conciliacao!BG393+1,df_extratos!G:G,"CREDITO")
+SUMIFS(df_extratos!I:I,df_extratos!F:F,"&gt;="&amp;Conciliacao!BH393,df_extratos!F:F,"&lt;"&amp;Conciliacao!BH393+1,df_extratos!G:G,"CREDITO")</f>
        <v/>
      </c>
      <c r="I393" s="9">
        <f>H393-SUM(B393:G393)</f>
        <v/>
      </c>
      <c r="J393" s="4">
        <f>SUMIFS(df_blueme_sem_parcelamento!E:E,df_blueme_sem_parcelamento!H:H,Conciliacao!A393)*(-1)</f>
        <v/>
      </c>
      <c r="K393" s="4">
        <f>SUMIFS(df_blueme_com_parcelamento!J:J,df_blueme_com_parcelamento!M:M,Conciliacao!A393)*(-1)</f>
        <v/>
      </c>
      <c r="L393" s="4">
        <f>SUMIFS(df_mutuos!N:N,df_mutuos!B:B,Conciliacao!A393)*(-1)</f>
        <v/>
      </c>
      <c r="M393" s="8">
        <f>SUMIFS(df_bloqueios_judiciais!G:G,df_bloqueios_judiciais!D:D,Conciliacao!A393,df_bloqueios_judiciais!G:G,"&lt;0")</f>
        <v/>
      </c>
      <c r="N393" s="10">
        <f>SUMIFS(df_extratos!I:I,df_extratos!F:F,"&gt;="&amp;Conciliacao!BE393,df_extratos!F:F,"&lt;"&amp;Conciliacao!BE393+1,df_extratos!G:G,"DEBITO")
+SUMIFS(df_extratos!I:I,df_extratos!F:F,"&gt;="&amp;Conciliacao!A393, df_extratos!F:F,"&lt;"&amp;Conciliacao!A393+1, df_extratos!G:G,"DEBITO")
+SUMIFS(df_extratos!I:I,df_extratos!F:F,"&gt;="&amp;Conciliacao!BF393,df_extratos!F:F,"&lt;"&amp;Conciliacao!BF393+1,df_extratos!G:G,"DEBITO")
+SUMIFS(df_extratos!I:I,df_extratos!F:F,"&gt;="&amp;Conciliacao!BG393,df_extratos!F:F,"&lt;"&amp;Conciliacao!BG393+1,df_extratos!G:G,"DEBITO")
+SUMIFS(df_extratos!I:I,df_extratos!F:F,"&gt;="&amp;Conciliacao!BH393,df_extratos!F:F,"&lt;"&amp;Conciliacao!BH393+1,df_extratos!G:G,"DEBITO")</f>
        <v/>
      </c>
      <c r="O393" s="11">
        <f>N393-SUM(J393:M393)</f>
        <v/>
      </c>
      <c r="P393" s="25">
        <f>SUMIFS(df_ajustes_conciliaco!D:D,df_ajustes_conciliaco!C:C,Conciliacao!A393)</f>
        <v/>
      </c>
      <c r="Q393" s="22">
        <f>O393+I393-P393</f>
        <v/>
      </c>
    </row>
    <row r="394">
      <c r="A394" s="5">
        <f>A393+1</f>
        <v/>
      </c>
      <c r="B394" s="3">
        <f>-SUMIFS(df_extrato_zig!G:G,df_extrato_zig!E:E,Conciliacao!A394,df_extrato_zig!D:D,"Saque")-SUMIFS(df_extrato_zig!G:G,df_extrato_zig!E:E,Conciliacao!A394,df_extrato_zig!D:D,"Antecipação")</f>
        <v/>
      </c>
      <c r="C394" s="3">
        <f>SUMIFS(df_extrato_zig!E:E,df_extrato_zig!L:L,Conciliacao!A394,df_extrato_zig!F:F,"DINHEIRO")</f>
        <v/>
      </c>
      <c r="D394" s="3">
        <f>SUMIFS(view_parc_agrup!H:H,view_parc_agrup!G:G,Conciliacao!A394)</f>
        <v/>
      </c>
      <c r="E394" s="3">
        <f>SUMIFS(df_eventos!F:F,df_eventos!H:H,Conciliacao!A394)</f>
        <v/>
      </c>
      <c r="F394" s="3">
        <f>SUMIFS(df_mutuos!M:M,df_mutuos!B:B,Conciliacao!A394)</f>
        <v/>
      </c>
      <c r="G394" s="6">
        <f>SUMIFS(df_bloqueios_judiciais!G:G,df_bloqueios_judiciais!D:D,Conciliacao!A394,df_bloqueios_judiciais!G:G,"&gt;0")</f>
        <v/>
      </c>
      <c r="H394" s="7">
        <f>SUMIFS(df_extratos!I:I,df_extratos!F:F,"&gt;="&amp;Conciliacao!BE394,df_extratos!F:F,"&lt;"&amp;Conciliacao!BE394+1,df_extratos!G:G,"CREDITO")
+SUMIFS(df_extratos!I:I,df_extratos!F:F,"&gt;="&amp;Conciliacao!A394, df_extratos!F:F,"&lt;"&amp;Conciliacao!A394+1, df_extratos!G:G,"CREDITO")
+SUMIFS(df_extratos!I:I,df_extratos!F:F,"&gt;="&amp;Conciliacao!BF394,df_extratos!F:F,"&lt;"&amp;Conciliacao!BF394+1,df_extratos!G:G,"CREDITO")
+SUMIFS(df_extratos!I:I,df_extratos!F:F,"&gt;="&amp;Conciliacao!BG394,df_extratos!F:F,"&lt;"&amp;Conciliacao!BG394+1,df_extratos!G:G,"CREDITO")
+SUMIFS(df_extratos!I:I,df_extratos!F:F,"&gt;="&amp;Conciliacao!BH394,df_extratos!F:F,"&lt;"&amp;Conciliacao!BH394+1,df_extratos!G:G,"CREDITO")</f>
        <v/>
      </c>
      <c r="I394" s="9">
        <f>H394-SUM(B394:G394)</f>
        <v/>
      </c>
      <c r="J394" s="4">
        <f>SUMIFS(df_blueme_sem_parcelamento!E:E,df_blueme_sem_parcelamento!H:H,Conciliacao!A394)*(-1)</f>
        <v/>
      </c>
      <c r="K394" s="4">
        <f>SUMIFS(df_blueme_com_parcelamento!J:J,df_blueme_com_parcelamento!M:M,Conciliacao!A394)*(-1)</f>
        <v/>
      </c>
      <c r="L394" s="4">
        <f>SUMIFS(df_mutuos!N:N,df_mutuos!B:B,Conciliacao!A394)*(-1)</f>
        <v/>
      </c>
      <c r="M394" s="8">
        <f>SUMIFS(df_bloqueios_judiciais!G:G,df_bloqueios_judiciais!D:D,Conciliacao!A394,df_bloqueios_judiciais!G:G,"&lt;0")</f>
        <v/>
      </c>
      <c r="N394" s="10">
        <f>SUMIFS(df_extratos!I:I,df_extratos!F:F,"&gt;="&amp;Conciliacao!BE394,df_extratos!F:F,"&lt;"&amp;Conciliacao!BE394+1,df_extratos!G:G,"DEBITO")
+SUMIFS(df_extratos!I:I,df_extratos!F:F,"&gt;="&amp;Conciliacao!A394, df_extratos!F:F,"&lt;"&amp;Conciliacao!A394+1, df_extratos!G:G,"DEBITO")
+SUMIFS(df_extratos!I:I,df_extratos!F:F,"&gt;="&amp;Conciliacao!BF394,df_extratos!F:F,"&lt;"&amp;Conciliacao!BF394+1,df_extratos!G:G,"DEBITO")
+SUMIFS(df_extratos!I:I,df_extratos!F:F,"&gt;="&amp;Conciliacao!BG394,df_extratos!F:F,"&lt;"&amp;Conciliacao!BG394+1,df_extratos!G:G,"DEBITO")
+SUMIFS(df_extratos!I:I,df_extratos!F:F,"&gt;="&amp;Conciliacao!BH394,df_extratos!F:F,"&lt;"&amp;Conciliacao!BH394+1,df_extratos!G:G,"DEBITO")</f>
        <v/>
      </c>
      <c r="O394" s="11">
        <f>N394-SUM(J394:M394)</f>
        <v/>
      </c>
      <c r="P394" s="25">
        <f>SUMIFS(df_ajustes_conciliaco!D:D,df_ajustes_conciliaco!C:C,Conciliacao!A394)</f>
        <v/>
      </c>
      <c r="Q394" s="22">
        <f>O394+I394-P394</f>
        <v/>
      </c>
    </row>
    <row r="395">
      <c r="A395" s="5">
        <f>A394+1</f>
        <v/>
      </c>
      <c r="B395" s="3">
        <f>-SUMIFS(df_extrato_zig!G:G,df_extrato_zig!E:E,Conciliacao!A395,df_extrato_zig!D:D,"Saque")-SUMIFS(df_extrato_zig!G:G,df_extrato_zig!E:E,Conciliacao!A395,df_extrato_zig!D:D,"Antecipação")</f>
        <v/>
      </c>
      <c r="C395" s="3">
        <f>SUMIFS(df_extrato_zig!E:E,df_extrato_zig!L:L,Conciliacao!A395,df_extrato_zig!F:F,"DINHEIRO")</f>
        <v/>
      </c>
      <c r="D395" s="3">
        <f>SUMIFS(view_parc_agrup!H:H,view_parc_agrup!G:G,Conciliacao!A395)</f>
        <v/>
      </c>
      <c r="E395" s="3">
        <f>SUMIFS(df_eventos!F:F,df_eventos!H:H,Conciliacao!A395)</f>
        <v/>
      </c>
      <c r="F395" s="3">
        <f>SUMIFS(df_mutuos!M:M,df_mutuos!B:B,Conciliacao!A395)</f>
        <v/>
      </c>
      <c r="G395" s="6">
        <f>SUMIFS(df_bloqueios_judiciais!G:G,df_bloqueios_judiciais!D:D,Conciliacao!A395,df_bloqueios_judiciais!G:G,"&gt;0")</f>
        <v/>
      </c>
      <c r="H395" s="7">
        <f>SUMIFS(df_extratos!I:I,df_extratos!F:F,"&gt;="&amp;Conciliacao!BE395,df_extratos!F:F,"&lt;"&amp;Conciliacao!BE395+1,df_extratos!G:G,"CREDITO")
+SUMIFS(df_extratos!I:I,df_extratos!F:F,"&gt;="&amp;Conciliacao!A395, df_extratos!F:F,"&lt;"&amp;Conciliacao!A395+1, df_extratos!G:G,"CREDITO")
+SUMIFS(df_extratos!I:I,df_extratos!F:F,"&gt;="&amp;Conciliacao!BF395,df_extratos!F:F,"&lt;"&amp;Conciliacao!BF395+1,df_extratos!G:G,"CREDITO")
+SUMIFS(df_extratos!I:I,df_extratos!F:F,"&gt;="&amp;Conciliacao!BG395,df_extratos!F:F,"&lt;"&amp;Conciliacao!BG395+1,df_extratos!G:G,"CREDITO")
+SUMIFS(df_extratos!I:I,df_extratos!F:F,"&gt;="&amp;Conciliacao!BH395,df_extratos!F:F,"&lt;"&amp;Conciliacao!BH395+1,df_extratos!G:G,"CREDITO")</f>
        <v/>
      </c>
      <c r="I395" s="9">
        <f>H395-SUM(B395:G395)</f>
        <v/>
      </c>
      <c r="J395" s="4">
        <f>SUMIFS(df_blueme_sem_parcelamento!E:E,df_blueme_sem_parcelamento!H:H,Conciliacao!A395)*(-1)</f>
        <v/>
      </c>
      <c r="K395" s="4">
        <f>SUMIFS(df_blueme_com_parcelamento!J:J,df_blueme_com_parcelamento!M:M,Conciliacao!A395)*(-1)</f>
        <v/>
      </c>
      <c r="L395" s="4">
        <f>SUMIFS(df_mutuos!N:N,df_mutuos!B:B,Conciliacao!A395)*(-1)</f>
        <v/>
      </c>
      <c r="M395" s="8">
        <f>SUMIFS(df_bloqueios_judiciais!G:G,df_bloqueios_judiciais!D:D,Conciliacao!A395,df_bloqueios_judiciais!G:G,"&lt;0")</f>
        <v/>
      </c>
      <c r="N395" s="10">
        <f>SUMIFS(df_extratos!I:I,df_extratos!F:F,"&gt;="&amp;Conciliacao!BE395,df_extratos!F:F,"&lt;"&amp;Conciliacao!BE395+1,df_extratos!G:G,"DEBITO")
+SUMIFS(df_extratos!I:I,df_extratos!F:F,"&gt;="&amp;Conciliacao!A395, df_extratos!F:F,"&lt;"&amp;Conciliacao!A395+1, df_extratos!G:G,"DEBITO")
+SUMIFS(df_extratos!I:I,df_extratos!F:F,"&gt;="&amp;Conciliacao!BF395,df_extratos!F:F,"&lt;"&amp;Conciliacao!BF395+1,df_extratos!G:G,"DEBITO")
+SUMIFS(df_extratos!I:I,df_extratos!F:F,"&gt;="&amp;Conciliacao!BG395,df_extratos!F:F,"&lt;"&amp;Conciliacao!BG395+1,df_extratos!G:G,"DEBITO")
+SUMIFS(df_extratos!I:I,df_extratos!F:F,"&gt;="&amp;Conciliacao!BH395,df_extratos!F:F,"&lt;"&amp;Conciliacao!BH395+1,df_extratos!G:G,"DEBITO")</f>
        <v/>
      </c>
      <c r="O395" s="11">
        <f>N395-SUM(J395:M395)</f>
        <v/>
      </c>
      <c r="P395" s="25">
        <f>SUMIFS(df_ajustes_conciliaco!D:D,df_ajustes_conciliaco!C:C,Conciliacao!A395)</f>
        <v/>
      </c>
      <c r="Q395" s="22">
        <f>O395+I395-P395</f>
        <v/>
      </c>
    </row>
    <row r="396">
      <c r="A396" s="5">
        <f>A395+1</f>
        <v/>
      </c>
      <c r="B396" s="3">
        <f>-SUMIFS(df_extrato_zig!G:G,df_extrato_zig!E:E,Conciliacao!A396,df_extrato_zig!D:D,"Saque")-SUMIFS(df_extrato_zig!G:G,df_extrato_zig!E:E,Conciliacao!A396,df_extrato_zig!D:D,"Antecipação")</f>
        <v/>
      </c>
      <c r="C396" s="3">
        <f>SUMIFS(df_extrato_zig!E:E,df_extrato_zig!L:L,Conciliacao!A396,df_extrato_zig!F:F,"DINHEIRO")</f>
        <v/>
      </c>
      <c r="D396" s="3">
        <f>SUMIFS(view_parc_agrup!H:H,view_parc_agrup!G:G,Conciliacao!A396)</f>
        <v/>
      </c>
      <c r="E396" s="3">
        <f>SUMIFS(df_eventos!F:F,df_eventos!H:H,Conciliacao!A396)</f>
        <v/>
      </c>
      <c r="F396" s="3">
        <f>SUMIFS(df_mutuos!M:M,df_mutuos!B:B,Conciliacao!A396)</f>
        <v/>
      </c>
      <c r="G396" s="6">
        <f>SUMIFS(df_bloqueios_judiciais!G:G,df_bloqueios_judiciais!D:D,Conciliacao!A396,df_bloqueios_judiciais!G:G,"&gt;0")</f>
        <v/>
      </c>
      <c r="H396" s="7">
        <f>SUMIFS(df_extratos!I:I,df_extratos!F:F,"&gt;="&amp;Conciliacao!BE396,df_extratos!F:F,"&lt;"&amp;Conciliacao!BE396+1,df_extratos!G:G,"CREDITO")
+SUMIFS(df_extratos!I:I,df_extratos!F:F,"&gt;="&amp;Conciliacao!A396, df_extratos!F:F,"&lt;"&amp;Conciliacao!A396+1, df_extratos!G:G,"CREDITO")
+SUMIFS(df_extratos!I:I,df_extratos!F:F,"&gt;="&amp;Conciliacao!BF396,df_extratos!F:F,"&lt;"&amp;Conciliacao!BF396+1,df_extratos!G:G,"CREDITO")
+SUMIFS(df_extratos!I:I,df_extratos!F:F,"&gt;="&amp;Conciliacao!BG396,df_extratos!F:F,"&lt;"&amp;Conciliacao!BG396+1,df_extratos!G:G,"CREDITO")
+SUMIFS(df_extratos!I:I,df_extratos!F:F,"&gt;="&amp;Conciliacao!BH396,df_extratos!F:F,"&lt;"&amp;Conciliacao!BH396+1,df_extratos!G:G,"CREDITO")</f>
        <v/>
      </c>
      <c r="I396" s="9">
        <f>H396-SUM(B396:G396)</f>
        <v/>
      </c>
      <c r="J396" s="4">
        <f>SUMIFS(df_blueme_sem_parcelamento!E:E,df_blueme_sem_parcelamento!H:H,Conciliacao!A396)*(-1)</f>
        <v/>
      </c>
      <c r="K396" s="4">
        <f>SUMIFS(df_blueme_com_parcelamento!J:J,df_blueme_com_parcelamento!M:M,Conciliacao!A396)*(-1)</f>
        <v/>
      </c>
      <c r="L396" s="4">
        <f>SUMIFS(df_mutuos!N:N,df_mutuos!B:B,Conciliacao!A396)*(-1)</f>
        <v/>
      </c>
      <c r="M396" s="8">
        <f>SUMIFS(df_bloqueios_judiciais!G:G,df_bloqueios_judiciais!D:D,Conciliacao!A396,df_bloqueios_judiciais!G:G,"&lt;0")</f>
        <v/>
      </c>
      <c r="N396" s="10">
        <f>SUMIFS(df_extratos!I:I,df_extratos!F:F,"&gt;="&amp;Conciliacao!BE396,df_extratos!F:F,"&lt;"&amp;Conciliacao!BE396+1,df_extratos!G:G,"DEBITO")
+SUMIFS(df_extratos!I:I,df_extratos!F:F,"&gt;="&amp;Conciliacao!A396, df_extratos!F:F,"&lt;"&amp;Conciliacao!A396+1, df_extratos!G:G,"DEBITO")
+SUMIFS(df_extratos!I:I,df_extratos!F:F,"&gt;="&amp;Conciliacao!BF396,df_extratos!F:F,"&lt;"&amp;Conciliacao!BF396+1,df_extratos!G:G,"DEBITO")
+SUMIFS(df_extratos!I:I,df_extratos!F:F,"&gt;="&amp;Conciliacao!BG396,df_extratos!F:F,"&lt;"&amp;Conciliacao!BG396+1,df_extratos!G:G,"DEBITO")
+SUMIFS(df_extratos!I:I,df_extratos!F:F,"&gt;="&amp;Conciliacao!BH396,df_extratos!F:F,"&lt;"&amp;Conciliacao!BH396+1,df_extratos!G:G,"DEBITO")</f>
        <v/>
      </c>
      <c r="O396" s="11">
        <f>N396-SUM(J396:M396)</f>
        <v/>
      </c>
      <c r="P396" s="25">
        <f>SUMIFS(df_ajustes_conciliaco!D:D,df_ajustes_conciliaco!C:C,Conciliacao!A396)</f>
        <v/>
      </c>
      <c r="Q396" s="22">
        <f>O396+I396-P396</f>
        <v/>
      </c>
    </row>
    <row r="397">
      <c r="A397" s="5">
        <f>A396+1</f>
        <v/>
      </c>
      <c r="B397" s="3">
        <f>-SUMIFS(df_extrato_zig!G:G,df_extrato_zig!E:E,Conciliacao!A397,df_extrato_zig!D:D,"Saque")-SUMIFS(df_extrato_zig!G:G,df_extrato_zig!E:E,Conciliacao!A397,df_extrato_zig!D:D,"Antecipação")</f>
        <v/>
      </c>
      <c r="C397" s="3">
        <f>SUMIFS(df_extrato_zig!E:E,df_extrato_zig!L:L,Conciliacao!A397,df_extrato_zig!F:F,"DINHEIRO")</f>
        <v/>
      </c>
      <c r="D397" s="3">
        <f>SUMIFS(view_parc_agrup!H:H,view_parc_agrup!G:G,Conciliacao!A397)</f>
        <v/>
      </c>
      <c r="E397" s="3">
        <f>SUMIFS(df_eventos!F:F,df_eventos!H:H,Conciliacao!A397)</f>
        <v/>
      </c>
      <c r="F397" s="3">
        <f>SUMIFS(df_mutuos!M:M,df_mutuos!B:B,Conciliacao!A397)</f>
        <v/>
      </c>
      <c r="G397" s="6">
        <f>SUMIFS(df_bloqueios_judiciais!G:G,df_bloqueios_judiciais!D:D,Conciliacao!A397,df_bloqueios_judiciais!G:G,"&gt;0")</f>
        <v/>
      </c>
      <c r="H397" s="7">
        <f>SUMIFS(df_extratos!I:I,df_extratos!F:F,"&gt;="&amp;Conciliacao!BE397,df_extratos!F:F,"&lt;"&amp;Conciliacao!BE397+1,df_extratos!G:G,"CREDITO")
+SUMIFS(df_extratos!I:I,df_extratos!F:F,"&gt;="&amp;Conciliacao!A397, df_extratos!F:F,"&lt;"&amp;Conciliacao!A397+1, df_extratos!G:G,"CREDITO")
+SUMIFS(df_extratos!I:I,df_extratos!F:F,"&gt;="&amp;Conciliacao!BF397,df_extratos!F:F,"&lt;"&amp;Conciliacao!BF397+1,df_extratos!G:G,"CREDITO")
+SUMIFS(df_extratos!I:I,df_extratos!F:F,"&gt;="&amp;Conciliacao!BG397,df_extratos!F:F,"&lt;"&amp;Conciliacao!BG397+1,df_extratos!G:G,"CREDITO")
+SUMIFS(df_extratos!I:I,df_extratos!F:F,"&gt;="&amp;Conciliacao!BH397,df_extratos!F:F,"&lt;"&amp;Conciliacao!BH397+1,df_extratos!G:G,"CREDITO")</f>
        <v/>
      </c>
      <c r="I397" s="9">
        <f>H397-SUM(B397:G397)</f>
        <v/>
      </c>
      <c r="J397" s="4">
        <f>SUMIFS(df_blueme_sem_parcelamento!E:E,df_blueme_sem_parcelamento!H:H,Conciliacao!A397)*(-1)</f>
        <v/>
      </c>
      <c r="K397" s="4">
        <f>SUMIFS(df_blueme_com_parcelamento!J:J,df_blueme_com_parcelamento!M:M,Conciliacao!A397)*(-1)</f>
        <v/>
      </c>
      <c r="L397" s="4">
        <f>SUMIFS(df_mutuos!N:N,df_mutuos!B:B,Conciliacao!A397)*(-1)</f>
        <v/>
      </c>
      <c r="M397" s="8">
        <f>SUMIFS(df_bloqueios_judiciais!G:G,df_bloqueios_judiciais!D:D,Conciliacao!A397,df_bloqueios_judiciais!G:G,"&lt;0")</f>
        <v/>
      </c>
      <c r="N397" s="10">
        <f>SUMIFS(df_extratos!I:I,df_extratos!F:F,"&gt;="&amp;Conciliacao!BE397,df_extratos!F:F,"&lt;"&amp;Conciliacao!BE397+1,df_extratos!G:G,"DEBITO")
+SUMIFS(df_extratos!I:I,df_extratos!F:F,"&gt;="&amp;Conciliacao!A397, df_extratos!F:F,"&lt;"&amp;Conciliacao!A397+1, df_extratos!G:G,"DEBITO")
+SUMIFS(df_extratos!I:I,df_extratos!F:F,"&gt;="&amp;Conciliacao!BF397,df_extratos!F:F,"&lt;"&amp;Conciliacao!BF397+1,df_extratos!G:G,"DEBITO")
+SUMIFS(df_extratos!I:I,df_extratos!F:F,"&gt;="&amp;Conciliacao!BG397,df_extratos!F:F,"&lt;"&amp;Conciliacao!BG397+1,df_extratos!G:G,"DEBITO")
+SUMIFS(df_extratos!I:I,df_extratos!F:F,"&gt;="&amp;Conciliacao!BH397,df_extratos!F:F,"&lt;"&amp;Conciliacao!BH397+1,df_extratos!G:G,"DEBITO")</f>
        <v/>
      </c>
      <c r="O397" s="11">
        <f>N397-SUM(J397:M397)</f>
        <v/>
      </c>
      <c r="P397" s="25">
        <f>SUMIFS(df_ajustes_conciliaco!D:D,df_ajustes_conciliaco!C:C,Conciliacao!A397)</f>
        <v/>
      </c>
      <c r="Q397" s="22">
        <f>O397+I397-P397</f>
        <v/>
      </c>
    </row>
    <row r="398">
      <c r="A398" s="5">
        <f>A397+1</f>
        <v/>
      </c>
      <c r="B398" s="3">
        <f>-SUMIFS(df_extrato_zig!G:G,df_extrato_zig!E:E,Conciliacao!A398,df_extrato_zig!D:D,"Saque")-SUMIFS(df_extrato_zig!G:G,df_extrato_zig!E:E,Conciliacao!A398,df_extrato_zig!D:D,"Antecipação")</f>
        <v/>
      </c>
      <c r="C398" s="3">
        <f>SUMIFS(df_extrato_zig!E:E,df_extrato_zig!L:L,Conciliacao!A398,df_extrato_zig!F:F,"DINHEIRO")</f>
        <v/>
      </c>
      <c r="D398" s="3">
        <f>SUMIFS(view_parc_agrup!H:H,view_parc_agrup!G:G,Conciliacao!A398)</f>
        <v/>
      </c>
      <c r="E398" s="3">
        <f>SUMIFS(df_eventos!F:F,df_eventos!H:H,Conciliacao!A398)</f>
        <v/>
      </c>
      <c r="F398" s="3">
        <f>SUMIFS(df_mutuos!M:M,df_mutuos!B:B,Conciliacao!A398)</f>
        <v/>
      </c>
      <c r="G398" s="6">
        <f>SUMIFS(df_bloqueios_judiciais!G:G,df_bloqueios_judiciais!D:D,Conciliacao!A398,df_bloqueios_judiciais!G:G,"&gt;0")</f>
        <v/>
      </c>
      <c r="H398" s="7">
        <f>SUMIFS(df_extratos!I:I,df_extratos!F:F,"&gt;="&amp;Conciliacao!BE398,df_extratos!F:F,"&lt;"&amp;Conciliacao!BE398+1,df_extratos!G:G,"CREDITO")
+SUMIFS(df_extratos!I:I,df_extratos!F:F,"&gt;="&amp;Conciliacao!A398, df_extratos!F:F,"&lt;"&amp;Conciliacao!A398+1, df_extratos!G:G,"CREDITO")
+SUMIFS(df_extratos!I:I,df_extratos!F:F,"&gt;="&amp;Conciliacao!BF398,df_extratos!F:F,"&lt;"&amp;Conciliacao!BF398+1,df_extratos!G:G,"CREDITO")
+SUMIFS(df_extratos!I:I,df_extratos!F:F,"&gt;="&amp;Conciliacao!BG398,df_extratos!F:F,"&lt;"&amp;Conciliacao!BG398+1,df_extratos!G:G,"CREDITO")
+SUMIFS(df_extratos!I:I,df_extratos!F:F,"&gt;="&amp;Conciliacao!BH398,df_extratos!F:F,"&lt;"&amp;Conciliacao!BH398+1,df_extratos!G:G,"CREDITO")</f>
        <v/>
      </c>
      <c r="I398" s="9">
        <f>H398-SUM(B398:G398)</f>
        <v/>
      </c>
      <c r="J398" s="4">
        <f>SUMIFS(df_blueme_sem_parcelamento!E:E,df_blueme_sem_parcelamento!H:H,Conciliacao!A398)*(-1)</f>
        <v/>
      </c>
      <c r="K398" s="4">
        <f>SUMIFS(df_blueme_com_parcelamento!J:J,df_blueme_com_parcelamento!M:M,Conciliacao!A398)*(-1)</f>
        <v/>
      </c>
      <c r="L398" s="4">
        <f>SUMIFS(df_mutuos!N:N,df_mutuos!B:B,Conciliacao!A398)*(-1)</f>
        <v/>
      </c>
      <c r="M398" s="8">
        <f>SUMIFS(df_bloqueios_judiciais!G:G,df_bloqueios_judiciais!D:D,Conciliacao!A398,df_bloqueios_judiciais!G:G,"&lt;0")</f>
        <v/>
      </c>
      <c r="N398" s="10">
        <f>SUMIFS(df_extratos!I:I,df_extratos!F:F,"&gt;="&amp;Conciliacao!BE398,df_extratos!F:F,"&lt;"&amp;Conciliacao!BE398+1,df_extratos!G:G,"DEBITO")
+SUMIFS(df_extratos!I:I,df_extratos!F:F,"&gt;="&amp;Conciliacao!A398, df_extratos!F:F,"&lt;"&amp;Conciliacao!A398+1, df_extratos!G:G,"DEBITO")
+SUMIFS(df_extratos!I:I,df_extratos!F:F,"&gt;="&amp;Conciliacao!BF398,df_extratos!F:F,"&lt;"&amp;Conciliacao!BF398+1,df_extratos!G:G,"DEBITO")
+SUMIFS(df_extratos!I:I,df_extratos!F:F,"&gt;="&amp;Conciliacao!BG398,df_extratos!F:F,"&lt;"&amp;Conciliacao!BG398+1,df_extratos!G:G,"DEBITO")
+SUMIFS(df_extratos!I:I,df_extratos!F:F,"&gt;="&amp;Conciliacao!BH398,df_extratos!F:F,"&lt;"&amp;Conciliacao!BH398+1,df_extratos!G:G,"DEBITO")</f>
        <v/>
      </c>
      <c r="O398" s="11">
        <f>N398-SUM(J398:M398)</f>
        <v/>
      </c>
      <c r="P398" s="25">
        <f>SUMIFS(df_ajustes_conciliaco!D:D,df_ajustes_conciliaco!C:C,Conciliacao!A398)</f>
        <v/>
      </c>
      <c r="Q398" s="22">
        <f>O398+I398-P398</f>
        <v/>
      </c>
    </row>
    <row r="399">
      <c r="A399" s="5">
        <f>A398+1</f>
        <v/>
      </c>
      <c r="B399" s="3">
        <f>-SUMIFS(df_extrato_zig!G:G,df_extrato_zig!E:E,Conciliacao!A399,df_extrato_zig!D:D,"Saque")-SUMIFS(df_extrato_zig!G:G,df_extrato_zig!E:E,Conciliacao!A399,df_extrato_zig!D:D,"Antecipação")</f>
        <v/>
      </c>
      <c r="C399" s="3">
        <f>SUMIFS(df_extrato_zig!E:E,df_extrato_zig!L:L,Conciliacao!A399,df_extrato_zig!F:F,"DINHEIRO")</f>
        <v/>
      </c>
      <c r="D399" s="3">
        <f>SUMIFS(view_parc_agrup!H:H,view_parc_agrup!G:G,Conciliacao!A399)</f>
        <v/>
      </c>
      <c r="E399" s="3">
        <f>SUMIFS(df_eventos!F:F,df_eventos!H:H,Conciliacao!A399)</f>
        <v/>
      </c>
      <c r="F399" s="3">
        <f>SUMIFS(df_mutuos!M:M,df_mutuos!B:B,Conciliacao!A399)</f>
        <v/>
      </c>
      <c r="G399" s="6">
        <f>SUMIFS(df_bloqueios_judiciais!G:G,df_bloqueios_judiciais!D:D,Conciliacao!A399,df_bloqueios_judiciais!G:G,"&gt;0")</f>
        <v/>
      </c>
      <c r="H399" s="7">
        <f>SUMIFS(df_extratos!I:I,df_extratos!F:F,"&gt;="&amp;Conciliacao!BE399,df_extratos!F:F,"&lt;"&amp;Conciliacao!BE399+1,df_extratos!G:G,"CREDITO")
+SUMIFS(df_extratos!I:I,df_extratos!F:F,"&gt;="&amp;Conciliacao!A399, df_extratos!F:F,"&lt;"&amp;Conciliacao!A399+1, df_extratos!G:G,"CREDITO")
+SUMIFS(df_extratos!I:I,df_extratos!F:F,"&gt;="&amp;Conciliacao!BF399,df_extratos!F:F,"&lt;"&amp;Conciliacao!BF399+1,df_extratos!G:G,"CREDITO")
+SUMIFS(df_extratos!I:I,df_extratos!F:F,"&gt;="&amp;Conciliacao!BG399,df_extratos!F:F,"&lt;"&amp;Conciliacao!BG399+1,df_extratos!G:G,"CREDITO")
+SUMIFS(df_extratos!I:I,df_extratos!F:F,"&gt;="&amp;Conciliacao!BH399,df_extratos!F:F,"&lt;"&amp;Conciliacao!BH399+1,df_extratos!G:G,"CREDITO")</f>
        <v/>
      </c>
      <c r="I399" s="9">
        <f>H399-SUM(B399:G399)</f>
        <v/>
      </c>
      <c r="J399" s="4">
        <f>SUMIFS(df_blueme_sem_parcelamento!E:E,df_blueme_sem_parcelamento!H:H,Conciliacao!A399)*(-1)</f>
        <v/>
      </c>
      <c r="K399" s="4">
        <f>SUMIFS(df_blueme_com_parcelamento!J:J,df_blueme_com_parcelamento!M:M,Conciliacao!A399)*(-1)</f>
        <v/>
      </c>
      <c r="L399" s="4">
        <f>SUMIFS(df_mutuos!N:N,df_mutuos!B:B,Conciliacao!A399)*(-1)</f>
        <v/>
      </c>
      <c r="M399" s="8">
        <f>SUMIFS(df_bloqueios_judiciais!G:G,df_bloqueios_judiciais!D:D,Conciliacao!A399,df_bloqueios_judiciais!G:G,"&lt;0")</f>
        <v/>
      </c>
      <c r="N399" s="10">
        <f>SUMIFS(df_extratos!I:I,df_extratos!F:F,"&gt;="&amp;Conciliacao!BE399,df_extratos!F:F,"&lt;"&amp;Conciliacao!BE399+1,df_extratos!G:G,"DEBITO")
+SUMIFS(df_extratos!I:I,df_extratos!F:F,"&gt;="&amp;Conciliacao!A399, df_extratos!F:F,"&lt;"&amp;Conciliacao!A399+1, df_extratos!G:G,"DEBITO")
+SUMIFS(df_extratos!I:I,df_extratos!F:F,"&gt;="&amp;Conciliacao!BF399,df_extratos!F:F,"&lt;"&amp;Conciliacao!BF399+1,df_extratos!G:G,"DEBITO")
+SUMIFS(df_extratos!I:I,df_extratos!F:F,"&gt;="&amp;Conciliacao!BG399,df_extratos!F:F,"&lt;"&amp;Conciliacao!BG399+1,df_extratos!G:G,"DEBITO")
+SUMIFS(df_extratos!I:I,df_extratos!F:F,"&gt;="&amp;Conciliacao!BH399,df_extratos!F:F,"&lt;"&amp;Conciliacao!BH399+1,df_extratos!G:G,"DEBITO")</f>
        <v/>
      </c>
      <c r="O399" s="11">
        <f>N399-SUM(J399:M399)</f>
        <v/>
      </c>
      <c r="P399" s="25">
        <f>SUMIFS(df_ajustes_conciliaco!D:D,df_ajustes_conciliaco!C:C,Conciliacao!A399)</f>
        <v/>
      </c>
      <c r="Q399" s="22">
        <f>O399+I399-P399</f>
        <v/>
      </c>
    </row>
    <row r="400">
      <c r="A400" s="5">
        <f>A399+1</f>
        <v/>
      </c>
      <c r="B400" s="3">
        <f>-SUMIFS(df_extrato_zig!G:G,df_extrato_zig!E:E,Conciliacao!A400,df_extrato_zig!D:D,"Saque")-SUMIFS(df_extrato_zig!G:G,df_extrato_zig!E:E,Conciliacao!A400,df_extrato_zig!D:D,"Antecipação")</f>
        <v/>
      </c>
      <c r="C400" s="3">
        <f>SUMIFS(df_extrato_zig!E:E,df_extrato_zig!L:L,Conciliacao!A400,df_extrato_zig!F:F,"DINHEIRO")</f>
        <v/>
      </c>
      <c r="D400" s="3">
        <f>SUMIFS(view_parc_agrup!H:H,view_parc_agrup!G:G,Conciliacao!A400)</f>
        <v/>
      </c>
      <c r="E400" s="3">
        <f>SUMIFS(df_eventos!F:F,df_eventos!H:H,Conciliacao!A400)</f>
        <v/>
      </c>
      <c r="F400" s="3">
        <f>SUMIFS(df_mutuos!M:M,df_mutuos!B:B,Conciliacao!A400)</f>
        <v/>
      </c>
      <c r="G400" s="6">
        <f>SUMIFS(df_bloqueios_judiciais!G:G,df_bloqueios_judiciais!D:D,Conciliacao!A400,df_bloqueios_judiciais!G:G,"&gt;0")</f>
        <v/>
      </c>
      <c r="H400" s="7">
        <f>SUMIFS(df_extratos!I:I,df_extratos!F:F,"&gt;="&amp;Conciliacao!BE400,df_extratos!F:F,"&lt;"&amp;Conciliacao!BE400+1,df_extratos!G:G,"CREDITO")
+SUMIFS(df_extratos!I:I,df_extratos!F:F,"&gt;="&amp;Conciliacao!A400, df_extratos!F:F,"&lt;"&amp;Conciliacao!A400+1, df_extratos!G:G,"CREDITO")
+SUMIFS(df_extratos!I:I,df_extratos!F:F,"&gt;="&amp;Conciliacao!BF400,df_extratos!F:F,"&lt;"&amp;Conciliacao!BF400+1,df_extratos!G:G,"CREDITO")
+SUMIFS(df_extratos!I:I,df_extratos!F:F,"&gt;="&amp;Conciliacao!BG400,df_extratos!F:F,"&lt;"&amp;Conciliacao!BG400+1,df_extratos!G:G,"CREDITO")
+SUMIFS(df_extratos!I:I,df_extratos!F:F,"&gt;="&amp;Conciliacao!BH400,df_extratos!F:F,"&lt;"&amp;Conciliacao!BH400+1,df_extratos!G:G,"CREDITO")</f>
        <v/>
      </c>
      <c r="I400" s="9">
        <f>H400-SUM(B400:G400)</f>
        <v/>
      </c>
      <c r="J400" s="4">
        <f>SUMIFS(df_blueme_sem_parcelamento!E:E,df_blueme_sem_parcelamento!H:H,Conciliacao!A400)*(-1)</f>
        <v/>
      </c>
      <c r="K400" s="4">
        <f>SUMIFS(df_blueme_com_parcelamento!J:J,df_blueme_com_parcelamento!M:M,Conciliacao!A400)*(-1)</f>
        <v/>
      </c>
      <c r="L400" s="4">
        <f>SUMIFS(df_mutuos!N:N,df_mutuos!B:B,Conciliacao!A400)*(-1)</f>
        <v/>
      </c>
      <c r="M400" s="8">
        <f>SUMIFS(df_bloqueios_judiciais!G:G,df_bloqueios_judiciais!D:D,Conciliacao!A400,df_bloqueios_judiciais!G:G,"&lt;0")</f>
        <v/>
      </c>
      <c r="N400" s="10">
        <f>SUMIFS(df_extratos!I:I,df_extratos!F:F,"&gt;="&amp;Conciliacao!BE400,df_extratos!F:F,"&lt;"&amp;Conciliacao!BE400+1,df_extratos!G:G,"DEBITO")
+SUMIFS(df_extratos!I:I,df_extratos!F:F,"&gt;="&amp;Conciliacao!A400, df_extratos!F:F,"&lt;"&amp;Conciliacao!A400+1, df_extratos!G:G,"DEBITO")
+SUMIFS(df_extratos!I:I,df_extratos!F:F,"&gt;="&amp;Conciliacao!BF400,df_extratos!F:F,"&lt;"&amp;Conciliacao!BF400+1,df_extratos!G:G,"DEBITO")
+SUMIFS(df_extratos!I:I,df_extratos!F:F,"&gt;="&amp;Conciliacao!BG400,df_extratos!F:F,"&lt;"&amp;Conciliacao!BG400+1,df_extratos!G:G,"DEBITO")
+SUMIFS(df_extratos!I:I,df_extratos!F:F,"&gt;="&amp;Conciliacao!BH400,df_extratos!F:F,"&lt;"&amp;Conciliacao!BH400+1,df_extratos!G:G,"DEBITO")</f>
        <v/>
      </c>
      <c r="O400" s="11">
        <f>N400-SUM(J400:M400)</f>
        <v/>
      </c>
      <c r="P400" s="25">
        <f>SUMIFS(df_ajustes_conciliaco!D:D,df_ajustes_conciliaco!C:C,Conciliacao!A400)</f>
        <v/>
      </c>
      <c r="Q400" s="22">
        <f>O400+I400-P400</f>
        <v/>
      </c>
    </row>
    <row r="401">
      <c r="A401" s="5">
        <f>A400+1</f>
        <v/>
      </c>
      <c r="B401" s="3">
        <f>-SUMIFS(df_extrato_zig!G:G,df_extrato_zig!E:E,Conciliacao!A401,df_extrato_zig!D:D,"Saque")-SUMIFS(df_extrato_zig!G:G,df_extrato_zig!E:E,Conciliacao!A401,df_extrato_zig!D:D,"Antecipação")</f>
        <v/>
      </c>
      <c r="C401" s="3">
        <f>SUMIFS(df_extrato_zig!E:E,df_extrato_zig!L:L,Conciliacao!A401,df_extrato_zig!F:F,"DINHEIRO")</f>
        <v/>
      </c>
      <c r="D401" s="3">
        <f>SUMIFS(view_parc_agrup!H:H,view_parc_agrup!G:G,Conciliacao!A401)</f>
        <v/>
      </c>
      <c r="E401" s="3">
        <f>SUMIFS(df_eventos!F:F,df_eventos!H:H,Conciliacao!A401)</f>
        <v/>
      </c>
      <c r="F401" s="3">
        <f>SUMIFS(df_mutuos!M:M,df_mutuos!B:B,Conciliacao!A401)</f>
        <v/>
      </c>
      <c r="G401" s="6">
        <f>SUMIFS(df_bloqueios_judiciais!G:G,df_bloqueios_judiciais!D:D,Conciliacao!A401,df_bloqueios_judiciais!G:G,"&gt;0")</f>
        <v/>
      </c>
      <c r="H401" s="7">
        <f>SUMIFS(df_extratos!I:I,df_extratos!F:F,"&gt;="&amp;Conciliacao!BE401,df_extratos!F:F,"&lt;"&amp;Conciliacao!BE401+1,df_extratos!G:G,"CREDITO")
+SUMIFS(df_extratos!I:I,df_extratos!F:F,"&gt;="&amp;Conciliacao!A401, df_extratos!F:F,"&lt;"&amp;Conciliacao!A401+1, df_extratos!G:G,"CREDITO")
+SUMIFS(df_extratos!I:I,df_extratos!F:F,"&gt;="&amp;Conciliacao!BF401,df_extratos!F:F,"&lt;"&amp;Conciliacao!BF401+1,df_extratos!G:G,"CREDITO")
+SUMIFS(df_extratos!I:I,df_extratos!F:F,"&gt;="&amp;Conciliacao!BG401,df_extratos!F:F,"&lt;"&amp;Conciliacao!BG401+1,df_extratos!G:G,"CREDITO")
+SUMIFS(df_extratos!I:I,df_extratos!F:F,"&gt;="&amp;Conciliacao!BH401,df_extratos!F:F,"&lt;"&amp;Conciliacao!BH401+1,df_extratos!G:G,"CREDITO")</f>
        <v/>
      </c>
      <c r="I401" s="9">
        <f>H401-SUM(B401:G401)</f>
        <v/>
      </c>
      <c r="J401" s="4">
        <f>SUMIFS(df_blueme_sem_parcelamento!E:E,df_blueme_sem_parcelamento!H:H,Conciliacao!A401)*(-1)</f>
        <v/>
      </c>
      <c r="K401" s="4">
        <f>SUMIFS(df_blueme_com_parcelamento!J:J,df_blueme_com_parcelamento!M:M,Conciliacao!A401)*(-1)</f>
        <v/>
      </c>
      <c r="L401" s="4">
        <f>SUMIFS(df_mutuos!N:N,df_mutuos!B:B,Conciliacao!A401)*(-1)</f>
        <v/>
      </c>
      <c r="M401" s="8">
        <f>SUMIFS(df_bloqueios_judiciais!G:G,df_bloqueios_judiciais!D:D,Conciliacao!A401,df_bloqueios_judiciais!G:G,"&lt;0")</f>
        <v/>
      </c>
      <c r="N401" s="10">
        <f>SUMIFS(df_extratos!I:I,df_extratos!F:F,"&gt;="&amp;Conciliacao!BE401,df_extratos!F:F,"&lt;"&amp;Conciliacao!BE401+1,df_extratos!G:G,"DEBITO")
+SUMIFS(df_extratos!I:I,df_extratos!F:F,"&gt;="&amp;Conciliacao!A401, df_extratos!F:F,"&lt;"&amp;Conciliacao!A401+1, df_extratos!G:G,"DEBITO")
+SUMIFS(df_extratos!I:I,df_extratos!F:F,"&gt;="&amp;Conciliacao!BF401,df_extratos!F:F,"&lt;"&amp;Conciliacao!BF401+1,df_extratos!G:G,"DEBITO")
+SUMIFS(df_extratos!I:I,df_extratos!F:F,"&gt;="&amp;Conciliacao!BG401,df_extratos!F:F,"&lt;"&amp;Conciliacao!BG401+1,df_extratos!G:G,"DEBITO")
+SUMIFS(df_extratos!I:I,df_extratos!F:F,"&gt;="&amp;Conciliacao!BH401,df_extratos!F:F,"&lt;"&amp;Conciliacao!BH401+1,df_extratos!G:G,"DEBITO")</f>
        <v/>
      </c>
      <c r="O401" s="11">
        <f>N401-SUM(J401:M401)</f>
        <v/>
      </c>
      <c r="P401" s="25">
        <f>SUMIFS(df_ajustes_conciliaco!D:D,df_ajustes_conciliaco!C:C,Conciliacao!A401)</f>
        <v/>
      </c>
      <c r="Q401" s="22">
        <f>O401+I401-P401</f>
        <v/>
      </c>
    </row>
    <row r="402">
      <c r="A402" s="5">
        <f>A401+1</f>
        <v/>
      </c>
      <c r="B402" s="3">
        <f>-SUMIFS(df_extrato_zig!G:G,df_extrato_zig!E:E,Conciliacao!A402,df_extrato_zig!D:D,"Saque")-SUMIFS(df_extrato_zig!G:G,df_extrato_zig!E:E,Conciliacao!A402,df_extrato_zig!D:D,"Antecipação")</f>
        <v/>
      </c>
      <c r="C402" s="3">
        <f>SUMIFS(df_extrato_zig!E:E,df_extrato_zig!L:L,Conciliacao!A402,df_extrato_zig!F:F,"DINHEIRO")</f>
        <v/>
      </c>
      <c r="D402" s="3">
        <f>SUMIFS(view_parc_agrup!H:H,view_parc_agrup!G:G,Conciliacao!A402)</f>
        <v/>
      </c>
      <c r="E402" s="3">
        <f>SUMIFS(df_eventos!F:F,df_eventos!H:H,Conciliacao!A402)</f>
        <v/>
      </c>
      <c r="F402" s="3">
        <f>SUMIFS(df_mutuos!M:M,df_mutuos!B:B,Conciliacao!A402)</f>
        <v/>
      </c>
      <c r="G402" s="6">
        <f>SUMIFS(df_bloqueios_judiciais!G:G,df_bloqueios_judiciais!D:D,Conciliacao!A402,df_bloqueios_judiciais!G:G,"&gt;0")</f>
        <v/>
      </c>
      <c r="H402" s="7">
        <f>SUMIFS(df_extratos!I:I,df_extratos!F:F,"&gt;="&amp;Conciliacao!BE402,df_extratos!F:F,"&lt;"&amp;Conciliacao!BE402+1,df_extratos!G:G,"CREDITO")
+SUMIFS(df_extratos!I:I,df_extratos!F:F,"&gt;="&amp;Conciliacao!A402, df_extratos!F:F,"&lt;"&amp;Conciliacao!A402+1, df_extratos!G:G,"CREDITO")
+SUMIFS(df_extratos!I:I,df_extratos!F:F,"&gt;="&amp;Conciliacao!BF402,df_extratos!F:F,"&lt;"&amp;Conciliacao!BF402+1,df_extratos!G:G,"CREDITO")
+SUMIFS(df_extratos!I:I,df_extratos!F:F,"&gt;="&amp;Conciliacao!BG402,df_extratos!F:F,"&lt;"&amp;Conciliacao!BG402+1,df_extratos!G:G,"CREDITO")
+SUMIFS(df_extratos!I:I,df_extratos!F:F,"&gt;="&amp;Conciliacao!BH402,df_extratos!F:F,"&lt;"&amp;Conciliacao!BH402+1,df_extratos!G:G,"CREDITO")</f>
        <v/>
      </c>
      <c r="I402" s="9">
        <f>H402-SUM(B402:G402)</f>
        <v/>
      </c>
      <c r="J402" s="4">
        <f>SUMIFS(df_blueme_sem_parcelamento!E:E,df_blueme_sem_parcelamento!H:H,Conciliacao!A402)*(-1)</f>
        <v/>
      </c>
      <c r="K402" s="4">
        <f>SUMIFS(df_blueme_com_parcelamento!J:J,df_blueme_com_parcelamento!M:M,Conciliacao!A402)*(-1)</f>
        <v/>
      </c>
      <c r="L402" s="4">
        <f>SUMIFS(df_mutuos!N:N,df_mutuos!B:B,Conciliacao!A402)*(-1)</f>
        <v/>
      </c>
      <c r="M402" s="8">
        <f>SUMIFS(df_bloqueios_judiciais!G:G,df_bloqueios_judiciais!D:D,Conciliacao!A402,df_bloqueios_judiciais!G:G,"&lt;0")</f>
        <v/>
      </c>
      <c r="N402" s="10">
        <f>SUMIFS(df_extratos!I:I,df_extratos!F:F,"&gt;="&amp;Conciliacao!BE402,df_extratos!F:F,"&lt;"&amp;Conciliacao!BE402+1,df_extratos!G:G,"DEBITO")
+SUMIFS(df_extratos!I:I,df_extratos!F:F,"&gt;="&amp;Conciliacao!A402, df_extratos!F:F,"&lt;"&amp;Conciliacao!A402+1, df_extratos!G:G,"DEBITO")
+SUMIFS(df_extratos!I:I,df_extratos!F:F,"&gt;="&amp;Conciliacao!BF402,df_extratos!F:F,"&lt;"&amp;Conciliacao!BF402+1,df_extratos!G:G,"DEBITO")
+SUMIFS(df_extratos!I:I,df_extratos!F:F,"&gt;="&amp;Conciliacao!BG402,df_extratos!F:F,"&lt;"&amp;Conciliacao!BG402+1,df_extratos!G:G,"DEBITO")
+SUMIFS(df_extratos!I:I,df_extratos!F:F,"&gt;="&amp;Conciliacao!BH402,df_extratos!F:F,"&lt;"&amp;Conciliacao!BH402+1,df_extratos!G:G,"DEBITO")</f>
        <v/>
      </c>
      <c r="O402" s="11">
        <f>N402-SUM(J402:M402)</f>
        <v/>
      </c>
      <c r="P402" s="25">
        <f>SUMIFS(df_ajustes_conciliaco!D:D,df_ajustes_conciliaco!C:C,Conciliacao!A402)</f>
        <v/>
      </c>
      <c r="Q402" s="22">
        <f>O402+I402-P402</f>
        <v/>
      </c>
    </row>
    <row r="403">
      <c r="A403" s="5">
        <f>A402+1</f>
        <v/>
      </c>
      <c r="B403" s="3">
        <f>-SUMIFS(df_extrato_zig!G:G,df_extrato_zig!E:E,Conciliacao!A403,df_extrato_zig!D:D,"Saque")-SUMIFS(df_extrato_zig!G:G,df_extrato_zig!E:E,Conciliacao!A403,df_extrato_zig!D:D,"Antecipação")</f>
        <v/>
      </c>
      <c r="C403" s="3">
        <f>SUMIFS(df_extrato_zig!E:E,df_extrato_zig!L:L,Conciliacao!A403,df_extrato_zig!F:F,"DINHEIRO")</f>
        <v/>
      </c>
      <c r="D403" s="3">
        <f>SUMIFS(view_parc_agrup!H:H,view_parc_agrup!G:G,Conciliacao!A403)</f>
        <v/>
      </c>
      <c r="E403" s="3">
        <f>SUMIFS(df_eventos!F:F,df_eventos!H:H,Conciliacao!A403)</f>
        <v/>
      </c>
      <c r="F403" s="3">
        <f>SUMIFS(df_mutuos!M:M,df_mutuos!B:B,Conciliacao!A403)</f>
        <v/>
      </c>
      <c r="G403" s="6">
        <f>SUMIFS(df_bloqueios_judiciais!G:G,df_bloqueios_judiciais!D:D,Conciliacao!A403,df_bloqueios_judiciais!G:G,"&gt;0")</f>
        <v/>
      </c>
      <c r="H403" s="7">
        <f>SUMIFS(df_extratos!I:I,df_extratos!F:F,"&gt;="&amp;Conciliacao!BE403,df_extratos!F:F,"&lt;"&amp;Conciliacao!BE403+1,df_extratos!G:G,"CREDITO")
+SUMIFS(df_extratos!I:I,df_extratos!F:F,"&gt;="&amp;Conciliacao!A403, df_extratos!F:F,"&lt;"&amp;Conciliacao!A403+1, df_extratos!G:G,"CREDITO")
+SUMIFS(df_extratos!I:I,df_extratos!F:F,"&gt;="&amp;Conciliacao!BF403,df_extratos!F:F,"&lt;"&amp;Conciliacao!BF403+1,df_extratos!G:G,"CREDITO")
+SUMIFS(df_extratos!I:I,df_extratos!F:F,"&gt;="&amp;Conciliacao!BG403,df_extratos!F:F,"&lt;"&amp;Conciliacao!BG403+1,df_extratos!G:G,"CREDITO")
+SUMIFS(df_extratos!I:I,df_extratos!F:F,"&gt;="&amp;Conciliacao!BH403,df_extratos!F:F,"&lt;"&amp;Conciliacao!BH403+1,df_extratos!G:G,"CREDITO")</f>
        <v/>
      </c>
      <c r="I403" s="9">
        <f>H403-SUM(B403:G403)</f>
        <v/>
      </c>
      <c r="J403" s="4">
        <f>SUMIFS(df_blueme_sem_parcelamento!E:E,df_blueme_sem_parcelamento!H:H,Conciliacao!A403)*(-1)</f>
        <v/>
      </c>
      <c r="K403" s="4">
        <f>SUMIFS(df_blueme_com_parcelamento!J:J,df_blueme_com_parcelamento!M:M,Conciliacao!A403)*(-1)</f>
        <v/>
      </c>
      <c r="L403" s="4">
        <f>SUMIFS(df_mutuos!N:N,df_mutuos!B:B,Conciliacao!A403)*(-1)</f>
        <v/>
      </c>
      <c r="M403" s="8">
        <f>SUMIFS(df_bloqueios_judiciais!G:G,df_bloqueios_judiciais!D:D,Conciliacao!A403,df_bloqueios_judiciais!G:G,"&lt;0")</f>
        <v/>
      </c>
      <c r="N403" s="10">
        <f>SUMIFS(df_extratos!I:I,df_extratos!F:F,"&gt;="&amp;Conciliacao!BE403,df_extratos!F:F,"&lt;"&amp;Conciliacao!BE403+1,df_extratos!G:G,"DEBITO")
+SUMIFS(df_extratos!I:I,df_extratos!F:F,"&gt;="&amp;Conciliacao!A403, df_extratos!F:F,"&lt;"&amp;Conciliacao!A403+1, df_extratos!G:G,"DEBITO")
+SUMIFS(df_extratos!I:I,df_extratos!F:F,"&gt;="&amp;Conciliacao!BF403,df_extratos!F:F,"&lt;"&amp;Conciliacao!BF403+1,df_extratos!G:G,"DEBITO")
+SUMIFS(df_extratos!I:I,df_extratos!F:F,"&gt;="&amp;Conciliacao!BG403,df_extratos!F:F,"&lt;"&amp;Conciliacao!BG403+1,df_extratos!G:G,"DEBITO")
+SUMIFS(df_extratos!I:I,df_extratos!F:F,"&gt;="&amp;Conciliacao!BH403,df_extratos!F:F,"&lt;"&amp;Conciliacao!BH403+1,df_extratos!G:G,"DEBITO")</f>
        <v/>
      </c>
      <c r="O403" s="11">
        <f>N403-SUM(J403:M403)</f>
        <v/>
      </c>
      <c r="P403" s="25">
        <f>SUMIFS(df_ajustes_conciliaco!D:D,df_ajustes_conciliaco!C:C,Conciliacao!A403)</f>
        <v/>
      </c>
      <c r="Q403" s="22">
        <f>O403+I403-P403</f>
        <v/>
      </c>
    </row>
    <row r="404">
      <c r="A404" s="5">
        <f>A403+1</f>
        <v/>
      </c>
      <c r="B404" s="3">
        <f>-SUMIFS(df_extrato_zig!G:G,df_extrato_zig!E:E,Conciliacao!A404,df_extrato_zig!D:D,"Saque")-SUMIFS(df_extrato_zig!G:G,df_extrato_zig!E:E,Conciliacao!A404,df_extrato_zig!D:D,"Antecipação")</f>
        <v/>
      </c>
      <c r="C404" s="3">
        <f>SUMIFS(df_extrato_zig!E:E,df_extrato_zig!L:L,Conciliacao!A404,df_extrato_zig!F:F,"DINHEIRO")</f>
        <v/>
      </c>
      <c r="D404" s="3">
        <f>SUMIFS(view_parc_agrup!H:H,view_parc_agrup!G:G,Conciliacao!A404)</f>
        <v/>
      </c>
      <c r="E404" s="3">
        <f>SUMIFS(df_eventos!F:F,df_eventos!H:H,Conciliacao!A404)</f>
        <v/>
      </c>
      <c r="F404" s="3">
        <f>SUMIFS(df_mutuos!M:M,df_mutuos!B:B,Conciliacao!A404)</f>
        <v/>
      </c>
      <c r="G404" s="6">
        <f>SUMIFS(df_bloqueios_judiciais!G:G,df_bloqueios_judiciais!D:D,Conciliacao!A404,df_bloqueios_judiciais!G:G,"&gt;0")</f>
        <v/>
      </c>
      <c r="H404" s="7">
        <f>SUMIFS(df_extratos!I:I,df_extratos!F:F,"&gt;="&amp;Conciliacao!BE404,df_extratos!F:F,"&lt;"&amp;Conciliacao!BE404+1,df_extratos!G:G,"CREDITO")
+SUMIFS(df_extratos!I:I,df_extratos!F:F,"&gt;="&amp;Conciliacao!A404, df_extratos!F:F,"&lt;"&amp;Conciliacao!A404+1, df_extratos!G:G,"CREDITO")
+SUMIFS(df_extratos!I:I,df_extratos!F:F,"&gt;="&amp;Conciliacao!BF404,df_extratos!F:F,"&lt;"&amp;Conciliacao!BF404+1,df_extratos!G:G,"CREDITO")
+SUMIFS(df_extratos!I:I,df_extratos!F:F,"&gt;="&amp;Conciliacao!BG404,df_extratos!F:F,"&lt;"&amp;Conciliacao!BG404+1,df_extratos!G:G,"CREDITO")
+SUMIFS(df_extratos!I:I,df_extratos!F:F,"&gt;="&amp;Conciliacao!BH404,df_extratos!F:F,"&lt;"&amp;Conciliacao!BH404+1,df_extratos!G:G,"CREDITO")</f>
        <v/>
      </c>
      <c r="I404" s="9">
        <f>H404-SUM(B404:G404)</f>
        <v/>
      </c>
      <c r="J404" s="4">
        <f>SUMIFS(df_blueme_sem_parcelamento!E:E,df_blueme_sem_parcelamento!H:H,Conciliacao!A404)*(-1)</f>
        <v/>
      </c>
      <c r="K404" s="4">
        <f>SUMIFS(df_blueme_com_parcelamento!J:J,df_blueme_com_parcelamento!M:M,Conciliacao!A404)*(-1)</f>
        <v/>
      </c>
      <c r="L404" s="4">
        <f>SUMIFS(df_mutuos!N:N,df_mutuos!B:B,Conciliacao!A404)*(-1)</f>
        <v/>
      </c>
      <c r="M404" s="8">
        <f>SUMIFS(df_bloqueios_judiciais!G:G,df_bloqueios_judiciais!D:D,Conciliacao!A404,df_bloqueios_judiciais!G:G,"&lt;0")</f>
        <v/>
      </c>
      <c r="N404" s="10">
        <f>SUMIFS(df_extratos!I:I,df_extratos!F:F,"&gt;="&amp;Conciliacao!BE404,df_extratos!F:F,"&lt;"&amp;Conciliacao!BE404+1,df_extratos!G:G,"DEBITO")
+SUMIFS(df_extratos!I:I,df_extratos!F:F,"&gt;="&amp;Conciliacao!A404, df_extratos!F:F,"&lt;"&amp;Conciliacao!A404+1, df_extratos!G:G,"DEBITO")
+SUMIFS(df_extratos!I:I,df_extratos!F:F,"&gt;="&amp;Conciliacao!BF404,df_extratos!F:F,"&lt;"&amp;Conciliacao!BF404+1,df_extratos!G:G,"DEBITO")
+SUMIFS(df_extratos!I:I,df_extratos!F:F,"&gt;="&amp;Conciliacao!BG404,df_extratos!F:F,"&lt;"&amp;Conciliacao!BG404+1,df_extratos!G:G,"DEBITO")
+SUMIFS(df_extratos!I:I,df_extratos!F:F,"&gt;="&amp;Conciliacao!BH404,df_extratos!F:F,"&lt;"&amp;Conciliacao!BH404+1,df_extratos!G:G,"DEBITO")</f>
        <v/>
      </c>
      <c r="O404" s="11">
        <f>N404-SUM(J404:M404)</f>
        <v/>
      </c>
      <c r="P404" s="25">
        <f>SUMIFS(df_ajustes_conciliaco!D:D,df_ajustes_conciliaco!C:C,Conciliacao!A404)</f>
        <v/>
      </c>
      <c r="Q404" s="22">
        <f>O404+I404-P404</f>
        <v/>
      </c>
    </row>
    <row r="405">
      <c r="A405" s="5">
        <f>A404+1</f>
        <v/>
      </c>
      <c r="B405" s="3">
        <f>-SUMIFS(df_extrato_zig!G:G,df_extrato_zig!E:E,Conciliacao!A405,df_extrato_zig!D:D,"Saque")-SUMIFS(df_extrato_zig!G:G,df_extrato_zig!E:E,Conciliacao!A405,df_extrato_zig!D:D,"Antecipação")</f>
        <v/>
      </c>
      <c r="C405" s="3">
        <f>SUMIFS(df_extrato_zig!E:E,df_extrato_zig!L:L,Conciliacao!A405,df_extrato_zig!F:F,"DINHEIRO")</f>
        <v/>
      </c>
      <c r="D405" s="3">
        <f>SUMIFS(view_parc_agrup!H:H,view_parc_agrup!G:G,Conciliacao!A405)</f>
        <v/>
      </c>
      <c r="E405" s="3">
        <f>SUMIFS(df_eventos!F:F,df_eventos!H:H,Conciliacao!A405)</f>
        <v/>
      </c>
      <c r="F405" s="3">
        <f>SUMIFS(df_mutuos!M:M,df_mutuos!B:B,Conciliacao!A405)</f>
        <v/>
      </c>
      <c r="G405" s="6">
        <f>SUMIFS(df_bloqueios_judiciais!G:G,df_bloqueios_judiciais!D:D,Conciliacao!A405,df_bloqueios_judiciais!G:G,"&gt;0")</f>
        <v/>
      </c>
      <c r="H405" s="7">
        <f>SUMIFS(df_extratos!I:I,df_extratos!F:F,"&gt;="&amp;Conciliacao!BE405,df_extratos!F:F,"&lt;"&amp;Conciliacao!BE405+1,df_extratos!G:G,"CREDITO")
+SUMIFS(df_extratos!I:I,df_extratos!F:F,"&gt;="&amp;Conciliacao!A405, df_extratos!F:F,"&lt;"&amp;Conciliacao!A405+1, df_extratos!G:G,"CREDITO")
+SUMIFS(df_extratos!I:I,df_extratos!F:F,"&gt;="&amp;Conciliacao!BF405,df_extratos!F:F,"&lt;"&amp;Conciliacao!BF405+1,df_extratos!G:G,"CREDITO")
+SUMIFS(df_extratos!I:I,df_extratos!F:F,"&gt;="&amp;Conciliacao!BG405,df_extratos!F:F,"&lt;"&amp;Conciliacao!BG405+1,df_extratos!G:G,"CREDITO")
+SUMIFS(df_extratos!I:I,df_extratos!F:F,"&gt;="&amp;Conciliacao!BH405,df_extratos!F:F,"&lt;"&amp;Conciliacao!BH405+1,df_extratos!G:G,"CREDITO")</f>
        <v/>
      </c>
      <c r="I405" s="9">
        <f>H405-SUM(B405:G405)</f>
        <v/>
      </c>
      <c r="J405" s="4">
        <f>SUMIFS(df_blueme_sem_parcelamento!E:E,df_blueme_sem_parcelamento!H:H,Conciliacao!A405)*(-1)</f>
        <v/>
      </c>
      <c r="K405" s="4">
        <f>SUMIFS(df_blueme_com_parcelamento!J:J,df_blueme_com_parcelamento!M:M,Conciliacao!A405)*(-1)</f>
        <v/>
      </c>
      <c r="L405" s="4">
        <f>SUMIFS(df_mutuos!N:N,df_mutuos!B:B,Conciliacao!A405)*(-1)</f>
        <v/>
      </c>
      <c r="M405" s="8">
        <f>SUMIFS(df_bloqueios_judiciais!G:G,df_bloqueios_judiciais!D:D,Conciliacao!A405,df_bloqueios_judiciais!G:G,"&lt;0")</f>
        <v/>
      </c>
      <c r="N405" s="10">
        <f>SUMIFS(df_extratos!I:I,df_extratos!F:F,"&gt;="&amp;Conciliacao!BE405,df_extratos!F:F,"&lt;"&amp;Conciliacao!BE405+1,df_extratos!G:G,"DEBITO")
+SUMIFS(df_extratos!I:I,df_extratos!F:F,"&gt;="&amp;Conciliacao!A405, df_extratos!F:F,"&lt;"&amp;Conciliacao!A405+1, df_extratos!G:G,"DEBITO")
+SUMIFS(df_extratos!I:I,df_extratos!F:F,"&gt;="&amp;Conciliacao!BF405,df_extratos!F:F,"&lt;"&amp;Conciliacao!BF405+1,df_extratos!G:G,"DEBITO")
+SUMIFS(df_extratos!I:I,df_extratos!F:F,"&gt;="&amp;Conciliacao!BG405,df_extratos!F:F,"&lt;"&amp;Conciliacao!BG405+1,df_extratos!G:G,"DEBITO")
+SUMIFS(df_extratos!I:I,df_extratos!F:F,"&gt;="&amp;Conciliacao!BH405,df_extratos!F:F,"&lt;"&amp;Conciliacao!BH405+1,df_extratos!G:G,"DEBITO")</f>
        <v/>
      </c>
      <c r="O405" s="11">
        <f>N405-SUM(J405:M405)</f>
        <v/>
      </c>
      <c r="P405" s="25">
        <f>SUMIFS(df_ajustes_conciliaco!D:D,df_ajustes_conciliaco!C:C,Conciliacao!A405)</f>
        <v/>
      </c>
      <c r="Q405" s="22">
        <f>O405+I405-P405</f>
        <v/>
      </c>
    </row>
    <row r="406">
      <c r="A406" s="5">
        <f>A405+1</f>
        <v/>
      </c>
      <c r="B406" s="3">
        <f>-SUMIFS(df_extrato_zig!G:G,df_extrato_zig!E:E,Conciliacao!A406,df_extrato_zig!D:D,"Saque")-SUMIFS(df_extrato_zig!G:G,df_extrato_zig!E:E,Conciliacao!A406,df_extrato_zig!D:D,"Antecipação")</f>
        <v/>
      </c>
      <c r="C406" s="3">
        <f>SUMIFS(df_extrato_zig!E:E,df_extrato_zig!L:L,Conciliacao!A406,df_extrato_zig!F:F,"DINHEIRO")</f>
        <v/>
      </c>
      <c r="D406" s="3">
        <f>SUMIFS(view_parc_agrup!H:H,view_parc_agrup!G:G,Conciliacao!A406)</f>
        <v/>
      </c>
      <c r="E406" s="3">
        <f>SUMIFS(df_eventos!F:F,df_eventos!H:H,Conciliacao!A406)</f>
        <v/>
      </c>
      <c r="F406" s="3">
        <f>SUMIFS(df_mutuos!M:M,df_mutuos!B:B,Conciliacao!A406)</f>
        <v/>
      </c>
      <c r="G406" s="6">
        <f>SUMIFS(df_bloqueios_judiciais!G:G,df_bloqueios_judiciais!D:D,Conciliacao!A406,df_bloqueios_judiciais!G:G,"&gt;0")</f>
        <v/>
      </c>
      <c r="H406" s="7">
        <f>SUMIFS(df_extratos!I:I,df_extratos!F:F,"&gt;="&amp;Conciliacao!BE406,df_extratos!F:F,"&lt;"&amp;Conciliacao!BE406+1,df_extratos!G:G,"CREDITO")
+SUMIFS(df_extratos!I:I,df_extratos!F:F,"&gt;="&amp;Conciliacao!A406, df_extratos!F:F,"&lt;"&amp;Conciliacao!A406+1, df_extratos!G:G,"CREDITO")
+SUMIFS(df_extratos!I:I,df_extratos!F:F,"&gt;="&amp;Conciliacao!BF406,df_extratos!F:F,"&lt;"&amp;Conciliacao!BF406+1,df_extratos!G:G,"CREDITO")
+SUMIFS(df_extratos!I:I,df_extratos!F:F,"&gt;="&amp;Conciliacao!BG406,df_extratos!F:F,"&lt;"&amp;Conciliacao!BG406+1,df_extratos!G:G,"CREDITO")
+SUMIFS(df_extratos!I:I,df_extratos!F:F,"&gt;="&amp;Conciliacao!BH406,df_extratos!F:F,"&lt;"&amp;Conciliacao!BH406+1,df_extratos!G:G,"CREDITO")</f>
        <v/>
      </c>
      <c r="I406" s="9">
        <f>H406-SUM(B406:G406)</f>
        <v/>
      </c>
      <c r="J406" s="4">
        <f>SUMIFS(df_blueme_sem_parcelamento!E:E,df_blueme_sem_parcelamento!H:H,Conciliacao!A406)*(-1)</f>
        <v/>
      </c>
      <c r="K406" s="4">
        <f>SUMIFS(df_blueme_com_parcelamento!J:J,df_blueme_com_parcelamento!M:M,Conciliacao!A406)*(-1)</f>
        <v/>
      </c>
      <c r="L406" s="4">
        <f>SUMIFS(df_mutuos!N:N,df_mutuos!B:B,Conciliacao!A406)*(-1)</f>
        <v/>
      </c>
      <c r="M406" s="8">
        <f>SUMIFS(df_bloqueios_judiciais!G:G,df_bloqueios_judiciais!D:D,Conciliacao!A406,df_bloqueios_judiciais!G:G,"&lt;0")</f>
        <v/>
      </c>
      <c r="N406" s="10">
        <f>SUMIFS(df_extratos!I:I,df_extratos!F:F,"&gt;="&amp;Conciliacao!BE406,df_extratos!F:F,"&lt;"&amp;Conciliacao!BE406+1,df_extratos!G:G,"DEBITO")
+SUMIFS(df_extratos!I:I,df_extratos!F:F,"&gt;="&amp;Conciliacao!A406, df_extratos!F:F,"&lt;"&amp;Conciliacao!A406+1, df_extratos!G:G,"DEBITO")
+SUMIFS(df_extratos!I:I,df_extratos!F:F,"&gt;="&amp;Conciliacao!BF406,df_extratos!F:F,"&lt;"&amp;Conciliacao!BF406+1,df_extratos!G:G,"DEBITO")
+SUMIFS(df_extratos!I:I,df_extratos!F:F,"&gt;="&amp;Conciliacao!BG406,df_extratos!F:F,"&lt;"&amp;Conciliacao!BG406+1,df_extratos!G:G,"DEBITO")
+SUMIFS(df_extratos!I:I,df_extratos!F:F,"&gt;="&amp;Conciliacao!BH406,df_extratos!F:F,"&lt;"&amp;Conciliacao!BH406+1,df_extratos!G:G,"DEBITO")</f>
        <v/>
      </c>
      <c r="O406" s="11">
        <f>N406-SUM(J406:M406)</f>
        <v/>
      </c>
      <c r="P406" s="25">
        <f>SUMIFS(df_ajustes_conciliaco!D:D,df_ajustes_conciliaco!C:C,Conciliacao!A406)</f>
        <v/>
      </c>
      <c r="Q406" s="22">
        <f>O406+I406-P406</f>
        <v/>
      </c>
    </row>
    <row r="407">
      <c r="A407" s="5">
        <f>A406+1</f>
        <v/>
      </c>
      <c r="B407" s="3">
        <f>-SUMIFS(df_extrato_zig!G:G,df_extrato_zig!E:E,Conciliacao!A407,df_extrato_zig!D:D,"Saque")-SUMIFS(df_extrato_zig!G:G,df_extrato_zig!E:E,Conciliacao!A407,df_extrato_zig!D:D,"Antecipação")</f>
        <v/>
      </c>
      <c r="C407" s="3">
        <f>SUMIFS(df_extrato_zig!E:E,df_extrato_zig!L:L,Conciliacao!A407,df_extrato_zig!F:F,"DINHEIRO")</f>
        <v/>
      </c>
      <c r="D407" s="3">
        <f>SUMIFS(view_parc_agrup!H:H,view_parc_agrup!G:G,Conciliacao!A407)</f>
        <v/>
      </c>
      <c r="E407" s="3">
        <f>SUMIFS(df_eventos!F:F,df_eventos!H:H,Conciliacao!A407)</f>
        <v/>
      </c>
      <c r="F407" s="3">
        <f>SUMIFS(df_mutuos!M:M,df_mutuos!B:B,Conciliacao!A407)</f>
        <v/>
      </c>
      <c r="G407" s="6">
        <f>SUMIFS(df_bloqueios_judiciais!G:G,df_bloqueios_judiciais!D:D,Conciliacao!A407,df_bloqueios_judiciais!G:G,"&gt;0")</f>
        <v/>
      </c>
      <c r="H407" s="7">
        <f>SUMIFS(df_extratos!I:I,df_extratos!F:F,"&gt;="&amp;Conciliacao!BE407,df_extratos!F:F,"&lt;"&amp;Conciliacao!BE407+1,df_extratos!G:G,"CREDITO")
+SUMIFS(df_extratos!I:I,df_extratos!F:F,"&gt;="&amp;Conciliacao!A407, df_extratos!F:F,"&lt;"&amp;Conciliacao!A407+1, df_extratos!G:G,"CREDITO")
+SUMIFS(df_extratos!I:I,df_extratos!F:F,"&gt;="&amp;Conciliacao!BF407,df_extratos!F:F,"&lt;"&amp;Conciliacao!BF407+1,df_extratos!G:G,"CREDITO")
+SUMIFS(df_extratos!I:I,df_extratos!F:F,"&gt;="&amp;Conciliacao!BG407,df_extratos!F:F,"&lt;"&amp;Conciliacao!BG407+1,df_extratos!G:G,"CREDITO")
+SUMIFS(df_extratos!I:I,df_extratos!F:F,"&gt;="&amp;Conciliacao!BH407,df_extratos!F:F,"&lt;"&amp;Conciliacao!BH407+1,df_extratos!G:G,"CREDITO")</f>
        <v/>
      </c>
      <c r="I407" s="9">
        <f>H407-SUM(B407:G407)</f>
        <v/>
      </c>
      <c r="J407" s="4">
        <f>SUMIFS(df_blueme_sem_parcelamento!E:E,df_blueme_sem_parcelamento!H:H,Conciliacao!A407)*(-1)</f>
        <v/>
      </c>
      <c r="K407" s="4">
        <f>SUMIFS(df_blueme_com_parcelamento!J:J,df_blueme_com_parcelamento!M:M,Conciliacao!A407)*(-1)</f>
        <v/>
      </c>
      <c r="L407" s="4">
        <f>SUMIFS(df_mutuos!N:N,df_mutuos!B:B,Conciliacao!A407)*(-1)</f>
        <v/>
      </c>
      <c r="M407" s="8">
        <f>SUMIFS(df_bloqueios_judiciais!G:G,df_bloqueios_judiciais!D:D,Conciliacao!A407,df_bloqueios_judiciais!G:G,"&lt;0")</f>
        <v/>
      </c>
      <c r="N407" s="10">
        <f>SUMIFS(df_extratos!I:I,df_extratos!F:F,"&gt;="&amp;Conciliacao!BE407,df_extratos!F:F,"&lt;"&amp;Conciliacao!BE407+1,df_extratos!G:G,"DEBITO")
+SUMIFS(df_extratos!I:I,df_extratos!F:F,"&gt;="&amp;Conciliacao!A407, df_extratos!F:F,"&lt;"&amp;Conciliacao!A407+1, df_extratos!G:G,"DEBITO")
+SUMIFS(df_extratos!I:I,df_extratos!F:F,"&gt;="&amp;Conciliacao!BF407,df_extratos!F:F,"&lt;"&amp;Conciliacao!BF407+1,df_extratos!G:G,"DEBITO")
+SUMIFS(df_extratos!I:I,df_extratos!F:F,"&gt;="&amp;Conciliacao!BG407,df_extratos!F:F,"&lt;"&amp;Conciliacao!BG407+1,df_extratos!G:G,"DEBITO")
+SUMIFS(df_extratos!I:I,df_extratos!F:F,"&gt;="&amp;Conciliacao!BH407,df_extratos!F:F,"&lt;"&amp;Conciliacao!BH407+1,df_extratos!G:G,"DEBITO")</f>
        <v/>
      </c>
      <c r="O407" s="11">
        <f>N407-SUM(J407:M407)</f>
        <v/>
      </c>
      <c r="P407" s="25">
        <f>SUMIFS(df_ajustes_conciliaco!D:D,df_ajustes_conciliaco!C:C,Conciliacao!A407)</f>
        <v/>
      </c>
      <c r="Q407" s="22">
        <f>O407+I407-P407</f>
        <v/>
      </c>
    </row>
    <row r="408">
      <c r="A408" s="5">
        <f>A407+1</f>
        <v/>
      </c>
      <c r="B408" s="3">
        <f>-SUMIFS(df_extrato_zig!G:G,df_extrato_zig!E:E,Conciliacao!A408,df_extrato_zig!D:D,"Saque")-SUMIFS(df_extrato_zig!G:G,df_extrato_zig!E:E,Conciliacao!A408,df_extrato_zig!D:D,"Antecipação")</f>
        <v/>
      </c>
      <c r="C408" s="3">
        <f>SUMIFS(df_extrato_zig!E:E,df_extrato_zig!L:L,Conciliacao!A408,df_extrato_zig!F:F,"DINHEIRO")</f>
        <v/>
      </c>
      <c r="D408" s="3">
        <f>SUMIFS(view_parc_agrup!H:H,view_parc_agrup!G:G,Conciliacao!A408)</f>
        <v/>
      </c>
      <c r="E408" s="3">
        <f>SUMIFS(df_eventos!F:F,df_eventos!H:H,Conciliacao!A408)</f>
        <v/>
      </c>
      <c r="F408" s="3">
        <f>SUMIFS(df_mutuos!M:M,df_mutuos!B:B,Conciliacao!A408)</f>
        <v/>
      </c>
      <c r="G408" s="6">
        <f>SUMIFS(df_bloqueios_judiciais!G:G,df_bloqueios_judiciais!D:D,Conciliacao!A408,df_bloqueios_judiciais!G:G,"&gt;0")</f>
        <v/>
      </c>
      <c r="H408" s="7">
        <f>SUMIFS(df_extratos!I:I,df_extratos!F:F,"&gt;="&amp;Conciliacao!BE408,df_extratos!F:F,"&lt;"&amp;Conciliacao!BE408+1,df_extratos!G:G,"CREDITO")
+SUMIFS(df_extratos!I:I,df_extratos!F:F,"&gt;="&amp;Conciliacao!A408, df_extratos!F:F,"&lt;"&amp;Conciliacao!A408+1, df_extratos!G:G,"CREDITO")
+SUMIFS(df_extratos!I:I,df_extratos!F:F,"&gt;="&amp;Conciliacao!BF408,df_extratos!F:F,"&lt;"&amp;Conciliacao!BF408+1,df_extratos!G:G,"CREDITO")
+SUMIFS(df_extratos!I:I,df_extratos!F:F,"&gt;="&amp;Conciliacao!BG408,df_extratos!F:F,"&lt;"&amp;Conciliacao!BG408+1,df_extratos!G:G,"CREDITO")
+SUMIFS(df_extratos!I:I,df_extratos!F:F,"&gt;="&amp;Conciliacao!BH408,df_extratos!F:F,"&lt;"&amp;Conciliacao!BH408+1,df_extratos!G:G,"CREDITO")</f>
        <v/>
      </c>
      <c r="I408" s="9">
        <f>H408-SUM(B408:G408)</f>
        <v/>
      </c>
      <c r="J408" s="4">
        <f>SUMIFS(df_blueme_sem_parcelamento!E:E,df_blueme_sem_parcelamento!H:H,Conciliacao!A408)*(-1)</f>
        <v/>
      </c>
      <c r="K408" s="4">
        <f>SUMIFS(df_blueme_com_parcelamento!J:J,df_blueme_com_parcelamento!M:M,Conciliacao!A408)*(-1)</f>
        <v/>
      </c>
      <c r="L408" s="4">
        <f>SUMIFS(df_mutuos!N:N,df_mutuos!B:B,Conciliacao!A408)*(-1)</f>
        <v/>
      </c>
      <c r="M408" s="8">
        <f>SUMIFS(df_bloqueios_judiciais!G:G,df_bloqueios_judiciais!D:D,Conciliacao!A408,df_bloqueios_judiciais!G:G,"&lt;0")</f>
        <v/>
      </c>
      <c r="N408" s="10">
        <f>SUMIFS(df_extratos!I:I,df_extratos!F:F,"&gt;="&amp;Conciliacao!BE408,df_extratos!F:F,"&lt;"&amp;Conciliacao!BE408+1,df_extratos!G:G,"DEBITO")
+SUMIFS(df_extratos!I:I,df_extratos!F:F,"&gt;="&amp;Conciliacao!A408, df_extratos!F:F,"&lt;"&amp;Conciliacao!A408+1, df_extratos!G:G,"DEBITO")
+SUMIFS(df_extratos!I:I,df_extratos!F:F,"&gt;="&amp;Conciliacao!BF408,df_extratos!F:F,"&lt;"&amp;Conciliacao!BF408+1,df_extratos!G:G,"DEBITO")
+SUMIFS(df_extratos!I:I,df_extratos!F:F,"&gt;="&amp;Conciliacao!BG408,df_extratos!F:F,"&lt;"&amp;Conciliacao!BG408+1,df_extratos!G:G,"DEBITO")
+SUMIFS(df_extratos!I:I,df_extratos!F:F,"&gt;="&amp;Conciliacao!BH408,df_extratos!F:F,"&lt;"&amp;Conciliacao!BH408+1,df_extratos!G:G,"DEBITO")</f>
        <v/>
      </c>
      <c r="O408" s="11">
        <f>N408-SUM(J408:M408)</f>
        <v/>
      </c>
      <c r="P408" s="25">
        <f>SUMIFS(df_ajustes_conciliaco!D:D,df_ajustes_conciliaco!C:C,Conciliacao!A408)</f>
        <v/>
      </c>
      <c r="Q408" s="22">
        <f>O408+I408-P408</f>
        <v/>
      </c>
    </row>
    <row r="409">
      <c r="A409" s="5">
        <f>A408+1</f>
        <v/>
      </c>
      <c r="B409" s="3">
        <f>-SUMIFS(df_extrato_zig!G:G,df_extrato_zig!E:E,Conciliacao!A409,df_extrato_zig!D:D,"Saque")-SUMIFS(df_extrato_zig!G:G,df_extrato_zig!E:E,Conciliacao!A409,df_extrato_zig!D:D,"Antecipação")</f>
        <v/>
      </c>
      <c r="C409" s="3">
        <f>SUMIFS(df_extrato_zig!E:E,df_extrato_zig!L:L,Conciliacao!A409,df_extrato_zig!F:F,"DINHEIRO")</f>
        <v/>
      </c>
      <c r="D409" s="3">
        <f>SUMIFS(view_parc_agrup!H:H,view_parc_agrup!G:G,Conciliacao!A409)</f>
        <v/>
      </c>
      <c r="E409" s="3">
        <f>SUMIFS(df_eventos!F:F,df_eventos!H:H,Conciliacao!A409)</f>
        <v/>
      </c>
      <c r="F409" s="3">
        <f>SUMIFS(df_mutuos!M:M,df_mutuos!B:B,Conciliacao!A409)</f>
        <v/>
      </c>
      <c r="G409" s="6">
        <f>SUMIFS(df_bloqueios_judiciais!G:G,df_bloqueios_judiciais!D:D,Conciliacao!A409,df_bloqueios_judiciais!G:G,"&gt;0")</f>
        <v/>
      </c>
      <c r="H409" s="7">
        <f>SUMIFS(df_extratos!I:I,df_extratos!F:F,"&gt;="&amp;Conciliacao!BE409,df_extratos!F:F,"&lt;"&amp;Conciliacao!BE409+1,df_extratos!G:G,"CREDITO")
+SUMIFS(df_extratos!I:I,df_extratos!F:F,"&gt;="&amp;Conciliacao!A409, df_extratos!F:F,"&lt;"&amp;Conciliacao!A409+1, df_extratos!G:G,"CREDITO")
+SUMIFS(df_extratos!I:I,df_extratos!F:F,"&gt;="&amp;Conciliacao!BF409,df_extratos!F:F,"&lt;"&amp;Conciliacao!BF409+1,df_extratos!G:G,"CREDITO")
+SUMIFS(df_extratos!I:I,df_extratos!F:F,"&gt;="&amp;Conciliacao!BG409,df_extratos!F:F,"&lt;"&amp;Conciliacao!BG409+1,df_extratos!G:G,"CREDITO")
+SUMIFS(df_extratos!I:I,df_extratos!F:F,"&gt;="&amp;Conciliacao!BH409,df_extratos!F:F,"&lt;"&amp;Conciliacao!BH409+1,df_extratos!G:G,"CREDITO")</f>
        <v/>
      </c>
      <c r="I409" s="9">
        <f>H409-SUM(B409:G409)</f>
        <v/>
      </c>
      <c r="J409" s="4">
        <f>SUMIFS(df_blueme_sem_parcelamento!E:E,df_blueme_sem_parcelamento!H:H,Conciliacao!A409)*(-1)</f>
        <v/>
      </c>
      <c r="K409" s="4">
        <f>SUMIFS(df_blueme_com_parcelamento!J:J,df_blueme_com_parcelamento!M:M,Conciliacao!A409)*(-1)</f>
        <v/>
      </c>
      <c r="L409" s="4">
        <f>SUMIFS(df_mutuos!N:N,df_mutuos!B:B,Conciliacao!A409)*(-1)</f>
        <v/>
      </c>
      <c r="M409" s="8">
        <f>SUMIFS(df_bloqueios_judiciais!G:G,df_bloqueios_judiciais!D:D,Conciliacao!A409,df_bloqueios_judiciais!G:G,"&lt;0")</f>
        <v/>
      </c>
      <c r="N409" s="10">
        <f>SUMIFS(df_extratos!I:I,df_extratos!F:F,"&gt;="&amp;Conciliacao!BE409,df_extratos!F:F,"&lt;"&amp;Conciliacao!BE409+1,df_extratos!G:G,"DEBITO")
+SUMIFS(df_extratos!I:I,df_extratos!F:F,"&gt;="&amp;Conciliacao!A409, df_extratos!F:F,"&lt;"&amp;Conciliacao!A409+1, df_extratos!G:G,"DEBITO")
+SUMIFS(df_extratos!I:I,df_extratos!F:F,"&gt;="&amp;Conciliacao!BF409,df_extratos!F:F,"&lt;"&amp;Conciliacao!BF409+1,df_extratos!G:G,"DEBITO")
+SUMIFS(df_extratos!I:I,df_extratos!F:F,"&gt;="&amp;Conciliacao!BG409,df_extratos!F:F,"&lt;"&amp;Conciliacao!BG409+1,df_extratos!G:G,"DEBITO")
+SUMIFS(df_extratos!I:I,df_extratos!F:F,"&gt;="&amp;Conciliacao!BH409,df_extratos!F:F,"&lt;"&amp;Conciliacao!BH409+1,df_extratos!G:G,"DEBITO")</f>
        <v/>
      </c>
      <c r="O409" s="11">
        <f>N409-SUM(J409:M409)</f>
        <v/>
      </c>
      <c r="P409" s="25">
        <f>SUMIFS(df_ajustes_conciliaco!D:D,df_ajustes_conciliaco!C:C,Conciliacao!A409)</f>
        <v/>
      </c>
      <c r="Q409" s="22">
        <f>O409+I409-P409</f>
        <v/>
      </c>
    </row>
    <row r="410">
      <c r="A410" s="5">
        <f>A409+1</f>
        <v/>
      </c>
      <c r="B410" s="3">
        <f>-SUMIFS(df_extrato_zig!G:G,df_extrato_zig!E:E,Conciliacao!A410,df_extrato_zig!D:D,"Saque")-SUMIFS(df_extrato_zig!G:G,df_extrato_zig!E:E,Conciliacao!A410,df_extrato_zig!D:D,"Antecipação")</f>
        <v/>
      </c>
      <c r="C410" s="3">
        <f>SUMIFS(df_extrato_zig!E:E,df_extrato_zig!L:L,Conciliacao!A410,df_extrato_zig!F:F,"DINHEIRO")</f>
        <v/>
      </c>
      <c r="D410" s="3">
        <f>SUMIFS(view_parc_agrup!H:H,view_parc_agrup!G:G,Conciliacao!A410)</f>
        <v/>
      </c>
      <c r="E410" s="3">
        <f>SUMIFS(df_eventos!F:F,df_eventos!H:H,Conciliacao!A410)</f>
        <v/>
      </c>
      <c r="F410" s="3">
        <f>SUMIFS(df_mutuos!M:M,df_mutuos!B:B,Conciliacao!A410)</f>
        <v/>
      </c>
      <c r="G410" s="6">
        <f>SUMIFS(df_bloqueios_judiciais!G:G,df_bloqueios_judiciais!D:D,Conciliacao!A410,df_bloqueios_judiciais!G:G,"&gt;0")</f>
        <v/>
      </c>
      <c r="H410" s="7">
        <f>SUMIFS(df_extratos!I:I,df_extratos!F:F,"&gt;="&amp;Conciliacao!BE410,df_extratos!F:F,"&lt;"&amp;Conciliacao!BE410+1,df_extratos!G:G,"CREDITO")
+SUMIFS(df_extratos!I:I,df_extratos!F:F,"&gt;="&amp;Conciliacao!A410, df_extratos!F:F,"&lt;"&amp;Conciliacao!A410+1, df_extratos!G:G,"CREDITO")
+SUMIFS(df_extratos!I:I,df_extratos!F:F,"&gt;="&amp;Conciliacao!BF410,df_extratos!F:F,"&lt;"&amp;Conciliacao!BF410+1,df_extratos!G:G,"CREDITO")
+SUMIFS(df_extratos!I:I,df_extratos!F:F,"&gt;="&amp;Conciliacao!BG410,df_extratos!F:F,"&lt;"&amp;Conciliacao!BG410+1,df_extratos!G:G,"CREDITO")
+SUMIFS(df_extratos!I:I,df_extratos!F:F,"&gt;="&amp;Conciliacao!BH410,df_extratos!F:F,"&lt;"&amp;Conciliacao!BH410+1,df_extratos!G:G,"CREDITO")</f>
        <v/>
      </c>
      <c r="I410" s="9">
        <f>H410-SUM(B410:G410)</f>
        <v/>
      </c>
      <c r="J410" s="4">
        <f>SUMIFS(df_blueme_sem_parcelamento!E:E,df_blueme_sem_parcelamento!H:H,Conciliacao!A410)*(-1)</f>
        <v/>
      </c>
      <c r="K410" s="4">
        <f>SUMIFS(df_blueme_com_parcelamento!J:J,df_blueme_com_parcelamento!M:M,Conciliacao!A410)*(-1)</f>
        <v/>
      </c>
      <c r="L410" s="4">
        <f>SUMIFS(df_mutuos!N:N,df_mutuos!B:B,Conciliacao!A410)*(-1)</f>
        <v/>
      </c>
      <c r="M410" s="8">
        <f>SUMIFS(df_bloqueios_judiciais!G:G,df_bloqueios_judiciais!D:D,Conciliacao!A410,df_bloqueios_judiciais!G:G,"&lt;0")</f>
        <v/>
      </c>
      <c r="N410" s="10">
        <f>SUMIFS(df_extratos!I:I,df_extratos!F:F,"&gt;="&amp;Conciliacao!BE410,df_extratos!F:F,"&lt;"&amp;Conciliacao!BE410+1,df_extratos!G:G,"DEBITO")
+SUMIFS(df_extratos!I:I,df_extratos!F:F,"&gt;="&amp;Conciliacao!A410, df_extratos!F:F,"&lt;"&amp;Conciliacao!A410+1, df_extratos!G:G,"DEBITO")
+SUMIFS(df_extratos!I:I,df_extratos!F:F,"&gt;="&amp;Conciliacao!BF410,df_extratos!F:F,"&lt;"&amp;Conciliacao!BF410+1,df_extratos!G:G,"DEBITO")
+SUMIFS(df_extratos!I:I,df_extratos!F:F,"&gt;="&amp;Conciliacao!BG410,df_extratos!F:F,"&lt;"&amp;Conciliacao!BG410+1,df_extratos!G:G,"DEBITO")
+SUMIFS(df_extratos!I:I,df_extratos!F:F,"&gt;="&amp;Conciliacao!BH410,df_extratos!F:F,"&lt;"&amp;Conciliacao!BH410+1,df_extratos!G:G,"DEBITO")</f>
        <v/>
      </c>
      <c r="O410" s="11">
        <f>N410-SUM(J410:M410)</f>
        <v/>
      </c>
      <c r="P410" s="25">
        <f>SUMIFS(df_ajustes_conciliaco!D:D,df_ajustes_conciliaco!C:C,Conciliacao!A410)</f>
        <v/>
      </c>
      <c r="Q410" s="22">
        <f>O410+I410-P410</f>
        <v/>
      </c>
    </row>
    <row r="411">
      <c r="A411" s="5">
        <f>A410+1</f>
        <v/>
      </c>
      <c r="B411" s="3">
        <f>-SUMIFS(df_extrato_zig!G:G,df_extrato_zig!E:E,Conciliacao!A411,df_extrato_zig!D:D,"Saque")-SUMIFS(df_extrato_zig!G:G,df_extrato_zig!E:E,Conciliacao!A411,df_extrato_zig!D:D,"Antecipação")</f>
        <v/>
      </c>
      <c r="C411" s="3">
        <f>SUMIFS(df_extrato_zig!E:E,df_extrato_zig!L:L,Conciliacao!A411,df_extrato_zig!F:F,"DINHEIRO")</f>
        <v/>
      </c>
      <c r="D411" s="3">
        <f>SUMIFS(view_parc_agrup!H:H,view_parc_agrup!G:G,Conciliacao!A411)</f>
        <v/>
      </c>
      <c r="E411" s="3">
        <f>SUMIFS(df_eventos!F:F,df_eventos!H:H,Conciliacao!A411)</f>
        <v/>
      </c>
      <c r="F411" s="3">
        <f>SUMIFS(df_mutuos!M:M,df_mutuos!B:B,Conciliacao!A411)</f>
        <v/>
      </c>
      <c r="G411" s="6">
        <f>SUMIFS(df_bloqueios_judiciais!G:G,df_bloqueios_judiciais!D:D,Conciliacao!A411,df_bloqueios_judiciais!G:G,"&gt;0")</f>
        <v/>
      </c>
      <c r="H411" s="7">
        <f>SUMIFS(df_extratos!I:I,df_extratos!F:F,"&gt;="&amp;Conciliacao!BE411,df_extratos!F:F,"&lt;"&amp;Conciliacao!BE411+1,df_extratos!G:G,"CREDITO")
+SUMIFS(df_extratos!I:I,df_extratos!F:F,"&gt;="&amp;Conciliacao!A411, df_extratos!F:F,"&lt;"&amp;Conciliacao!A411+1, df_extratos!G:G,"CREDITO")
+SUMIFS(df_extratos!I:I,df_extratos!F:F,"&gt;="&amp;Conciliacao!BF411,df_extratos!F:F,"&lt;"&amp;Conciliacao!BF411+1,df_extratos!G:G,"CREDITO")
+SUMIFS(df_extratos!I:I,df_extratos!F:F,"&gt;="&amp;Conciliacao!BG411,df_extratos!F:F,"&lt;"&amp;Conciliacao!BG411+1,df_extratos!G:G,"CREDITO")
+SUMIFS(df_extratos!I:I,df_extratos!F:F,"&gt;="&amp;Conciliacao!BH411,df_extratos!F:F,"&lt;"&amp;Conciliacao!BH411+1,df_extratos!G:G,"CREDITO")</f>
        <v/>
      </c>
      <c r="I411" s="9">
        <f>H411-SUM(B411:G411)</f>
        <v/>
      </c>
      <c r="J411" s="4">
        <f>SUMIFS(df_blueme_sem_parcelamento!E:E,df_blueme_sem_parcelamento!H:H,Conciliacao!A411)*(-1)</f>
        <v/>
      </c>
      <c r="K411" s="4">
        <f>SUMIFS(df_blueme_com_parcelamento!J:J,df_blueme_com_parcelamento!M:M,Conciliacao!A411)*(-1)</f>
        <v/>
      </c>
      <c r="L411" s="4">
        <f>SUMIFS(df_mutuos!N:N,df_mutuos!B:B,Conciliacao!A411)*(-1)</f>
        <v/>
      </c>
      <c r="M411" s="8">
        <f>SUMIFS(df_bloqueios_judiciais!G:G,df_bloqueios_judiciais!D:D,Conciliacao!A411,df_bloqueios_judiciais!G:G,"&lt;0")</f>
        <v/>
      </c>
      <c r="N411" s="10">
        <f>SUMIFS(df_extratos!I:I,df_extratos!F:F,"&gt;="&amp;Conciliacao!BE411,df_extratos!F:F,"&lt;"&amp;Conciliacao!BE411+1,df_extratos!G:G,"DEBITO")
+SUMIFS(df_extratos!I:I,df_extratos!F:F,"&gt;="&amp;Conciliacao!A411, df_extratos!F:F,"&lt;"&amp;Conciliacao!A411+1, df_extratos!G:G,"DEBITO")
+SUMIFS(df_extratos!I:I,df_extratos!F:F,"&gt;="&amp;Conciliacao!BF411,df_extratos!F:F,"&lt;"&amp;Conciliacao!BF411+1,df_extratos!G:G,"DEBITO")
+SUMIFS(df_extratos!I:I,df_extratos!F:F,"&gt;="&amp;Conciliacao!BG411,df_extratos!F:F,"&lt;"&amp;Conciliacao!BG411+1,df_extratos!G:G,"DEBITO")
+SUMIFS(df_extratos!I:I,df_extratos!F:F,"&gt;="&amp;Conciliacao!BH411,df_extratos!F:F,"&lt;"&amp;Conciliacao!BH411+1,df_extratos!G:G,"DEBITO")</f>
        <v/>
      </c>
      <c r="O411" s="11">
        <f>N411-SUM(J411:M411)</f>
        <v/>
      </c>
      <c r="P411" s="25">
        <f>SUMIFS(df_ajustes_conciliaco!D:D,df_ajustes_conciliaco!C:C,Conciliacao!A411)</f>
        <v/>
      </c>
      <c r="Q411" s="22">
        <f>O411+I411-P411</f>
        <v/>
      </c>
    </row>
    <row r="412">
      <c r="A412" s="5">
        <f>A411+1</f>
        <v/>
      </c>
      <c r="B412" s="3">
        <f>-SUMIFS(df_extrato_zig!G:G,df_extrato_zig!E:E,Conciliacao!A412,df_extrato_zig!D:D,"Saque")-SUMIFS(df_extrato_zig!G:G,df_extrato_zig!E:E,Conciliacao!A412,df_extrato_zig!D:D,"Antecipação")</f>
        <v/>
      </c>
      <c r="C412" s="3">
        <f>SUMIFS(df_extrato_zig!E:E,df_extrato_zig!L:L,Conciliacao!A412,df_extrato_zig!F:F,"DINHEIRO")</f>
        <v/>
      </c>
      <c r="D412" s="3">
        <f>SUMIFS(view_parc_agrup!H:H,view_parc_agrup!G:G,Conciliacao!A412)</f>
        <v/>
      </c>
      <c r="E412" s="3">
        <f>SUMIFS(df_eventos!F:F,df_eventos!H:H,Conciliacao!A412)</f>
        <v/>
      </c>
      <c r="F412" s="3">
        <f>SUMIFS(df_mutuos!M:M,df_mutuos!B:B,Conciliacao!A412)</f>
        <v/>
      </c>
      <c r="G412" s="6">
        <f>SUMIFS(df_bloqueios_judiciais!G:G,df_bloqueios_judiciais!D:D,Conciliacao!A412,df_bloqueios_judiciais!G:G,"&gt;0")</f>
        <v/>
      </c>
      <c r="H412" s="7">
        <f>SUMIFS(df_extratos!I:I,df_extratos!F:F,"&gt;="&amp;Conciliacao!BE412,df_extratos!F:F,"&lt;"&amp;Conciliacao!BE412+1,df_extratos!G:G,"CREDITO")
+SUMIFS(df_extratos!I:I,df_extratos!F:F,"&gt;="&amp;Conciliacao!A412, df_extratos!F:F,"&lt;"&amp;Conciliacao!A412+1, df_extratos!G:G,"CREDITO")
+SUMIFS(df_extratos!I:I,df_extratos!F:F,"&gt;="&amp;Conciliacao!BF412,df_extratos!F:F,"&lt;"&amp;Conciliacao!BF412+1,df_extratos!G:G,"CREDITO")
+SUMIFS(df_extratos!I:I,df_extratos!F:F,"&gt;="&amp;Conciliacao!BG412,df_extratos!F:F,"&lt;"&amp;Conciliacao!BG412+1,df_extratos!G:G,"CREDITO")
+SUMIFS(df_extratos!I:I,df_extratos!F:F,"&gt;="&amp;Conciliacao!BH412,df_extratos!F:F,"&lt;"&amp;Conciliacao!BH412+1,df_extratos!G:G,"CREDITO")</f>
        <v/>
      </c>
      <c r="I412" s="9">
        <f>H412-SUM(B412:G412)</f>
        <v/>
      </c>
      <c r="J412" s="4">
        <f>SUMIFS(df_blueme_sem_parcelamento!E:E,df_blueme_sem_parcelamento!H:H,Conciliacao!A412)*(-1)</f>
        <v/>
      </c>
      <c r="K412" s="4">
        <f>SUMIFS(df_blueme_com_parcelamento!J:J,df_blueme_com_parcelamento!M:M,Conciliacao!A412)*(-1)</f>
        <v/>
      </c>
      <c r="L412" s="4">
        <f>SUMIFS(df_mutuos!N:N,df_mutuos!B:B,Conciliacao!A412)*(-1)</f>
        <v/>
      </c>
      <c r="M412" s="8">
        <f>SUMIFS(df_bloqueios_judiciais!G:G,df_bloqueios_judiciais!D:D,Conciliacao!A412,df_bloqueios_judiciais!G:G,"&lt;0")</f>
        <v/>
      </c>
      <c r="N412" s="10">
        <f>SUMIFS(df_extratos!I:I,df_extratos!F:F,"&gt;="&amp;Conciliacao!BE412,df_extratos!F:F,"&lt;"&amp;Conciliacao!BE412+1,df_extratos!G:G,"DEBITO")
+SUMIFS(df_extratos!I:I,df_extratos!F:F,"&gt;="&amp;Conciliacao!A412, df_extratos!F:F,"&lt;"&amp;Conciliacao!A412+1, df_extratos!G:G,"DEBITO")
+SUMIFS(df_extratos!I:I,df_extratos!F:F,"&gt;="&amp;Conciliacao!BF412,df_extratos!F:F,"&lt;"&amp;Conciliacao!BF412+1,df_extratos!G:G,"DEBITO")
+SUMIFS(df_extratos!I:I,df_extratos!F:F,"&gt;="&amp;Conciliacao!BG412,df_extratos!F:F,"&lt;"&amp;Conciliacao!BG412+1,df_extratos!G:G,"DEBITO")
+SUMIFS(df_extratos!I:I,df_extratos!F:F,"&gt;="&amp;Conciliacao!BH412,df_extratos!F:F,"&lt;"&amp;Conciliacao!BH412+1,df_extratos!G:G,"DEBITO")</f>
        <v/>
      </c>
      <c r="O412" s="11">
        <f>N412-SUM(J412:M412)</f>
        <v/>
      </c>
      <c r="P412" s="25">
        <f>SUMIFS(df_ajustes_conciliaco!D:D,df_ajustes_conciliaco!C:C,Conciliacao!A412)</f>
        <v/>
      </c>
      <c r="Q412" s="22">
        <f>O412+I412-P412</f>
        <v/>
      </c>
    </row>
    <row r="413">
      <c r="A413" s="5">
        <f>A412+1</f>
        <v/>
      </c>
      <c r="B413" s="3">
        <f>-SUMIFS(df_extrato_zig!G:G,df_extrato_zig!E:E,Conciliacao!A413,df_extrato_zig!D:D,"Saque")-SUMIFS(df_extrato_zig!G:G,df_extrato_zig!E:E,Conciliacao!A413,df_extrato_zig!D:D,"Antecipação")</f>
        <v/>
      </c>
      <c r="C413" s="3">
        <f>SUMIFS(df_extrato_zig!E:E,df_extrato_zig!L:L,Conciliacao!A413,df_extrato_zig!F:F,"DINHEIRO")</f>
        <v/>
      </c>
      <c r="D413" s="3">
        <f>SUMIFS(view_parc_agrup!H:H,view_parc_agrup!G:G,Conciliacao!A413)</f>
        <v/>
      </c>
      <c r="E413" s="3">
        <f>SUMIFS(df_eventos!F:F,df_eventos!H:H,Conciliacao!A413)</f>
        <v/>
      </c>
      <c r="F413" s="3">
        <f>SUMIFS(df_mutuos!M:M,df_mutuos!B:B,Conciliacao!A413)</f>
        <v/>
      </c>
      <c r="G413" s="6">
        <f>SUMIFS(df_bloqueios_judiciais!G:G,df_bloqueios_judiciais!D:D,Conciliacao!A413,df_bloqueios_judiciais!G:G,"&gt;0")</f>
        <v/>
      </c>
      <c r="H413" s="7">
        <f>SUMIFS(df_extratos!I:I,df_extratos!F:F,"&gt;="&amp;Conciliacao!BE413,df_extratos!F:F,"&lt;"&amp;Conciliacao!BE413+1,df_extratos!G:G,"CREDITO")
+SUMIFS(df_extratos!I:I,df_extratos!F:F,"&gt;="&amp;Conciliacao!A413, df_extratos!F:F,"&lt;"&amp;Conciliacao!A413+1, df_extratos!G:G,"CREDITO")
+SUMIFS(df_extratos!I:I,df_extratos!F:F,"&gt;="&amp;Conciliacao!BF413,df_extratos!F:F,"&lt;"&amp;Conciliacao!BF413+1,df_extratos!G:G,"CREDITO")
+SUMIFS(df_extratos!I:I,df_extratos!F:F,"&gt;="&amp;Conciliacao!BG413,df_extratos!F:F,"&lt;"&amp;Conciliacao!BG413+1,df_extratos!G:G,"CREDITO")
+SUMIFS(df_extratos!I:I,df_extratos!F:F,"&gt;="&amp;Conciliacao!BH413,df_extratos!F:F,"&lt;"&amp;Conciliacao!BH413+1,df_extratos!G:G,"CREDITO")</f>
        <v/>
      </c>
      <c r="I413" s="9">
        <f>H413-SUM(B413:G413)</f>
        <v/>
      </c>
      <c r="J413" s="4">
        <f>SUMIFS(df_blueme_sem_parcelamento!E:E,df_blueme_sem_parcelamento!H:H,Conciliacao!A413)*(-1)</f>
        <v/>
      </c>
      <c r="K413" s="4">
        <f>SUMIFS(df_blueme_com_parcelamento!J:J,df_blueme_com_parcelamento!M:M,Conciliacao!A413)*(-1)</f>
        <v/>
      </c>
      <c r="L413" s="4">
        <f>SUMIFS(df_mutuos!N:N,df_mutuos!B:B,Conciliacao!A413)*(-1)</f>
        <v/>
      </c>
      <c r="M413" s="8">
        <f>SUMIFS(df_bloqueios_judiciais!G:G,df_bloqueios_judiciais!D:D,Conciliacao!A413,df_bloqueios_judiciais!G:G,"&lt;0")</f>
        <v/>
      </c>
      <c r="N413" s="10">
        <f>SUMIFS(df_extratos!I:I,df_extratos!F:F,"&gt;="&amp;Conciliacao!BE413,df_extratos!F:F,"&lt;"&amp;Conciliacao!BE413+1,df_extratos!G:G,"DEBITO")
+SUMIFS(df_extratos!I:I,df_extratos!F:F,"&gt;="&amp;Conciliacao!A413, df_extratos!F:F,"&lt;"&amp;Conciliacao!A413+1, df_extratos!G:G,"DEBITO")
+SUMIFS(df_extratos!I:I,df_extratos!F:F,"&gt;="&amp;Conciliacao!BF413,df_extratos!F:F,"&lt;"&amp;Conciliacao!BF413+1,df_extratos!G:G,"DEBITO")
+SUMIFS(df_extratos!I:I,df_extratos!F:F,"&gt;="&amp;Conciliacao!BG413,df_extratos!F:F,"&lt;"&amp;Conciliacao!BG413+1,df_extratos!G:G,"DEBITO")
+SUMIFS(df_extratos!I:I,df_extratos!F:F,"&gt;="&amp;Conciliacao!BH413,df_extratos!F:F,"&lt;"&amp;Conciliacao!BH413+1,df_extratos!G:G,"DEBITO")</f>
        <v/>
      </c>
      <c r="O413" s="11">
        <f>N413-SUM(J413:M413)</f>
        <v/>
      </c>
      <c r="P413" s="25">
        <f>SUMIFS(df_ajustes_conciliaco!D:D,df_ajustes_conciliaco!C:C,Conciliacao!A413)</f>
        <v/>
      </c>
      <c r="Q413" s="22">
        <f>O413+I413-P413</f>
        <v/>
      </c>
    </row>
    <row r="414">
      <c r="A414" s="5">
        <f>A413+1</f>
        <v/>
      </c>
      <c r="B414" s="3">
        <f>-SUMIFS(df_extrato_zig!G:G,df_extrato_zig!E:E,Conciliacao!A414,df_extrato_zig!D:D,"Saque")-SUMIFS(df_extrato_zig!G:G,df_extrato_zig!E:E,Conciliacao!A414,df_extrato_zig!D:D,"Antecipação")</f>
        <v/>
      </c>
      <c r="C414" s="3">
        <f>SUMIFS(df_extrato_zig!E:E,df_extrato_zig!L:L,Conciliacao!A414,df_extrato_zig!F:F,"DINHEIRO")</f>
        <v/>
      </c>
      <c r="D414" s="3">
        <f>SUMIFS(view_parc_agrup!H:H,view_parc_agrup!G:G,Conciliacao!A414)</f>
        <v/>
      </c>
      <c r="E414" s="3">
        <f>SUMIFS(df_eventos!F:F,df_eventos!H:H,Conciliacao!A414)</f>
        <v/>
      </c>
      <c r="F414" s="3">
        <f>SUMIFS(df_mutuos!M:M,df_mutuos!B:B,Conciliacao!A414)</f>
        <v/>
      </c>
      <c r="G414" s="6">
        <f>SUMIFS(df_bloqueios_judiciais!G:G,df_bloqueios_judiciais!D:D,Conciliacao!A414,df_bloqueios_judiciais!G:G,"&gt;0")</f>
        <v/>
      </c>
      <c r="H414" s="7">
        <f>SUMIFS(df_extratos!I:I,df_extratos!F:F,"&gt;="&amp;Conciliacao!BE414,df_extratos!F:F,"&lt;"&amp;Conciliacao!BE414+1,df_extratos!G:G,"CREDITO")
+SUMIFS(df_extratos!I:I,df_extratos!F:F,"&gt;="&amp;Conciliacao!A414, df_extratos!F:F,"&lt;"&amp;Conciliacao!A414+1, df_extratos!G:G,"CREDITO")
+SUMIFS(df_extratos!I:I,df_extratos!F:F,"&gt;="&amp;Conciliacao!BF414,df_extratos!F:F,"&lt;"&amp;Conciliacao!BF414+1,df_extratos!G:G,"CREDITO")
+SUMIFS(df_extratos!I:I,df_extratos!F:F,"&gt;="&amp;Conciliacao!BG414,df_extratos!F:F,"&lt;"&amp;Conciliacao!BG414+1,df_extratos!G:G,"CREDITO")
+SUMIFS(df_extratos!I:I,df_extratos!F:F,"&gt;="&amp;Conciliacao!BH414,df_extratos!F:F,"&lt;"&amp;Conciliacao!BH414+1,df_extratos!G:G,"CREDITO")</f>
        <v/>
      </c>
      <c r="I414" s="9">
        <f>H414-SUM(B414:G414)</f>
        <v/>
      </c>
      <c r="J414" s="4">
        <f>SUMIFS(df_blueme_sem_parcelamento!E:E,df_blueme_sem_parcelamento!H:H,Conciliacao!A414)*(-1)</f>
        <v/>
      </c>
      <c r="K414" s="4">
        <f>SUMIFS(df_blueme_com_parcelamento!J:J,df_blueme_com_parcelamento!M:M,Conciliacao!A414)*(-1)</f>
        <v/>
      </c>
      <c r="L414" s="4">
        <f>SUMIFS(df_mutuos!N:N,df_mutuos!B:B,Conciliacao!A414)*(-1)</f>
        <v/>
      </c>
      <c r="M414" s="8">
        <f>SUMIFS(df_bloqueios_judiciais!G:G,df_bloqueios_judiciais!D:D,Conciliacao!A414,df_bloqueios_judiciais!G:G,"&lt;0")</f>
        <v/>
      </c>
      <c r="N414" s="10">
        <f>SUMIFS(df_extratos!I:I,df_extratos!F:F,"&gt;="&amp;Conciliacao!BE414,df_extratos!F:F,"&lt;"&amp;Conciliacao!BE414+1,df_extratos!G:G,"DEBITO")
+SUMIFS(df_extratos!I:I,df_extratos!F:F,"&gt;="&amp;Conciliacao!A414, df_extratos!F:F,"&lt;"&amp;Conciliacao!A414+1, df_extratos!G:G,"DEBITO")
+SUMIFS(df_extratos!I:I,df_extratos!F:F,"&gt;="&amp;Conciliacao!BF414,df_extratos!F:F,"&lt;"&amp;Conciliacao!BF414+1,df_extratos!G:G,"DEBITO")
+SUMIFS(df_extratos!I:I,df_extratos!F:F,"&gt;="&amp;Conciliacao!BG414,df_extratos!F:F,"&lt;"&amp;Conciliacao!BG414+1,df_extratos!G:G,"DEBITO")
+SUMIFS(df_extratos!I:I,df_extratos!F:F,"&gt;="&amp;Conciliacao!BH414,df_extratos!F:F,"&lt;"&amp;Conciliacao!BH414+1,df_extratos!G:G,"DEBITO")</f>
        <v/>
      </c>
      <c r="O414" s="11">
        <f>N414-SUM(J414:M414)</f>
        <v/>
      </c>
      <c r="P414" s="25">
        <f>SUMIFS(df_ajustes_conciliaco!D:D,df_ajustes_conciliaco!C:C,Conciliacao!A414)</f>
        <v/>
      </c>
      <c r="Q414" s="22">
        <f>O414+I414-P414</f>
        <v/>
      </c>
    </row>
    <row r="415">
      <c r="A415" s="5">
        <f>A414+1</f>
        <v/>
      </c>
      <c r="B415" s="3">
        <f>-SUMIFS(df_extrato_zig!G:G,df_extrato_zig!E:E,Conciliacao!A415,df_extrato_zig!D:D,"Saque")-SUMIFS(df_extrato_zig!G:G,df_extrato_zig!E:E,Conciliacao!A415,df_extrato_zig!D:D,"Antecipação")</f>
        <v/>
      </c>
      <c r="C415" s="3">
        <f>SUMIFS(df_extrato_zig!E:E,df_extrato_zig!L:L,Conciliacao!A415,df_extrato_zig!F:F,"DINHEIRO")</f>
        <v/>
      </c>
      <c r="D415" s="3">
        <f>SUMIFS(view_parc_agrup!H:H,view_parc_agrup!G:G,Conciliacao!A415)</f>
        <v/>
      </c>
      <c r="E415" s="3">
        <f>SUMIFS(df_eventos!F:F,df_eventos!H:H,Conciliacao!A415)</f>
        <v/>
      </c>
      <c r="F415" s="3">
        <f>SUMIFS(df_mutuos!M:M,df_mutuos!B:B,Conciliacao!A415)</f>
        <v/>
      </c>
      <c r="G415" s="6">
        <f>SUMIFS(df_bloqueios_judiciais!G:G,df_bloqueios_judiciais!D:D,Conciliacao!A415,df_bloqueios_judiciais!G:G,"&gt;0")</f>
        <v/>
      </c>
      <c r="H415" s="7">
        <f>SUMIFS(df_extratos!I:I,df_extratos!F:F,"&gt;="&amp;Conciliacao!BE415,df_extratos!F:F,"&lt;"&amp;Conciliacao!BE415+1,df_extratos!G:G,"CREDITO")
+SUMIFS(df_extratos!I:I,df_extratos!F:F,"&gt;="&amp;Conciliacao!A415, df_extratos!F:F,"&lt;"&amp;Conciliacao!A415+1, df_extratos!G:G,"CREDITO")
+SUMIFS(df_extratos!I:I,df_extratos!F:F,"&gt;="&amp;Conciliacao!BF415,df_extratos!F:F,"&lt;"&amp;Conciliacao!BF415+1,df_extratos!G:G,"CREDITO")
+SUMIFS(df_extratos!I:I,df_extratos!F:F,"&gt;="&amp;Conciliacao!BG415,df_extratos!F:F,"&lt;"&amp;Conciliacao!BG415+1,df_extratos!G:G,"CREDITO")
+SUMIFS(df_extratos!I:I,df_extratos!F:F,"&gt;="&amp;Conciliacao!BH415,df_extratos!F:F,"&lt;"&amp;Conciliacao!BH415+1,df_extratos!G:G,"CREDITO")</f>
        <v/>
      </c>
      <c r="I415" s="9">
        <f>H415-SUM(B415:G415)</f>
        <v/>
      </c>
      <c r="J415" s="4">
        <f>SUMIFS(df_blueme_sem_parcelamento!E:E,df_blueme_sem_parcelamento!H:H,Conciliacao!A415)*(-1)</f>
        <v/>
      </c>
      <c r="K415" s="4">
        <f>SUMIFS(df_blueme_com_parcelamento!J:J,df_blueme_com_parcelamento!M:M,Conciliacao!A415)*(-1)</f>
        <v/>
      </c>
      <c r="L415" s="4">
        <f>SUMIFS(df_mutuos!N:N,df_mutuos!B:B,Conciliacao!A415)*(-1)</f>
        <v/>
      </c>
      <c r="M415" s="8">
        <f>SUMIFS(df_bloqueios_judiciais!G:G,df_bloqueios_judiciais!D:D,Conciliacao!A415,df_bloqueios_judiciais!G:G,"&lt;0")</f>
        <v/>
      </c>
      <c r="N415" s="10">
        <f>SUMIFS(df_extratos!I:I,df_extratos!F:F,"&gt;="&amp;Conciliacao!BE415,df_extratos!F:F,"&lt;"&amp;Conciliacao!BE415+1,df_extratos!G:G,"DEBITO")
+SUMIFS(df_extratos!I:I,df_extratos!F:F,"&gt;="&amp;Conciliacao!A415, df_extratos!F:F,"&lt;"&amp;Conciliacao!A415+1, df_extratos!G:G,"DEBITO")
+SUMIFS(df_extratos!I:I,df_extratos!F:F,"&gt;="&amp;Conciliacao!BF415,df_extratos!F:F,"&lt;"&amp;Conciliacao!BF415+1,df_extratos!G:G,"DEBITO")
+SUMIFS(df_extratos!I:I,df_extratos!F:F,"&gt;="&amp;Conciliacao!BG415,df_extratos!F:F,"&lt;"&amp;Conciliacao!BG415+1,df_extratos!G:G,"DEBITO")
+SUMIFS(df_extratos!I:I,df_extratos!F:F,"&gt;="&amp;Conciliacao!BH415,df_extratos!F:F,"&lt;"&amp;Conciliacao!BH415+1,df_extratos!G:G,"DEBITO")</f>
        <v/>
      </c>
      <c r="O415" s="11">
        <f>N415-SUM(J415:M415)</f>
        <v/>
      </c>
      <c r="P415" s="25">
        <f>SUMIFS(df_ajustes_conciliaco!D:D,df_ajustes_conciliaco!C:C,Conciliacao!A415)</f>
        <v/>
      </c>
      <c r="Q415" s="22">
        <f>O415+I415-P415</f>
        <v/>
      </c>
    </row>
    <row r="416">
      <c r="A416" s="5">
        <f>A415+1</f>
        <v/>
      </c>
      <c r="B416" s="3">
        <f>-SUMIFS(df_extrato_zig!G:G,df_extrato_zig!E:E,Conciliacao!A416,df_extrato_zig!D:D,"Saque")-SUMIFS(df_extrato_zig!G:G,df_extrato_zig!E:E,Conciliacao!A416,df_extrato_zig!D:D,"Antecipação")</f>
        <v/>
      </c>
      <c r="C416" s="3">
        <f>SUMIFS(df_extrato_zig!E:E,df_extrato_zig!L:L,Conciliacao!A416,df_extrato_zig!F:F,"DINHEIRO")</f>
        <v/>
      </c>
      <c r="D416" s="3">
        <f>SUMIFS(view_parc_agrup!H:H,view_parc_agrup!G:G,Conciliacao!A416)</f>
        <v/>
      </c>
      <c r="E416" s="3">
        <f>SUMIFS(df_eventos!F:F,df_eventos!H:H,Conciliacao!A416)</f>
        <v/>
      </c>
      <c r="F416" s="3">
        <f>SUMIFS(df_mutuos!M:M,df_mutuos!B:B,Conciliacao!A416)</f>
        <v/>
      </c>
      <c r="G416" s="6">
        <f>SUMIFS(df_bloqueios_judiciais!G:G,df_bloqueios_judiciais!D:D,Conciliacao!A416,df_bloqueios_judiciais!G:G,"&gt;0")</f>
        <v/>
      </c>
      <c r="H416" s="7">
        <f>SUMIFS(df_extratos!I:I,df_extratos!F:F,"&gt;="&amp;Conciliacao!BE416,df_extratos!F:F,"&lt;"&amp;Conciliacao!BE416+1,df_extratos!G:G,"CREDITO")
+SUMIFS(df_extratos!I:I,df_extratos!F:F,"&gt;="&amp;Conciliacao!A416, df_extratos!F:F,"&lt;"&amp;Conciliacao!A416+1, df_extratos!G:G,"CREDITO")
+SUMIFS(df_extratos!I:I,df_extratos!F:F,"&gt;="&amp;Conciliacao!BF416,df_extratos!F:F,"&lt;"&amp;Conciliacao!BF416+1,df_extratos!G:G,"CREDITO")
+SUMIFS(df_extratos!I:I,df_extratos!F:F,"&gt;="&amp;Conciliacao!BG416,df_extratos!F:F,"&lt;"&amp;Conciliacao!BG416+1,df_extratos!G:G,"CREDITO")
+SUMIFS(df_extratos!I:I,df_extratos!F:F,"&gt;="&amp;Conciliacao!BH416,df_extratos!F:F,"&lt;"&amp;Conciliacao!BH416+1,df_extratos!G:G,"CREDITO")</f>
        <v/>
      </c>
      <c r="I416" s="9">
        <f>H416-SUM(B416:G416)</f>
        <v/>
      </c>
      <c r="J416" s="4">
        <f>SUMIFS(df_blueme_sem_parcelamento!E:E,df_blueme_sem_parcelamento!H:H,Conciliacao!A416)*(-1)</f>
        <v/>
      </c>
      <c r="K416" s="4">
        <f>SUMIFS(df_blueme_com_parcelamento!J:J,df_blueme_com_parcelamento!M:M,Conciliacao!A416)*(-1)</f>
        <v/>
      </c>
      <c r="L416" s="4">
        <f>SUMIFS(df_mutuos!N:N,df_mutuos!B:B,Conciliacao!A416)*(-1)</f>
        <v/>
      </c>
      <c r="M416" s="8">
        <f>SUMIFS(df_bloqueios_judiciais!G:G,df_bloqueios_judiciais!D:D,Conciliacao!A416,df_bloqueios_judiciais!G:G,"&lt;0")</f>
        <v/>
      </c>
      <c r="N416" s="10">
        <f>SUMIFS(df_extratos!I:I,df_extratos!F:F,"&gt;="&amp;Conciliacao!BE416,df_extratos!F:F,"&lt;"&amp;Conciliacao!BE416+1,df_extratos!G:G,"DEBITO")
+SUMIFS(df_extratos!I:I,df_extratos!F:F,"&gt;="&amp;Conciliacao!A416, df_extratos!F:F,"&lt;"&amp;Conciliacao!A416+1, df_extratos!G:G,"DEBITO")
+SUMIFS(df_extratos!I:I,df_extratos!F:F,"&gt;="&amp;Conciliacao!BF416,df_extratos!F:F,"&lt;"&amp;Conciliacao!BF416+1,df_extratos!G:G,"DEBITO")
+SUMIFS(df_extratos!I:I,df_extratos!F:F,"&gt;="&amp;Conciliacao!BG416,df_extratos!F:F,"&lt;"&amp;Conciliacao!BG416+1,df_extratos!G:G,"DEBITO")
+SUMIFS(df_extratos!I:I,df_extratos!F:F,"&gt;="&amp;Conciliacao!BH416,df_extratos!F:F,"&lt;"&amp;Conciliacao!BH416+1,df_extratos!G:G,"DEBITO")</f>
        <v/>
      </c>
      <c r="O416" s="11">
        <f>N416-SUM(J416:M416)</f>
        <v/>
      </c>
      <c r="P416" s="25">
        <f>SUMIFS(df_ajustes_conciliaco!D:D,df_ajustes_conciliaco!C:C,Conciliacao!A416)</f>
        <v/>
      </c>
      <c r="Q416" s="22">
        <f>O416+I416-P416</f>
        <v/>
      </c>
    </row>
    <row r="417">
      <c r="A417" s="5">
        <f>A416+1</f>
        <v/>
      </c>
      <c r="B417" s="3">
        <f>-SUMIFS(df_extrato_zig!G:G,df_extrato_zig!E:E,Conciliacao!A417,df_extrato_zig!D:D,"Saque")-SUMIFS(df_extrato_zig!G:G,df_extrato_zig!E:E,Conciliacao!A417,df_extrato_zig!D:D,"Antecipação")</f>
        <v/>
      </c>
      <c r="C417" s="3">
        <f>SUMIFS(df_extrato_zig!E:E,df_extrato_zig!L:L,Conciliacao!A417,df_extrato_zig!F:F,"DINHEIRO")</f>
        <v/>
      </c>
      <c r="D417" s="3">
        <f>SUMIFS(view_parc_agrup!H:H,view_parc_agrup!G:G,Conciliacao!A417)</f>
        <v/>
      </c>
      <c r="E417" s="3">
        <f>SUMIFS(df_eventos!F:F,df_eventos!H:H,Conciliacao!A417)</f>
        <v/>
      </c>
      <c r="F417" s="3">
        <f>SUMIFS(df_mutuos!M:M,df_mutuos!B:B,Conciliacao!A417)</f>
        <v/>
      </c>
      <c r="G417" s="6">
        <f>SUMIFS(df_bloqueios_judiciais!G:G,df_bloqueios_judiciais!D:D,Conciliacao!A417,df_bloqueios_judiciais!G:G,"&gt;0")</f>
        <v/>
      </c>
      <c r="H417" s="7">
        <f>SUMIFS(df_extratos!I:I,df_extratos!F:F,"&gt;="&amp;Conciliacao!BE417,df_extratos!F:F,"&lt;"&amp;Conciliacao!BE417+1,df_extratos!G:G,"CREDITO")
+SUMIFS(df_extratos!I:I,df_extratos!F:F,"&gt;="&amp;Conciliacao!A417, df_extratos!F:F,"&lt;"&amp;Conciliacao!A417+1, df_extratos!G:G,"CREDITO")
+SUMIFS(df_extratos!I:I,df_extratos!F:F,"&gt;="&amp;Conciliacao!BF417,df_extratos!F:F,"&lt;"&amp;Conciliacao!BF417+1,df_extratos!G:G,"CREDITO")
+SUMIFS(df_extratos!I:I,df_extratos!F:F,"&gt;="&amp;Conciliacao!BG417,df_extratos!F:F,"&lt;"&amp;Conciliacao!BG417+1,df_extratos!G:G,"CREDITO")
+SUMIFS(df_extratos!I:I,df_extratos!F:F,"&gt;="&amp;Conciliacao!BH417,df_extratos!F:F,"&lt;"&amp;Conciliacao!BH417+1,df_extratos!G:G,"CREDITO")</f>
        <v/>
      </c>
      <c r="I417" s="9">
        <f>H417-SUM(B417:G417)</f>
        <v/>
      </c>
      <c r="J417" s="4">
        <f>SUMIFS(df_blueme_sem_parcelamento!E:E,df_blueme_sem_parcelamento!H:H,Conciliacao!A417)*(-1)</f>
        <v/>
      </c>
      <c r="K417" s="4">
        <f>SUMIFS(df_blueme_com_parcelamento!J:J,df_blueme_com_parcelamento!M:M,Conciliacao!A417)*(-1)</f>
        <v/>
      </c>
      <c r="L417" s="4">
        <f>SUMIFS(df_mutuos!N:N,df_mutuos!B:B,Conciliacao!A417)*(-1)</f>
        <v/>
      </c>
      <c r="M417" s="8">
        <f>SUMIFS(df_bloqueios_judiciais!G:G,df_bloqueios_judiciais!D:D,Conciliacao!A417,df_bloqueios_judiciais!G:G,"&lt;0")</f>
        <v/>
      </c>
      <c r="N417" s="10">
        <f>SUMIFS(df_extratos!I:I,df_extratos!F:F,"&gt;="&amp;Conciliacao!BE417,df_extratos!F:F,"&lt;"&amp;Conciliacao!BE417+1,df_extratos!G:G,"DEBITO")
+SUMIFS(df_extratos!I:I,df_extratos!F:F,"&gt;="&amp;Conciliacao!A417, df_extratos!F:F,"&lt;"&amp;Conciliacao!A417+1, df_extratos!G:G,"DEBITO")
+SUMIFS(df_extratos!I:I,df_extratos!F:F,"&gt;="&amp;Conciliacao!BF417,df_extratos!F:F,"&lt;"&amp;Conciliacao!BF417+1,df_extratos!G:G,"DEBITO")
+SUMIFS(df_extratos!I:I,df_extratos!F:F,"&gt;="&amp;Conciliacao!BG417,df_extratos!F:F,"&lt;"&amp;Conciliacao!BG417+1,df_extratos!G:G,"DEBITO")
+SUMIFS(df_extratos!I:I,df_extratos!F:F,"&gt;="&amp;Conciliacao!BH417,df_extratos!F:F,"&lt;"&amp;Conciliacao!BH417+1,df_extratos!G:G,"DEBITO")</f>
        <v/>
      </c>
      <c r="O417" s="11">
        <f>N417-SUM(J417:M417)</f>
        <v/>
      </c>
      <c r="P417" s="25">
        <f>SUMIFS(df_ajustes_conciliaco!D:D,df_ajustes_conciliaco!C:C,Conciliacao!A417)</f>
        <v/>
      </c>
      <c r="Q417" s="22">
        <f>O417+I417-P417</f>
        <v/>
      </c>
    </row>
    <row r="418">
      <c r="A418" s="5">
        <f>A417+1</f>
        <v/>
      </c>
      <c r="B418" s="3">
        <f>-SUMIFS(df_extrato_zig!G:G,df_extrato_zig!E:E,Conciliacao!A418,df_extrato_zig!D:D,"Saque")-SUMIFS(df_extrato_zig!G:G,df_extrato_zig!E:E,Conciliacao!A418,df_extrato_zig!D:D,"Antecipação")</f>
        <v/>
      </c>
      <c r="C418" s="3">
        <f>SUMIFS(df_extrato_zig!E:E,df_extrato_zig!L:L,Conciliacao!A418,df_extrato_zig!F:F,"DINHEIRO")</f>
        <v/>
      </c>
      <c r="D418" s="3">
        <f>SUMIFS(view_parc_agrup!H:H,view_parc_agrup!G:G,Conciliacao!A418)</f>
        <v/>
      </c>
      <c r="E418" s="3">
        <f>SUMIFS(df_eventos!F:F,df_eventos!H:H,Conciliacao!A418)</f>
        <v/>
      </c>
      <c r="F418" s="3">
        <f>SUMIFS(df_mutuos!M:M,df_mutuos!B:B,Conciliacao!A418)</f>
        <v/>
      </c>
      <c r="G418" s="6">
        <f>SUMIFS(df_bloqueios_judiciais!G:G,df_bloqueios_judiciais!D:D,Conciliacao!A418,df_bloqueios_judiciais!G:G,"&gt;0")</f>
        <v/>
      </c>
      <c r="H418" s="7">
        <f>SUMIFS(df_extratos!I:I,df_extratos!F:F,"&gt;="&amp;Conciliacao!BE418,df_extratos!F:F,"&lt;"&amp;Conciliacao!BE418+1,df_extratos!G:G,"CREDITO")
+SUMIFS(df_extratos!I:I,df_extratos!F:F,"&gt;="&amp;Conciliacao!A418, df_extratos!F:F,"&lt;"&amp;Conciliacao!A418+1, df_extratos!G:G,"CREDITO")
+SUMIFS(df_extratos!I:I,df_extratos!F:F,"&gt;="&amp;Conciliacao!BF418,df_extratos!F:F,"&lt;"&amp;Conciliacao!BF418+1,df_extratos!G:G,"CREDITO")
+SUMIFS(df_extratos!I:I,df_extratos!F:F,"&gt;="&amp;Conciliacao!BG418,df_extratos!F:F,"&lt;"&amp;Conciliacao!BG418+1,df_extratos!G:G,"CREDITO")
+SUMIFS(df_extratos!I:I,df_extratos!F:F,"&gt;="&amp;Conciliacao!BH418,df_extratos!F:F,"&lt;"&amp;Conciliacao!BH418+1,df_extratos!G:G,"CREDITO")</f>
        <v/>
      </c>
      <c r="I418" s="9">
        <f>H418-SUM(B418:G418)</f>
        <v/>
      </c>
      <c r="J418" s="4">
        <f>SUMIFS(df_blueme_sem_parcelamento!E:E,df_blueme_sem_parcelamento!H:H,Conciliacao!A418)*(-1)</f>
        <v/>
      </c>
      <c r="K418" s="4">
        <f>SUMIFS(df_blueme_com_parcelamento!J:J,df_blueme_com_parcelamento!M:M,Conciliacao!A418)*(-1)</f>
        <v/>
      </c>
      <c r="L418" s="4">
        <f>SUMIFS(df_mutuos!N:N,df_mutuos!B:B,Conciliacao!A418)*(-1)</f>
        <v/>
      </c>
      <c r="M418" s="8">
        <f>SUMIFS(df_bloqueios_judiciais!G:G,df_bloqueios_judiciais!D:D,Conciliacao!A418,df_bloqueios_judiciais!G:G,"&lt;0")</f>
        <v/>
      </c>
      <c r="N418" s="10">
        <f>SUMIFS(df_extratos!I:I,df_extratos!F:F,"&gt;="&amp;Conciliacao!BE418,df_extratos!F:F,"&lt;"&amp;Conciliacao!BE418+1,df_extratos!G:G,"DEBITO")
+SUMIFS(df_extratos!I:I,df_extratos!F:F,"&gt;="&amp;Conciliacao!A418, df_extratos!F:F,"&lt;"&amp;Conciliacao!A418+1, df_extratos!G:G,"DEBITO")
+SUMIFS(df_extratos!I:I,df_extratos!F:F,"&gt;="&amp;Conciliacao!BF418,df_extratos!F:F,"&lt;"&amp;Conciliacao!BF418+1,df_extratos!G:G,"DEBITO")
+SUMIFS(df_extratos!I:I,df_extratos!F:F,"&gt;="&amp;Conciliacao!BG418,df_extratos!F:F,"&lt;"&amp;Conciliacao!BG418+1,df_extratos!G:G,"DEBITO")
+SUMIFS(df_extratos!I:I,df_extratos!F:F,"&gt;="&amp;Conciliacao!BH418,df_extratos!F:F,"&lt;"&amp;Conciliacao!BH418+1,df_extratos!G:G,"DEBITO")</f>
        <v/>
      </c>
      <c r="O418" s="11">
        <f>N418-SUM(J418:M418)</f>
        <v/>
      </c>
      <c r="P418" s="25">
        <f>SUMIFS(df_ajustes_conciliaco!D:D,df_ajustes_conciliaco!C:C,Conciliacao!A418)</f>
        <v/>
      </c>
      <c r="Q418" s="22">
        <f>O418+I418-P418</f>
        <v/>
      </c>
    </row>
    <row r="419">
      <c r="A419" s="5">
        <f>A418+1</f>
        <v/>
      </c>
      <c r="B419" s="3">
        <f>-SUMIFS(df_extrato_zig!G:G,df_extrato_zig!E:E,Conciliacao!A419,df_extrato_zig!D:D,"Saque")-SUMIFS(df_extrato_zig!G:G,df_extrato_zig!E:E,Conciliacao!A419,df_extrato_zig!D:D,"Antecipação")</f>
        <v/>
      </c>
      <c r="C419" s="3">
        <f>SUMIFS(df_extrato_zig!E:E,df_extrato_zig!L:L,Conciliacao!A419,df_extrato_zig!F:F,"DINHEIRO")</f>
        <v/>
      </c>
      <c r="D419" s="3">
        <f>SUMIFS(view_parc_agrup!H:H,view_parc_agrup!G:G,Conciliacao!A419)</f>
        <v/>
      </c>
      <c r="E419" s="3">
        <f>SUMIFS(df_eventos!F:F,df_eventos!H:H,Conciliacao!A419)</f>
        <v/>
      </c>
      <c r="F419" s="3">
        <f>SUMIFS(df_mutuos!M:M,df_mutuos!B:B,Conciliacao!A419)</f>
        <v/>
      </c>
      <c r="G419" s="6">
        <f>SUMIFS(df_bloqueios_judiciais!G:G,df_bloqueios_judiciais!D:D,Conciliacao!A419,df_bloqueios_judiciais!G:G,"&gt;0")</f>
        <v/>
      </c>
      <c r="H419" s="7">
        <f>SUMIFS(df_extratos!I:I,df_extratos!F:F,"&gt;="&amp;Conciliacao!BE419,df_extratos!F:F,"&lt;"&amp;Conciliacao!BE419+1,df_extratos!G:G,"CREDITO")
+SUMIFS(df_extratos!I:I,df_extratos!F:F,"&gt;="&amp;Conciliacao!A419, df_extratos!F:F,"&lt;"&amp;Conciliacao!A419+1, df_extratos!G:G,"CREDITO")
+SUMIFS(df_extratos!I:I,df_extratos!F:F,"&gt;="&amp;Conciliacao!BF419,df_extratos!F:F,"&lt;"&amp;Conciliacao!BF419+1,df_extratos!G:G,"CREDITO")
+SUMIFS(df_extratos!I:I,df_extratos!F:F,"&gt;="&amp;Conciliacao!BG419,df_extratos!F:F,"&lt;"&amp;Conciliacao!BG419+1,df_extratos!G:G,"CREDITO")
+SUMIFS(df_extratos!I:I,df_extratos!F:F,"&gt;="&amp;Conciliacao!BH419,df_extratos!F:F,"&lt;"&amp;Conciliacao!BH419+1,df_extratos!G:G,"CREDITO")</f>
        <v/>
      </c>
      <c r="I419" s="9">
        <f>H419-SUM(B419:G419)</f>
        <v/>
      </c>
      <c r="J419" s="4">
        <f>SUMIFS(df_blueme_sem_parcelamento!E:E,df_blueme_sem_parcelamento!H:H,Conciliacao!A419)*(-1)</f>
        <v/>
      </c>
      <c r="K419" s="4">
        <f>SUMIFS(df_blueme_com_parcelamento!J:J,df_blueme_com_parcelamento!M:M,Conciliacao!A419)*(-1)</f>
        <v/>
      </c>
      <c r="L419" s="4">
        <f>SUMIFS(df_mutuos!N:N,df_mutuos!B:B,Conciliacao!A419)*(-1)</f>
        <v/>
      </c>
      <c r="M419" s="8">
        <f>SUMIFS(df_bloqueios_judiciais!G:G,df_bloqueios_judiciais!D:D,Conciliacao!A419,df_bloqueios_judiciais!G:G,"&lt;0")</f>
        <v/>
      </c>
      <c r="N419" s="10">
        <f>SUMIFS(df_extratos!I:I,df_extratos!F:F,"&gt;="&amp;Conciliacao!BE419,df_extratos!F:F,"&lt;"&amp;Conciliacao!BE419+1,df_extratos!G:G,"DEBITO")
+SUMIFS(df_extratos!I:I,df_extratos!F:F,"&gt;="&amp;Conciliacao!A419, df_extratos!F:F,"&lt;"&amp;Conciliacao!A419+1, df_extratos!G:G,"DEBITO")
+SUMIFS(df_extratos!I:I,df_extratos!F:F,"&gt;="&amp;Conciliacao!BF419,df_extratos!F:F,"&lt;"&amp;Conciliacao!BF419+1,df_extratos!G:G,"DEBITO")
+SUMIFS(df_extratos!I:I,df_extratos!F:F,"&gt;="&amp;Conciliacao!BG419,df_extratos!F:F,"&lt;"&amp;Conciliacao!BG419+1,df_extratos!G:G,"DEBITO")
+SUMIFS(df_extratos!I:I,df_extratos!F:F,"&gt;="&amp;Conciliacao!BH419,df_extratos!F:F,"&lt;"&amp;Conciliacao!BH419+1,df_extratos!G:G,"DEBITO")</f>
        <v/>
      </c>
      <c r="O419" s="11">
        <f>N419-SUM(J419:M419)</f>
        <v/>
      </c>
      <c r="P419" s="25">
        <f>SUMIFS(df_ajustes_conciliaco!D:D,df_ajustes_conciliaco!C:C,Conciliacao!A419)</f>
        <v/>
      </c>
      <c r="Q419" s="22">
        <f>O419+I419-P419</f>
        <v/>
      </c>
    </row>
    <row r="420">
      <c r="A420" s="5">
        <f>A419+1</f>
        <v/>
      </c>
      <c r="B420" s="3">
        <f>-SUMIFS(df_extrato_zig!G:G,df_extrato_zig!E:E,Conciliacao!A420,df_extrato_zig!D:D,"Saque")-SUMIFS(df_extrato_zig!G:G,df_extrato_zig!E:E,Conciliacao!A420,df_extrato_zig!D:D,"Antecipação")</f>
        <v/>
      </c>
      <c r="C420" s="3">
        <f>SUMIFS(df_extrato_zig!E:E,df_extrato_zig!L:L,Conciliacao!A420,df_extrato_zig!F:F,"DINHEIRO")</f>
        <v/>
      </c>
      <c r="D420" s="3">
        <f>SUMIFS(view_parc_agrup!H:H,view_parc_agrup!G:G,Conciliacao!A420)</f>
        <v/>
      </c>
      <c r="E420" s="3">
        <f>SUMIFS(df_eventos!F:F,df_eventos!H:H,Conciliacao!A420)</f>
        <v/>
      </c>
      <c r="F420" s="3">
        <f>SUMIFS(df_mutuos!M:M,df_mutuos!B:B,Conciliacao!A420)</f>
        <v/>
      </c>
      <c r="G420" s="6">
        <f>SUMIFS(df_bloqueios_judiciais!G:G,df_bloqueios_judiciais!D:D,Conciliacao!A420,df_bloqueios_judiciais!G:G,"&gt;0")</f>
        <v/>
      </c>
      <c r="H420" s="7">
        <f>SUMIFS(df_extratos!I:I,df_extratos!F:F,"&gt;="&amp;Conciliacao!BE420,df_extratos!F:F,"&lt;"&amp;Conciliacao!BE420+1,df_extratos!G:G,"CREDITO")
+SUMIFS(df_extratos!I:I,df_extratos!F:F,"&gt;="&amp;Conciliacao!A420, df_extratos!F:F,"&lt;"&amp;Conciliacao!A420+1, df_extratos!G:G,"CREDITO")
+SUMIFS(df_extratos!I:I,df_extratos!F:F,"&gt;="&amp;Conciliacao!BF420,df_extratos!F:F,"&lt;"&amp;Conciliacao!BF420+1,df_extratos!G:G,"CREDITO")
+SUMIFS(df_extratos!I:I,df_extratos!F:F,"&gt;="&amp;Conciliacao!BG420,df_extratos!F:F,"&lt;"&amp;Conciliacao!BG420+1,df_extratos!G:G,"CREDITO")
+SUMIFS(df_extratos!I:I,df_extratos!F:F,"&gt;="&amp;Conciliacao!BH420,df_extratos!F:F,"&lt;"&amp;Conciliacao!BH420+1,df_extratos!G:G,"CREDITO")</f>
        <v/>
      </c>
      <c r="I420" s="9">
        <f>H420-SUM(B420:G420)</f>
        <v/>
      </c>
      <c r="J420" s="4">
        <f>SUMIFS(df_blueme_sem_parcelamento!E:E,df_blueme_sem_parcelamento!H:H,Conciliacao!A420)*(-1)</f>
        <v/>
      </c>
      <c r="K420" s="4">
        <f>SUMIFS(df_blueme_com_parcelamento!J:J,df_blueme_com_parcelamento!M:M,Conciliacao!A420)*(-1)</f>
        <v/>
      </c>
      <c r="L420" s="4">
        <f>SUMIFS(df_mutuos!N:N,df_mutuos!B:B,Conciliacao!A420)*(-1)</f>
        <v/>
      </c>
      <c r="M420" s="8">
        <f>SUMIFS(df_bloqueios_judiciais!G:G,df_bloqueios_judiciais!D:D,Conciliacao!A420,df_bloqueios_judiciais!G:G,"&lt;0")</f>
        <v/>
      </c>
      <c r="N420" s="10">
        <f>SUMIFS(df_extratos!I:I,df_extratos!F:F,"&gt;="&amp;Conciliacao!BE420,df_extratos!F:F,"&lt;"&amp;Conciliacao!BE420+1,df_extratos!G:G,"DEBITO")
+SUMIFS(df_extratos!I:I,df_extratos!F:F,"&gt;="&amp;Conciliacao!A420, df_extratos!F:F,"&lt;"&amp;Conciliacao!A420+1, df_extratos!G:G,"DEBITO")
+SUMIFS(df_extratos!I:I,df_extratos!F:F,"&gt;="&amp;Conciliacao!BF420,df_extratos!F:F,"&lt;"&amp;Conciliacao!BF420+1,df_extratos!G:G,"DEBITO")
+SUMIFS(df_extratos!I:I,df_extratos!F:F,"&gt;="&amp;Conciliacao!BG420,df_extratos!F:F,"&lt;"&amp;Conciliacao!BG420+1,df_extratos!G:G,"DEBITO")
+SUMIFS(df_extratos!I:I,df_extratos!F:F,"&gt;="&amp;Conciliacao!BH420,df_extratos!F:F,"&lt;"&amp;Conciliacao!BH420+1,df_extratos!G:G,"DEBITO")</f>
        <v/>
      </c>
      <c r="O420" s="11">
        <f>N420-SUM(J420:M420)</f>
        <v/>
      </c>
      <c r="P420" s="25">
        <f>SUMIFS(df_ajustes_conciliaco!D:D,df_ajustes_conciliaco!C:C,Conciliacao!A420)</f>
        <v/>
      </c>
      <c r="Q420" s="22">
        <f>O420+I420-P420</f>
        <v/>
      </c>
    </row>
    <row r="421">
      <c r="A421" s="5">
        <f>A420+1</f>
        <v/>
      </c>
      <c r="B421" s="3">
        <f>-SUMIFS(df_extrato_zig!G:G,df_extrato_zig!E:E,Conciliacao!A421,df_extrato_zig!D:D,"Saque")-SUMIFS(df_extrato_zig!G:G,df_extrato_zig!E:E,Conciliacao!A421,df_extrato_zig!D:D,"Antecipação")</f>
        <v/>
      </c>
      <c r="C421" s="3">
        <f>SUMIFS(df_extrato_zig!E:E,df_extrato_zig!L:L,Conciliacao!A421,df_extrato_zig!F:F,"DINHEIRO")</f>
        <v/>
      </c>
      <c r="D421" s="3">
        <f>SUMIFS(view_parc_agrup!H:H,view_parc_agrup!G:G,Conciliacao!A421)</f>
        <v/>
      </c>
      <c r="E421" s="3">
        <f>SUMIFS(df_eventos!F:F,df_eventos!H:H,Conciliacao!A421)</f>
        <v/>
      </c>
      <c r="F421" s="3">
        <f>SUMIFS(df_mutuos!M:M,df_mutuos!B:B,Conciliacao!A421)</f>
        <v/>
      </c>
      <c r="G421" s="6">
        <f>SUMIFS(df_bloqueios_judiciais!G:G,df_bloqueios_judiciais!D:D,Conciliacao!A421,df_bloqueios_judiciais!G:G,"&gt;0")</f>
        <v/>
      </c>
      <c r="H421" s="7">
        <f>SUMIFS(df_extratos!I:I,df_extratos!F:F,"&gt;="&amp;Conciliacao!BE421,df_extratos!F:F,"&lt;"&amp;Conciliacao!BE421+1,df_extratos!G:G,"CREDITO")
+SUMIFS(df_extratos!I:I,df_extratos!F:F,"&gt;="&amp;Conciliacao!A421, df_extratos!F:F,"&lt;"&amp;Conciliacao!A421+1, df_extratos!G:G,"CREDITO")
+SUMIFS(df_extratos!I:I,df_extratos!F:F,"&gt;="&amp;Conciliacao!BF421,df_extratos!F:F,"&lt;"&amp;Conciliacao!BF421+1,df_extratos!G:G,"CREDITO")
+SUMIFS(df_extratos!I:I,df_extratos!F:F,"&gt;="&amp;Conciliacao!BG421,df_extratos!F:F,"&lt;"&amp;Conciliacao!BG421+1,df_extratos!G:G,"CREDITO")
+SUMIFS(df_extratos!I:I,df_extratos!F:F,"&gt;="&amp;Conciliacao!BH421,df_extratos!F:F,"&lt;"&amp;Conciliacao!BH421+1,df_extratos!G:G,"CREDITO")</f>
        <v/>
      </c>
      <c r="I421" s="9">
        <f>H421-SUM(B421:G421)</f>
        <v/>
      </c>
      <c r="J421" s="4">
        <f>SUMIFS(df_blueme_sem_parcelamento!E:E,df_blueme_sem_parcelamento!H:H,Conciliacao!A421)*(-1)</f>
        <v/>
      </c>
      <c r="K421" s="4">
        <f>SUMIFS(df_blueme_com_parcelamento!J:J,df_blueme_com_parcelamento!M:M,Conciliacao!A421)*(-1)</f>
        <v/>
      </c>
      <c r="L421" s="4">
        <f>SUMIFS(df_mutuos!N:N,df_mutuos!B:B,Conciliacao!A421)*(-1)</f>
        <v/>
      </c>
      <c r="M421" s="8">
        <f>SUMIFS(df_bloqueios_judiciais!G:G,df_bloqueios_judiciais!D:D,Conciliacao!A421,df_bloqueios_judiciais!G:G,"&lt;0")</f>
        <v/>
      </c>
      <c r="N421" s="10">
        <f>SUMIFS(df_extratos!I:I,df_extratos!F:F,"&gt;="&amp;Conciliacao!BE421,df_extratos!F:F,"&lt;"&amp;Conciliacao!BE421+1,df_extratos!G:G,"DEBITO")
+SUMIFS(df_extratos!I:I,df_extratos!F:F,"&gt;="&amp;Conciliacao!A421, df_extratos!F:F,"&lt;"&amp;Conciliacao!A421+1, df_extratos!G:G,"DEBITO")
+SUMIFS(df_extratos!I:I,df_extratos!F:F,"&gt;="&amp;Conciliacao!BF421,df_extratos!F:F,"&lt;"&amp;Conciliacao!BF421+1,df_extratos!G:G,"DEBITO")
+SUMIFS(df_extratos!I:I,df_extratos!F:F,"&gt;="&amp;Conciliacao!BG421,df_extratos!F:F,"&lt;"&amp;Conciliacao!BG421+1,df_extratos!G:G,"DEBITO")
+SUMIFS(df_extratos!I:I,df_extratos!F:F,"&gt;="&amp;Conciliacao!BH421,df_extratos!F:F,"&lt;"&amp;Conciliacao!BH421+1,df_extratos!G:G,"DEBITO")</f>
        <v/>
      </c>
      <c r="O421" s="11">
        <f>N421-SUM(J421:M421)</f>
        <v/>
      </c>
      <c r="P421" s="25">
        <f>SUMIFS(df_ajustes_conciliaco!D:D,df_ajustes_conciliaco!C:C,Conciliacao!A421)</f>
        <v/>
      </c>
      <c r="Q421" s="22">
        <f>O421+I421-P421</f>
        <v/>
      </c>
    </row>
    <row r="422">
      <c r="A422" s="5">
        <f>A421+1</f>
        <v/>
      </c>
      <c r="B422" s="3">
        <f>-SUMIFS(df_extrato_zig!G:G,df_extrato_zig!E:E,Conciliacao!A422,df_extrato_zig!D:D,"Saque")-SUMIFS(df_extrato_zig!G:G,df_extrato_zig!E:E,Conciliacao!A422,df_extrato_zig!D:D,"Antecipação")</f>
        <v/>
      </c>
      <c r="C422" s="3">
        <f>SUMIFS(df_extrato_zig!E:E,df_extrato_zig!L:L,Conciliacao!A422,df_extrato_zig!F:F,"DINHEIRO")</f>
        <v/>
      </c>
      <c r="D422" s="3">
        <f>SUMIFS(view_parc_agrup!H:H,view_parc_agrup!G:G,Conciliacao!A422)</f>
        <v/>
      </c>
      <c r="E422" s="3">
        <f>SUMIFS(df_eventos!F:F,df_eventos!H:H,Conciliacao!A422)</f>
        <v/>
      </c>
      <c r="F422" s="3">
        <f>SUMIFS(df_mutuos!M:M,df_mutuos!B:B,Conciliacao!A422)</f>
        <v/>
      </c>
      <c r="G422" s="6">
        <f>SUMIFS(df_bloqueios_judiciais!G:G,df_bloqueios_judiciais!D:D,Conciliacao!A422,df_bloqueios_judiciais!G:G,"&gt;0")</f>
        <v/>
      </c>
      <c r="H422" s="7">
        <f>SUMIFS(df_extratos!I:I,df_extratos!F:F,"&gt;="&amp;Conciliacao!BE422,df_extratos!F:F,"&lt;"&amp;Conciliacao!BE422+1,df_extratos!G:G,"CREDITO")
+SUMIFS(df_extratos!I:I,df_extratos!F:F,"&gt;="&amp;Conciliacao!A422, df_extratos!F:F,"&lt;"&amp;Conciliacao!A422+1, df_extratos!G:G,"CREDITO")
+SUMIFS(df_extratos!I:I,df_extratos!F:F,"&gt;="&amp;Conciliacao!BF422,df_extratos!F:F,"&lt;"&amp;Conciliacao!BF422+1,df_extratos!G:G,"CREDITO")
+SUMIFS(df_extratos!I:I,df_extratos!F:F,"&gt;="&amp;Conciliacao!BG422,df_extratos!F:F,"&lt;"&amp;Conciliacao!BG422+1,df_extratos!G:G,"CREDITO")
+SUMIFS(df_extratos!I:I,df_extratos!F:F,"&gt;="&amp;Conciliacao!BH422,df_extratos!F:F,"&lt;"&amp;Conciliacao!BH422+1,df_extratos!G:G,"CREDITO")</f>
        <v/>
      </c>
      <c r="I422" s="9">
        <f>H422-SUM(B422:G422)</f>
        <v/>
      </c>
      <c r="J422" s="4">
        <f>SUMIFS(df_blueme_sem_parcelamento!E:E,df_blueme_sem_parcelamento!H:H,Conciliacao!A422)*(-1)</f>
        <v/>
      </c>
      <c r="K422" s="4">
        <f>SUMIFS(df_blueme_com_parcelamento!J:J,df_blueme_com_parcelamento!M:M,Conciliacao!A422)*(-1)</f>
        <v/>
      </c>
      <c r="L422" s="4">
        <f>SUMIFS(df_mutuos!N:N,df_mutuos!B:B,Conciliacao!A422)*(-1)</f>
        <v/>
      </c>
      <c r="M422" s="8">
        <f>SUMIFS(df_bloqueios_judiciais!G:G,df_bloqueios_judiciais!D:D,Conciliacao!A422,df_bloqueios_judiciais!G:G,"&lt;0")</f>
        <v/>
      </c>
      <c r="N422" s="10">
        <f>SUMIFS(df_extratos!I:I,df_extratos!F:F,"&gt;="&amp;Conciliacao!BE422,df_extratos!F:F,"&lt;"&amp;Conciliacao!BE422+1,df_extratos!G:G,"DEBITO")
+SUMIFS(df_extratos!I:I,df_extratos!F:F,"&gt;="&amp;Conciliacao!A422, df_extratos!F:F,"&lt;"&amp;Conciliacao!A422+1, df_extratos!G:G,"DEBITO")
+SUMIFS(df_extratos!I:I,df_extratos!F:F,"&gt;="&amp;Conciliacao!BF422,df_extratos!F:F,"&lt;"&amp;Conciliacao!BF422+1,df_extratos!G:G,"DEBITO")
+SUMIFS(df_extratos!I:I,df_extratos!F:F,"&gt;="&amp;Conciliacao!BG422,df_extratos!F:F,"&lt;"&amp;Conciliacao!BG422+1,df_extratos!G:G,"DEBITO")
+SUMIFS(df_extratos!I:I,df_extratos!F:F,"&gt;="&amp;Conciliacao!BH422,df_extratos!F:F,"&lt;"&amp;Conciliacao!BH422+1,df_extratos!G:G,"DEBITO")</f>
        <v/>
      </c>
      <c r="O422" s="11">
        <f>N422-SUM(J422:M422)</f>
        <v/>
      </c>
      <c r="P422" s="25">
        <f>SUMIFS(df_ajustes_conciliaco!D:D,df_ajustes_conciliaco!C:C,Conciliacao!A422)</f>
        <v/>
      </c>
      <c r="Q422" s="22">
        <f>O422+I422-P422</f>
        <v/>
      </c>
    </row>
    <row r="423">
      <c r="A423" s="5">
        <f>A422+1</f>
        <v/>
      </c>
      <c r="B423" s="3">
        <f>-SUMIFS(df_extrato_zig!G:G,df_extrato_zig!E:E,Conciliacao!A423,df_extrato_zig!D:D,"Saque")-SUMIFS(df_extrato_zig!G:G,df_extrato_zig!E:E,Conciliacao!A423,df_extrato_zig!D:D,"Antecipação")</f>
        <v/>
      </c>
      <c r="C423" s="3">
        <f>SUMIFS(df_extrato_zig!E:E,df_extrato_zig!L:L,Conciliacao!A423,df_extrato_zig!F:F,"DINHEIRO")</f>
        <v/>
      </c>
      <c r="D423" s="3">
        <f>SUMIFS(view_parc_agrup!H:H,view_parc_agrup!G:G,Conciliacao!A423)</f>
        <v/>
      </c>
      <c r="E423" s="3">
        <f>SUMIFS(df_eventos!F:F,df_eventos!H:H,Conciliacao!A423)</f>
        <v/>
      </c>
      <c r="F423" s="3">
        <f>SUMIFS(df_mutuos!M:M,df_mutuos!B:B,Conciliacao!A423)</f>
        <v/>
      </c>
      <c r="G423" s="6">
        <f>SUMIFS(df_bloqueios_judiciais!G:G,df_bloqueios_judiciais!D:D,Conciliacao!A423,df_bloqueios_judiciais!G:G,"&gt;0")</f>
        <v/>
      </c>
      <c r="H423" s="7">
        <f>SUMIFS(df_extratos!I:I,df_extratos!F:F,"&gt;="&amp;Conciliacao!BE423,df_extratos!F:F,"&lt;"&amp;Conciliacao!BE423+1,df_extratos!G:G,"CREDITO")
+SUMIFS(df_extratos!I:I,df_extratos!F:F,"&gt;="&amp;Conciliacao!A423, df_extratos!F:F,"&lt;"&amp;Conciliacao!A423+1, df_extratos!G:G,"CREDITO")
+SUMIFS(df_extratos!I:I,df_extratos!F:F,"&gt;="&amp;Conciliacao!BF423,df_extratos!F:F,"&lt;"&amp;Conciliacao!BF423+1,df_extratos!G:G,"CREDITO")
+SUMIFS(df_extratos!I:I,df_extratos!F:F,"&gt;="&amp;Conciliacao!BG423,df_extratos!F:F,"&lt;"&amp;Conciliacao!BG423+1,df_extratos!G:G,"CREDITO")
+SUMIFS(df_extratos!I:I,df_extratos!F:F,"&gt;="&amp;Conciliacao!BH423,df_extratos!F:F,"&lt;"&amp;Conciliacao!BH423+1,df_extratos!G:G,"CREDITO")</f>
        <v/>
      </c>
      <c r="I423" s="9">
        <f>H423-SUM(B423:G423)</f>
        <v/>
      </c>
      <c r="J423" s="4">
        <f>SUMIFS(df_blueme_sem_parcelamento!E:E,df_blueme_sem_parcelamento!H:H,Conciliacao!A423)*(-1)</f>
        <v/>
      </c>
      <c r="K423" s="4">
        <f>SUMIFS(df_blueme_com_parcelamento!J:J,df_blueme_com_parcelamento!M:M,Conciliacao!A423)*(-1)</f>
        <v/>
      </c>
      <c r="L423" s="4">
        <f>SUMIFS(df_mutuos!N:N,df_mutuos!B:B,Conciliacao!A423)*(-1)</f>
        <v/>
      </c>
      <c r="M423" s="8">
        <f>SUMIFS(df_bloqueios_judiciais!G:G,df_bloqueios_judiciais!D:D,Conciliacao!A423,df_bloqueios_judiciais!G:G,"&lt;0")</f>
        <v/>
      </c>
      <c r="N423" s="10">
        <f>SUMIFS(df_extratos!I:I,df_extratos!F:F,"&gt;="&amp;Conciliacao!BE423,df_extratos!F:F,"&lt;"&amp;Conciliacao!BE423+1,df_extratos!G:G,"DEBITO")
+SUMIFS(df_extratos!I:I,df_extratos!F:F,"&gt;="&amp;Conciliacao!A423, df_extratos!F:F,"&lt;"&amp;Conciliacao!A423+1, df_extratos!G:G,"DEBITO")
+SUMIFS(df_extratos!I:I,df_extratos!F:F,"&gt;="&amp;Conciliacao!BF423,df_extratos!F:F,"&lt;"&amp;Conciliacao!BF423+1,df_extratos!G:G,"DEBITO")
+SUMIFS(df_extratos!I:I,df_extratos!F:F,"&gt;="&amp;Conciliacao!BG423,df_extratos!F:F,"&lt;"&amp;Conciliacao!BG423+1,df_extratos!G:G,"DEBITO")
+SUMIFS(df_extratos!I:I,df_extratos!F:F,"&gt;="&amp;Conciliacao!BH423,df_extratos!F:F,"&lt;"&amp;Conciliacao!BH423+1,df_extratos!G:G,"DEBITO")</f>
        <v/>
      </c>
      <c r="O423" s="11">
        <f>N423-SUM(J423:M423)</f>
        <v/>
      </c>
      <c r="P423" s="25">
        <f>SUMIFS(df_ajustes_conciliaco!D:D,df_ajustes_conciliaco!C:C,Conciliacao!A423)</f>
        <v/>
      </c>
      <c r="Q423" s="22">
        <f>O423+I423-P423</f>
        <v/>
      </c>
    </row>
    <row r="424">
      <c r="A424" s="5">
        <f>A423+1</f>
        <v/>
      </c>
      <c r="B424" s="3">
        <f>-SUMIFS(df_extrato_zig!G:G,df_extrato_zig!E:E,Conciliacao!A424,df_extrato_zig!D:D,"Saque")-SUMIFS(df_extrato_zig!G:G,df_extrato_zig!E:E,Conciliacao!A424,df_extrato_zig!D:D,"Antecipação")</f>
        <v/>
      </c>
      <c r="C424" s="3">
        <f>SUMIFS(df_extrato_zig!E:E,df_extrato_zig!L:L,Conciliacao!A424,df_extrato_zig!F:F,"DINHEIRO")</f>
        <v/>
      </c>
      <c r="D424" s="3">
        <f>SUMIFS(view_parc_agrup!H:H,view_parc_agrup!G:G,Conciliacao!A424)</f>
        <v/>
      </c>
      <c r="E424" s="3">
        <f>SUMIFS(df_eventos!F:F,df_eventos!H:H,Conciliacao!A424)</f>
        <v/>
      </c>
      <c r="F424" s="3">
        <f>SUMIFS(df_mutuos!M:M,df_mutuos!B:B,Conciliacao!A424)</f>
        <v/>
      </c>
      <c r="G424" s="6">
        <f>SUMIFS(df_bloqueios_judiciais!G:G,df_bloqueios_judiciais!D:D,Conciliacao!A424,df_bloqueios_judiciais!G:G,"&gt;0")</f>
        <v/>
      </c>
      <c r="H424" s="7">
        <f>SUMIFS(df_extratos!I:I,df_extratos!F:F,"&gt;="&amp;Conciliacao!BE424,df_extratos!F:F,"&lt;"&amp;Conciliacao!BE424+1,df_extratos!G:G,"CREDITO")
+SUMIFS(df_extratos!I:I,df_extratos!F:F,"&gt;="&amp;Conciliacao!A424, df_extratos!F:F,"&lt;"&amp;Conciliacao!A424+1, df_extratos!G:G,"CREDITO")
+SUMIFS(df_extratos!I:I,df_extratos!F:F,"&gt;="&amp;Conciliacao!BF424,df_extratos!F:F,"&lt;"&amp;Conciliacao!BF424+1,df_extratos!G:G,"CREDITO")
+SUMIFS(df_extratos!I:I,df_extratos!F:F,"&gt;="&amp;Conciliacao!BG424,df_extratos!F:F,"&lt;"&amp;Conciliacao!BG424+1,df_extratos!G:G,"CREDITO")
+SUMIFS(df_extratos!I:I,df_extratos!F:F,"&gt;="&amp;Conciliacao!BH424,df_extratos!F:F,"&lt;"&amp;Conciliacao!BH424+1,df_extratos!G:G,"CREDITO")</f>
        <v/>
      </c>
      <c r="I424" s="9">
        <f>H424-SUM(B424:G424)</f>
        <v/>
      </c>
      <c r="J424" s="4">
        <f>SUMIFS(df_blueme_sem_parcelamento!E:E,df_blueme_sem_parcelamento!H:H,Conciliacao!A424)*(-1)</f>
        <v/>
      </c>
      <c r="K424" s="4">
        <f>SUMIFS(df_blueme_com_parcelamento!J:J,df_blueme_com_parcelamento!M:M,Conciliacao!A424)*(-1)</f>
        <v/>
      </c>
      <c r="L424" s="4">
        <f>SUMIFS(df_mutuos!N:N,df_mutuos!B:B,Conciliacao!A424)*(-1)</f>
        <v/>
      </c>
      <c r="M424" s="8">
        <f>SUMIFS(df_bloqueios_judiciais!G:G,df_bloqueios_judiciais!D:D,Conciliacao!A424,df_bloqueios_judiciais!G:G,"&lt;0")</f>
        <v/>
      </c>
      <c r="N424" s="10">
        <f>SUMIFS(df_extratos!I:I,df_extratos!F:F,"&gt;="&amp;Conciliacao!BE424,df_extratos!F:F,"&lt;"&amp;Conciliacao!BE424+1,df_extratos!G:G,"DEBITO")
+SUMIFS(df_extratos!I:I,df_extratos!F:F,"&gt;="&amp;Conciliacao!A424, df_extratos!F:F,"&lt;"&amp;Conciliacao!A424+1, df_extratos!G:G,"DEBITO")
+SUMIFS(df_extratos!I:I,df_extratos!F:F,"&gt;="&amp;Conciliacao!BF424,df_extratos!F:F,"&lt;"&amp;Conciliacao!BF424+1,df_extratos!G:G,"DEBITO")
+SUMIFS(df_extratos!I:I,df_extratos!F:F,"&gt;="&amp;Conciliacao!BG424,df_extratos!F:F,"&lt;"&amp;Conciliacao!BG424+1,df_extratos!G:G,"DEBITO")
+SUMIFS(df_extratos!I:I,df_extratos!F:F,"&gt;="&amp;Conciliacao!BH424,df_extratos!F:F,"&lt;"&amp;Conciliacao!BH424+1,df_extratos!G:G,"DEBITO")</f>
        <v/>
      </c>
      <c r="O424" s="11">
        <f>N424-SUM(J424:M424)</f>
        <v/>
      </c>
      <c r="P424" s="25">
        <f>SUMIFS(df_ajustes_conciliaco!D:D,df_ajustes_conciliaco!C:C,Conciliacao!A424)</f>
        <v/>
      </c>
      <c r="Q424" s="22">
        <f>O424+I424-P424</f>
        <v/>
      </c>
    </row>
    <row r="425">
      <c r="A425" s="5">
        <f>A424+1</f>
        <v/>
      </c>
      <c r="B425" s="3">
        <f>-SUMIFS(df_extrato_zig!G:G,df_extrato_zig!E:E,Conciliacao!A425,df_extrato_zig!D:D,"Saque")-SUMIFS(df_extrato_zig!G:G,df_extrato_zig!E:E,Conciliacao!A425,df_extrato_zig!D:D,"Antecipação")</f>
        <v/>
      </c>
      <c r="C425" s="3">
        <f>SUMIFS(df_extrato_zig!E:E,df_extrato_zig!L:L,Conciliacao!A425,df_extrato_zig!F:F,"DINHEIRO")</f>
        <v/>
      </c>
      <c r="D425" s="3">
        <f>SUMIFS(view_parc_agrup!H:H,view_parc_agrup!G:G,Conciliacao!A425)</f>
        <v/>
      </c>
      <c r="E425" s="3">
        <f>SUMIFS(df_eventos!F:F,df_eventos!H:H,Conciliacao!A425)</f>
        <v/>
      </c>
      <c r="F425" s="3">
        <f>SUMIFS(df_mutuos!M:M,df_mutuos!B:B,Conciliacao!A425)</f>
        <v/>
      </c>
      <c r="G425" s="6">
        <f>SUMIFS(df_bloqueios_judiciais!G:G,df_bloqueios_judiciais!D:D,Conciliacao!A425,df_bloqueios_judiciais!G:G,"&gt;0")</f>
        <v/>
      </c>
      <c r="H425" s="7">
        <f>SUMIFS(df_extratos!I:I,df_extratos!F:F,"&gt;="&amp;Conciliacao!BE425,df_extratos!F:F,"&lt;"&amp;Conciliacao!BE425+1,df_extratos!G:G,"CREDITO")
+SUMIFS(df_extratos!I:I,df_extratos!F:F,"&gt;="&amp;Conciliacao!A425, df_extratos!F:F,"&lt;"&amp;Conciliacao!A425+1, df_extratos!G:G,"CREDITO")
+SUMIFS(df_extratos!I:I,df_extratos!F:F,"&gt;="&amp;Conciliacao!BF425,df_extratos!F:F,"&lt;"&amp;Conciliacao!BF425+1,df_extratos!G:G,"CREDITO")
+SUMIFS(df_extratos!I:I,df_extratos!F:F,"&gt;="&amp;Conciliacao!BG425,df_extratos!F:F,"&lt;"&amp;Conciliacao!BG425+1,df_extratos!G:G,"CREDITO")
+SUMIFS(df_extratos!I:I,df_extratos!F:F,"&gt;="&amp;Conciliacao!BH425,df_extratos!F:F,"&lt;"&amp;Conciliacao!BH425+1,df_extratos!G:G,"CREDITO")</f>
        <v/>
      </c>
      <c r="I425" s="9">
        <f>H425-SUM(B425:G425)</f>
        <v/>
      </c>
      <c r="J425" s="4">
        <f>SUMIFS(df_blueme_sem_parcelamento!E:E,df_blueme_sem_parcelamento!H:H,Conciliacao!A425)*(-1)</f>
        <v/>
      </c>
      <c r="K425" s="4">
        <f>SUMIFS(df_blueme_com_parcelamento!J:J,df_blueme_com_parcelamento!M:M,Conciliacao!A425)*(-1)</f>
        <v/>
      </c>
      <c r="L425" s="4">
        <f>SUMIFS(df_mutuos!N:N,df_mutuos!B:B,Conciliacao!A425)*(-1)</f>
        <v/>
      </c>
      <c r="M425" s="8">
        <f>SUMIFS(df_bloqueios_judiciais!G:G,df_bloqueios_judiciais!D:D,Conciliacao!A425,df_bloqueios_judiciais!G:G,"&lt;0")</f>
        <v/>
      </c>
      <c r="N425" s="10">
        <f>SUMIFS(df_extratos!I:I,df_extratos!F:F,"&gt;="&amp;Conciliacao!BE425,df_extratos!F:F,"&lt;"&amp;Conciliacao!BE425+1,df_extratos!G:G,"DEBITO")
+SUMIFS(df_extratos!I:I,df_extratos!F:F,"&gt;="&amp;Conciliacao!A425, df_extratos!F:F,"&lt;"&amp;Conciliacao!A425+1, df_extratos!G:G,"DEBITO")
+SUMIFS(df_extratos!I:I,df_extratos!F:F,"&gt;="&amp;Conciliacao!BF425,df_extratos!F:F,"&lt;"&amp;Conciliacao!BF425+1,df_extratos!G:G,"DEBITO")
+SUMIFS(df_extratos!I:I,df_extratos!F:F,"&gt;="&amp;Conciliacao!BG425,df_extratos!F:F,"&lt;"&amp;Conciliacao!BG425+1,df_extratos!G:G,"DEBITO")
+SUMIFS(df_extratos!I:I,df_extratos!F:F,"&gt;="&amp;Conciliacao!BH425,df_extratos!F:F,"&lt;"&amp;Conciliacao!BH425+1,df_extratos!G:G,"DEBITO")</f>
        <v/>
      </c>
      <c r="O425" s="11">
        <f>N425-SUM(J425:M425)</f>
        <v/>
      </c>
      <c r="P425" s="25">
        <f>SUMIFS(df_ajustes_conciliaco!D:D,df_ajustes_conciliaco!C:C,Conciliacao!A425)</f>
        <v/>
      </c>
      <c r="Q425" s="22">
        <f>O425+I425-P425</f>
        <v/>
      </c>
    </row>
    <row r="426">
      <c r="A426" s="5">
        <f>A425+1</f>
        <v/>
      </c>
      <c r="B426" s="3">
        <f>-SUMIFS(df_extrato_zig!G:G,df_extrato_zig!E:E,Conciliacao!A426,df_extrato_zig!D:D,"Saque")-SUMIFS(df_extrato_zig!G:G,df_extrato_zig!E:E,Conciliacao!A426,df_extrato_zig!D:D,"Antecipação")</f>
        <v/>
      </c>
      <c r="C426" s="3">
        <f>SUMIFS(df_extrato_zig!E:E,df_extrato_zig!L:L,Conciliacao!A426,df_extrato_zig!F:F,"DINHEIRO")</f>
        <v/>
      </c>
      <c r="D426" s="3">
        <f>SUMIFS(view_parc_agrup!H:H,view_parc_agrup!G:G,Conciliacao!A426)</f>
        <v/>
      </c>
      <c r="E426" s="3">
        <f>SUMIFS(df_eventos!F:F,df_eventos!H:H,Conciliacao!A426)</f>
        <v/>
      </c>
      <c r="F426" s="3">
        <f>SUMIFS(df_mutuos!M:M,df_mutuos!B:B,Conciliacao!A426)</f>
        <v/>
      </c>
      <c r="G426" s="6">
        <f>SUMIFS(df_bloqueios_judiciais!G:G,df_bloqueios_judiciais!D:D,Conciliacao!A426,df_bloqueios_judiciais!G:G,"&gt;0")</f>
        <v/>
      </c>
      <c r="H426" s="7">
        <f>SUMIFS(df_extratos!I:I,df_extratos!F:F,"&gt;="&amp;Conciliacao!BE426,df_extratos!F:F,"&lt;"&amp;Conciliacao!BE426+1,df_extratos!G:G,"CREDITO")
+SUMIFS(df_extratos!I:I,df_extratos!F:F,"&gt;="&amp;Conciliacao!A426, df_extratos!F:F,"&lt;"&amp;Conciliacao!A426+1, df_extratos!G:G,"CREDITO")
+SUMIFS(df_extratos!I:I,df_extratos!F:F,"&gt;="&amp;Conciliacao!BF426,df_extratos!F:F,"&lt;"&amp;Conciliacao!BF426+1,df_extratos!G:G,"CREDITO")
+SUMIFS(df_extratos!I:I,df_extratos!F:F,"&gt;="&amp;Conciliacao!BG426,df_extratos!F:F,"&lt;"&amp;Conciliacao!BG426+1,df_extratos!G:G,"CREDITO")
+SUMIFS(df_extratos!I:I,df_extratos!F:F,"&gt;="&amp;Conciliacao!BH426,df_extratos!F:F,"&lt;"&amp;Conciliacao!BH426+1,df_extratos!G:G,"CREDITO")</f>
        <v/>
      </c>
      <c r="I426" s="9">
        <f>H426-SUM(B426:G426)</f>
        <v/>
      </c>
      <c r="J426" s="4">
        <f>SUMIFS(df_blueme_sem_parcelamento!E:E,df_blueme_sem_parcelamento!H:H,Conciliacao!A426)*(-1)</f>
        <v/>
      </c>
      <c r="K426" s="4">
        <f>SUMIFS(df_blueme_com_parcelamento!J:J,df_blueme_com_parcelamento!M:M,Conciliacao!A426)*(-1)</f>
        <v/>
      </c>
      <c r="L426" s="4">
        <f>SUMIFS(df_mutuos!N:N,df_mutuos!B:B,Conciliacao!A426)*(-1)</f>
        <v/>
      </c>
      <c r="M426" s="8">
        <f>SUMIFS(df_bloqueios_judiciais!G:G,df_bloqueios_judiciais!D:D,Conciliacao!A426,df_bloqueios_judiciais!G:G,"&lt;0")</f>
        <v/>
      </c>
      <c r="N426" s="10">
        <f>SUMIFS(df_extratos!I:I,df_extratos!F:F,"&gt;="&amp;Conciliacao!BE426,df_extratos!F:F,"&lt;"&amp;Conciliacao!BE426+1,df_extratos!G:G,"DEBITO")
+SUMIFS(df_extratos!I:I,df_extratos!F:F,"&gt;="&amp;Conciliacao!A426, df_extratos!F:F,"&lt;"&amp;Conciliacao!A426+1, df_extratos!G:G,"DEBITO")
+SUMIFS(df_extratos!I:I,df_extratos!F:F,"&gt;="&amp;Conciliacao!BF426,df_extratos!F:F,"&lt;"&amp;Conciliacao!BF426+1,df_extratos!G:G,"DEBITO")
+SUMIFS(df_extratos!I:I,df_extratos!F:F,"&gt;="&amp;Conciliacao!BG426,df_extratos!F:F,"&lt;"&amp;Conciliacao!BG426+1,df_extratos!G:G,"DEBITO")
+SUMIFS(df_extratos!I:I,df_extratos!F:F,"&gt;="&amp;Conciliacao!BH426,df_extratos!F:F,"&lt;"&amp;Conciliacao!BH426+1,df_extratos!G:G,"DEBITO")</f>
        <v/>
      </c>
      <c r="O426" s="11">
        <f>N426-SUM(J426:M426)</f>
        <v/>
      </c>
      <c r="P426" s="25">
        <f>SUMIFS(df_ajustes_conciliaco!D:D,df_ajustes_conciliaco!C:C,Conciliacao!A426)</f>
        <v/>
      </c>
      <c r="Q426" s="22">
        <f>O426+I426-P426</f>
        <v/>
      </c>
    </row>
    <row r="427">
      <c r="A427" s="5">
        <f>A426+1</f>
        <v/>
      </c>
      <c r="B427" s="3">
        <f>-SUMIFS(df_extrato_zig!G:G,df_extrato_zig!E:E,Conciliacao!A427,df_extrato_zig!D:D,"Saque")-SUMIFS(df_extrato_zig!G:G,df_extrato_zig!E:E,Conciliacao!A427,df_extrato_zig!D:D,"Antecipação")</f>
        <v/>
      </c>
      <c r="C427" s="3">
        <f>SUMIFS(df_extrato_zig!E:E,df_extrato_zig!L:L,Conciliacao!A427,df_extrato_zig!F:F,"DINHEIRO")</f>
        <v/>
      </c>
      <c r="D427" s="3">
        <f>SUMIFS(view_parc_agrup!H:H,view_parc_agrup!G:G,Conciliacao!A427)</f>
        <v/>
      </c>
      <c r="E427" s="3">
        <f>SUMIFS(df_eventos!F:F,df_eventos!H:H,Conciliacao!A427)</f>
        <v/>
      </c>
      <c r="F427" s="3">
        <f>SUMIFS(df_mutuos!M:M,df_mutuos!B:B,Conciliacao!A427)</f>
        <v/>
      </c>
      <c r="G427" s="6">
        <f>SUMIFS(df_bloqueios_judiciais!G:G,df_bloqueios_judiciais!D:D,Conciliacao!A427,df_bloqueios_judiciais!G:G,"&gt;0")</f>
        <v/>
      </c>
      <c r="H427" s="7">
        <f>SUMIFS(df_extratos!I:I,df_extratos!F:F,"&gt;="&amp;Conciliacao!BE427,df_extratos!F:F,"&lt;"&amp;Conciliacao!BE427+1,df_extratos!G:G,"CREDITO")
+SUMIFS(df_extratos!I:I,df_extratos!F:F,"&gt;="&amp;Conciliacao!A427, df_extratos!F:F,"&lt;"&amp;Conciliacao!A427+1, df_extratos!G:G,"CREDITO")
+SUMIFS(df_extratos!I:I,df_extratos!F:F,"&gt;="&amp;Conciliacao!BF427,df_extratos!F:F,"&lt;"&amp;Conciliacao!BF427+1,df_extratos!G:G,"CREDITO")
+SUMIFS(df_extratos!I:I,df_extratos!F:F,"&gt;="&amp;Conciliacao!BG427,df_extratos!F:F,"&lt;"&amp;Conciliacao!BG427+1,df_extratos!G:G,"CREDITO")
+SUMIFS(df_extratos!I:I,df_extratos!F:F,"&gt;="&amp;Conciliacao!BH427,df_extratos!F:F,"&lt;"&amp;Conciliacao!BH427+1,df_extratos!G:G,"CREDITO")</f>
        <v/>
      </c>
      <c r="I427" s="9">
        <f>H427-SUM(B427:G427)</f>
        <v/>
      </c>
      <c r="J427" s="4">
        <f>SUMIFS(df_blueme_sem_parcelamento!E:E,df_blueme_sem_parcelamento!H:H,Conciliacao!A427)*(-1)</f>
        <v/>
      </c>
      <c r="K427" s="4">
        <f>SUMIFS(df_blueme_com_parcelamento!J:J,df_blueme_com_parcelamento!M:M,Conciliacao!A427)*(-1)</f>
        <v/>
      </c>
      <c r="L427" s="4">
        <f>SUMIFS(df_mutuos!N:N,df_mutuos!B:B,Conciliacao!A427)*(-1)</f>
        <v/>
      </c>
      <c r="M427" s="8">
        <f>SUMIFS(df_bloqueios_judiciais!G:G,df_bloqueios_judiciais!D:D,Conciliacao!A427,df_bloqueios_judiciais!G:G,"&lt;0")</f>
        <v/>
      </c>
      <c r="N427" s="10">
        <f>SUMIFS(df_extratos!I:I,df_extratos!F:F,"&gt;="&amp;Conciliacao!BE427,df_extratos!F:F,"&lt;"&amp;Conciliacao!BE427+1,df_extratos!G:G,"DEBITO")
+SUMIFS(df_extratos!I:I,df_extratos!F:F,"&gt;="&amp;Conciliacao!A427, df_extratos!F:F,"&lt;"&amp;Conciliacao!A427+1, df_extratos!G:G,"DEBITO")
+SUMIFS(df_extratos!I:I,df_extratos!F:F,"&gt;="&amp;Conciliacao!BF427,df_extratos!F:F,"&lt;"&amp;Conciliacao!BF427+1,df_extratos!G:G,"DEBITO")
+SUMIFS(df_extratos!I:I,df_extratos!F:F,"&gt;="&amp;Conciliacao!BG427,df_extratos!F:F,"&lt;"&amp;Conciliacao!BG427+1,df_extratos!G:G,"DEBITO")
+SUMIFS(df_extratos!I:I,df_extratos!F:F,"&gt;="&amp;Conciliacao!BH427,df_extratos!F:F,"&lt;"&amp;Conciliacao!BH427+1,df_extratos!G:G,"DEBITO")</f>
        <v/>
      </c>
      <c r="O427" s="11">
        <f>N427-SUM(J427:M427)</f>
        <v/>
      </c>
      <c r="P427" s="25">
        <f>SUMIFS(df_ajustes_conciliaco!D:D,df_ajustes_conciliaco!C:C,Conciliacao!A427)</f>
        <v/>
      </c>
      <c r="Q427" s="22">
        <f>O427+I427-P427</f>
        <v/>
      </c>
    </row>
    <row r="428">
      <c r="A428" s="5">
        <f>A427+1</f>
        <v/>
      </c>
      <c r="B428" s="3">
        <f>-SUMIFS(df_extrato_zig!G:G,df_extrato_zig!E:E,Conciliacao!A428,df_extrato_zig!D:D,"Saque")-SUMIFS(df_extrato_zig!G:G,df_extrato_zig!E:E,Conciliacao!A428,df_extrato_zig!D:D,"Antecipação")</f>
        <v/>
      </c>
      <c r="C428" s="3">
        <f>SUMIFS(df_extrato_zig!E:E,df_extrato_zig!L:L,Conciliacao!A428,df_extrato_zig!F:F,"DINHEIRO")</f>
        <v/>
      </c>
      <c r="D428" s="3">
        <f>SUMIFS(view_parc_agrup!H:H,view_parc_agrup!G:G,Conciliacao!A428)</f>
        <v/>
      </c>
      <c r="E428" s="3">
        <f>SUMIFS(df_eventos!F:F,df_eventos!H:H,Conciliacao!A428)</f>
        <v/>
      </c>
      <c r="F428" s="3">
        <f>SUMIFS(df_mutuos!M:M,df_mutuos!B:B,Conciliacao!A428)</f>
        <v/>
      </c>
      <c r="G428" s="6">
        <f>SUMIFS(df_bloqueios_judiciais!G:G,df_bloqueios_judiciais!D:D,Conciliacao!A428,df_bloqueios_judiciais!G:G,"&gt;0")</f>
        <v/>
      </c>
      <c r="H428" s="7">
        <f>SUMIFS(df_extratos!I:I,df_extratos!F:F,"&gt;="&amp;Conciliacao!BE428,df_extratos!F:F,"&lt;"&amp;Conciliacao!BE428+1,df_extratos!G:G,"CREDITO")
+SUMIFS(df_extratos!I:I,df_extratos!F:F,"&gt;="&amp;Conciliacao!A428, df_extratos!F:F,"&lt;"&amp;Conciliacao!A428+1, df_extratos!G:G,"CREDITO")
+SUMIFS(df_extratos!I:I,df_extratos!F:F,"&gt;="&amp;Conciliacao!BF428,df_extratos!F:F,"&lt;"&amp;Conciliacao!BF428+1,df_extratos!G:G,"CREDITO")
+SUMIFS(df_extratos!I:I,df_extratos!F:F,"&gt;="&amp;Conciliacao!BG428,df_extratos!F:F,"&lt;"&amp;Conciliacao!BG428+1,df_extratos!G:G,"CREDITO")
+SUMIFS(df_extratos!I:I,df_extratos!F:F,"&gt;="&amp;Conciliacao!BH428,df_extratos!F:F,"&lt;"&amp;Conciliacao!BH428+1,df_extratos!G:G,"CREDITO")</f>
        <v/>
      </c>
      <c r="I428" s="9">
        <f>H428-SUM(B428:G428)</f>
        <v/>
      </c>
      <c r="J428" s="4">
        <f>SUMIFS(df_blueme_sem_parcelamento!E:E,df_blueme_sem_parcelamento!H:H,Conciliacao!A428)*(-1)</f>
        <v/>
      </c>
      <c r="K428" s="4">
        <f>SUMIFS(df_blueme_com_parcelamento!J:J,df_blueme_com_parcelamento!M:M,Conciliacao!A428)*(-1)</f>
        <v/>
      </c>
      <c r="L428" s="4">
        <f>SUMIFS(df_mutuos!N:N,df_mutuos!B:B,Conciliacao!A428)*(-1)</f>
        <v/>
      </c>
      <c r="M428" s="8">
        <f>SUMIFS(df_bloqueios_judiciais!G:G,df_bloqueios_judiciais!D:D,Conciliacao!A428,df_bloqueios_judiciais!G:G,"&lt;0")</f>
        <v/>
      </c>
      <c r="N428" s="10">
        <f>SUMIFS(df_extratos!I:I,df_extratos!F:F,"&gt;="&amp;Conciliacao!BE428,df_extratos!F:F,"&lt;"&amp;Conciliacao!BE428+1,df_extratos!G:G,"DEBITO")
+SUMIFS(df_extratos!I:I,df_extratos!F:F,"&gt;="&amp;Conciliacao!A428, df_extratos!F:F,"&lt;"&amp;Conciliacao!A428+1, df_extratos!G:G,"DEBITO")
+SUMIFS(df_extratos!I:I,df_extratos!F:F,"&gt;="&amp;Conciliacao!BF428,df_extratos!F:F,"&lt;"&amp;Conciliacao!BF428+1,df_extratos!G:G,"DEBITO")
+SUMIFS(df_extratos!I:I,df_extratos!F:F,"&gt;="&amp;Conciliacao!BG428,df_extratos!F:F,"&lt;"&amp;Conciliacao!BG428+1,df_extratos!G:G,"DEBITO")
+SUMIFS(df_extratos!I:I,df_extratos!F:F,"&gt;="&amp;Conciliacao!BH428,df_extratos!F:F,"&lt;"&amp;Conciliacao!BH428+1,df_extratos!G:G,"DEBITO")</f>
        <v/>
      </c>
      <c r="O428" s="11">
        <f>N428-SUM(J428:M428)</f>
        <v/>
      </c>
      <c r="P428" s="25">
        <f>SUMIFS(df_ajustes_conciliaco!D:D,df_ajustes_conciliaco!C:C,Conciliacao!A428)</f>
        <v/>
      </c>
      <c r="Q428" s="22">
        <f>O428+I428-P428</f>
        <v/>
      </c>
    </row>
    <row r="429">
      <c r="A429" s="5">
        <f>A428+1</f>
        <v/>
      </c>
      <c r="B429" s="3">
        <f>-SUMIFS(df_extrato_zig!G:G,df_extrato_zig!E:E,Conciliacao!A429,df_extrato_zig!D:D,"Saque")-SUMIFS(df_extrato_zig!G:G,df_extrato_zig!E:E,Conciliacao!A429,df_extrato_zig!D:D,"Antecipação")</f>
        <v/>
      </c>
      <c r="C429" s="3">
        <f>SUMIFS(df_extrato_zig!E:E,df_extrato_zig!L:L,Conciliacao!A429,df_extrato_zig!F:F,"DINHEIRO")</f>
        <v/>
      </c>
      <c r="D429" s="3">
        <f>SUMIFS(view_parc_agrup!H:H,view_parc_agrup!G:G,Conciliacao!A429)</f>
        <v/>
      </c>
      <c r="E429" s="3">
        <f>SUMIFS(df_eventos!F:F,df_eventos!H:H,Conciliacao!A429)</f>
        <v/>
      </c>
      <c r="F429" s="3">
        <f>SUMIFS(df_mutuos!M:M,df_mutuos!B:B,Conciliacao!A429)</f>
        <v/>
      </c>
      <c r="G429" s="6">
        <f>SUMIFS(df_bloqueios_judiciais!G:G,df_bloqueios_judiciais!D:D,Conciliacao!A429,df_bloqueios_judiciais!G:G,"&gt;0")</f>
        <v/>
      </c>
      <c r="H429" s="7">
        <f>SUMIFS(df_extratos!I:I,df_extratos!F:F,"&gt;="&amp;Conciliacao!BE429,df_extratos!F:F,"&lt;"&amp;Conciliacao!BE429+1,df_extratos!G:G,"CREDITO")
+SUMIFS(df_extratos!I:I,df_extratos!F:F,"&gt;="&amp;Conciliacao!A429, df_extratos!F:F,"&lt;"&amp;Conciliacao!A429+1, df_extratos!G:G,"CREDITO")
+SUMIFS(df_extratos!I:I,df_extratos!F:F,"&gt;="&amp;Conciliacao!BF429,df_extratos!F:F,"&lt;"&amp;Conciliacao!BF429+1,df_extratos!G:G,"CREDITO")
+SUMIFS(df_extratos!I:I,df_extratos!F:F,"&gt;="&amp;Conciliacao!BG429,df_extratos!F:F,"&lt;"&amp;Conciliacao!BG429+1,df_extratos!G:G,"CREDITO")
+SUMIFS(df_extratos!I:I,df_extratos!F:F,"&gt;="&amp;Conciliacao!BH429,df_extratos!F:F,"&lt;"&amp;Conciliacao!BH429+1,df_extratos!G:G,"CREDITO")</f>
        <v/>
      </c>
      <c r="I429" s="9">
        <f>H429-SUM(B429:G429)</f>
        <v/>
      </c>
      <c r="J429" s="4">
        <f>SUMIFS(df_blueme_sem_parcelamento!E:E,df_blueme_sem_parcelamento!H:H,Conciliacao!A429)*(-1)</f>
        <v/>
      </c>
      <c r="K429" s="4">
        <f>SUMIFS(df_blueme_com_parcelamento!J:J,df_blueme_com_parcelamento!M:M,Conciliacao!A429)*(-1)</f>
        <v/>
      </c>
      <c r="L429" s="4">
        <f>SUMIFS(df_mutuos!N:N,df_mutuos!B:B,Conciliacao!A429)*(-1)</f>
        <v/>
      </c>
      <c r="M429" s="8">
        <f>SUMIFS(df_bloqueios_judiciais!G:G,df_bloqueios_judiciais!D:D,Conciliacao!A429,df_bloqueios_judiciais!G:G,"&lt;0")</f>
        <v/>
      </c>
      <c r="N429" s="10">
        <f>SUMIFS(df_extratos!I:I,df_extratos!F:F,"&gt;="&amp;Conciliacao!BE429,df_extratos!F:F,"&lt;"&amp;Conciliacao!BE429+1,df_extratos!G:G,"DEBITO")
+SUMIFS(df_extratos!I:I,df_extratos!F:F,"&gt;="&amp;Conciliacao!A429, df_extratos!F:F,"&lt;"&amp;Conciliacao!A429+1, df_extratos!G:G,"DEBITO")
+SUMIFS(df_extratos!I:I,df_extratos!F:F,"&gt;="&amp;Conciliacao!BF429,df_extratos!F:F,"&lt;"&amp;Conciliacao!BF429+1,df_extratos!G:G,"DEBITO")
+SUMIFS(df_extratos!I:I,df_extratos!F:F,"&gt;="&amp;Conciliacao!BG429,df_extratos!F:F,"&lt;"&amp;Conciliacao!BG429+1,df_extratos!G:G,"DEBITO")
+SUMIFS(df_extratos!I:I,df_extratos!F:F,"&gt;="&amp;Conciliacao!BH429,df_extratos!F:F,"&lt;"&amp;Conciliacao!BH429+1,df_extratos!G:G,"DEBITO")</f>
        <v/>
      </c>
      <c r="O429" s="11">
        <f>N429-SUM(J429:M429)</f>
        <v/>
      </c>
      <c r="P429" s="25">
        <f>SUMIFS(df_ajustes_conciliaco!D:D,df_ajustes_conciliaco!C:C,Conciliacao!A429)</f>
        <v/>
      </c>
      <c r="Q429" s="22">
        <f>O429+I429-P429</f>
        <v/>
      </c>
    </row>
    <row r="430">
      <c r="A430" s="5">
        <f>A429+1</f>
        <v/>
      </c>
      <c r="B430" s="3">
        <f>-SUMIFS(df_extrato_zig!G:G,df_extrato_zig!E:E,Conciliacao!A430,df_extrato_zig!D:D,"Saque")-SUMIFS(df_extrato_zig!G:G,df_extrato_zig!E:E,Conciliacao!A430,df_extrato_zig!D:D,"Antecipação")</f>
        <v/>
      </c>
      <c r="C430" s="3">
        <f>SUMIFS(df_extrato_zig!E:E,df_extrato_zig!L:L,Conciliacao!A430,df_extrato_zig!F:F,"DINHEIRO")</f>
        <v/>
      </c>
      <c r="D430" s="3">
        <f>SUMIFS(view_parc_agrup!H:H,view_parc_agrup!G:G,Conciliacao!A430)</f>
        <v/>
      </c>
      <c r="E430" s="3">
        <f>SUMIFS(df_eventos!F:F,df_eventos!H:H,Conciliacao!A430)</f>
        <v/>
      </c>
      <c r="F430" s="3">
        <f>SUMIFS(df_mutuos!M:M,df_mutuos!B:B,Conciliacao!A430)</f>
        <v/>
      </c>
      <c r="G430" s="6">
        <f>SUMIFS(df_bloqueios_judiciais!G:G,df_bloqueios_judiciais!D:D,Conciliacao!A430,df_bloqueios_judiciais!G:G,"&gt;0")</f>
        <v/>
      </c>
      <c r="H430" s="7">
        <f>SUMIFS(df_extratos!I:I,df_extratos!F:F,"&gt;="&amp;Conciliacao!BE430,df_extratos!F:F,"&lt;"&amp;Conciliacao!BE430+1,df_extratos!G:G,"CREDITO")
+SUMIFS(df_extratos!I:I,df_extratos!F:F,"&gt;="&amp;Conciliacao!A430, df_extratos!F:F,"&lt;"&amp;Conciliacao!A430+1, df_extratos!G:G,"CREDITO")
+SUMIFS(df_extratos!I:I,df_extratos!F:F,"&gt;="&amp;Conciliacao!BF430,df_extratos!F:F,"&lt;"&amp;Conciliacao!BF430+1,df_extratos!G:G,"CREDITO")
+SUMIFS(df_extratos!I:I,df_extratos!F:F,"&gt;="&amp;Conciliacao!BG430,df_extratos!F:F,"&lt;"&amp;Conciliacao!BG430+1,df_extratos!G:G,"CREDITO")
+SUMIFS(df_extratos!I:I,df_extratos!F:F,"&gt;="&amp;Conciliacao!BH430,df_extratos!F:F,"&lt;"&amp;Conciliacao!BH430+1,df_extratos!G:G,"CREDITO")</f>
        <v/>
      </c>
      <c r="I430" s="9">
        <f>H430-SUM(B430:G430)</f>
        <v/>
      </c>
      <c r="J430" s="4">
        <f>SUMIFS(df_blueme_sem_parcelamento!E:E,df_blueme_sem_parcelamento!H:H,Conciliacao!A430)*(-1)</f>
        <v/>
      </c>
      <c r="K430" s="4">
        <f>SUMIFS(df_blueme_com_parcelamento!J:J,df_blueme_com_parcelamento!M:M,Conciliacao!A430)*(-1)</f>
        <v/>
      </c>
      <c r="L430" s="4">
        <f>SUMIFS(df_mutuos!N:N,df_mutuos!B:B,Conciliacao!A430)*(-1)</f>
        <v/>
      </c>
      <c r="M430" s="8">
        <f>SUMIFS(df_bloqueios_judiciais!G:G,df_bloqueios_judiciais!D:D,Conciliacao!A430,df_bloqueios_judiciais!G:G,"&lt;0")</f>
        <v/>
      </c>
      <c r="N430" s="10">
        <f>SUMIFS(df_extratos!I:I,df_extratos!F:F,"&gt;="&amp;Conciliacao!BE430,df_extratos!F:F,"&lt;"&amp;Conciliacao!BE430+1,df_extratos!G:G,"DEBITO")
+SUMIFS(df_extratos!I:I,df_extratos!F:F,"&gt;="&amp;Conciliacao!A430, df_extratos!F:F,"&lt;"&amp;Conciliacao!A430+1, df_extratos!G:G,"DEBITO")
+SUMIFS(df_extratos!I:I,df_extratos!F:F,"&gt;="&amp;Conciliacao!BF430,df_extratos!F:F,"&lt;"&amp;Conciliacao!BF430+1,df_extratos!G:G,"DEBITO")
+SUMIFS(df_extratos!I:I,df_extratos!F:F,"&gt;="&amp;Conciliacao!BG430,df_extratos!F:F,"&lt;"&amp;Conciliacao!BG430+1,df_extratos!G:G,"DEBITO")
+SUMIFS(df_extratos!I:I,df_extratos!F:F,"&gt;="&amp;Conciliacao!BH430,df_extratos!F:F,"&lt;"&amp;Conciliacao!BH430+1,df_extratos!G:G,"DEBITO")</f>
        <v/>
      </c>
      <c r="O430" s="11">
        <f>N430-SUM(J430:M430)</f>
        <v/>
      </c>
      <c r="P430" s="25">
        <f>SUMIFS(df_ajustes_conciliaco!D:D,df_ajustes_conciliaco!C:C,Conciliacao!A430)</f>
        <v/>
      </c>
      <c r="Q430" s="22">
        <f>O430+I430-P430</f>
        <v/>
      </c>
    </row>
    <row r="431">
      <c r="A431" s="5">
        <f>A430+1</f>
        <v/>
      </c>
      <c r="B431" s="3">
        <f>-SUMIFS(df_extrato_zig!G:G,df_extrato_zig!E:E,Conciliacao!A431,df_extrato_zig!D:D,"Saque")-SUMIFS(df_extrato_zig!G:G,df_extrato_zig!E:E,Conciliacao!A431,df_extrato_zig!D:D,"Antecipação")</f>
        <v/>
      </c>
      <c r="C431" s="3">
        <f>SUMIFS(df_extrato_zig!E:E,df_extrato_zig!L:L,Conciliacao!A431,df_extrato_zig!F:F,"DINHEIRO")</f>
        <v/>
      </c>
      <c r="D431" s="3">
        <f>SUMIFS(view_parc_agrup!H:H,view_parc_agrup!G:G,Conciliacao!A431)</f>
        <v/>
      </c>
      <c r="E431" s="3">
        <f>SUMIFS(df_eventos!F:F,df_eventos!H:H,Conciliacao!A431)</f>
        <v/>
      </c>
      <c r="F431" s="3">
        <f>SUMIFS(df_mutuos!M:M,df_mutuos!B:B,Conciliacao!A431)</f>
        <v/>
      </c>
      <c r="G431" s="6">
        <f>SUMIFS(df_bloqueios_judiciais!G:G,df_bloqueios_judiciais!D:D,Conciliacao!A431,df_bloqueios_judiciais!G:G,"&gt;0")</f>
        <v/>
      </c>
      <c r="H431" s="7">
        <f>SUMIFS(df_extratos!I:I,df_extratos!F:F,"&gt;="&amp;Conciliacao!BE431,df_extratos!F:F,"&lt;"&amp;Conciliacao!BE431+1,df_extratos!G:G,"CREDITO")
+SUMIFS(df_extratos!I:I,df_extratos!F:F,"&gt;="&amp;Conciliacao!A431, df_extratos!F:F,"&lt;"&amp;Conciliacao!A431+1, df_extratos!G:G,"CREDITO")
+SUMIFS(df_extratos!I:I,df_extratos!F:F,"&gt;="&amp;Conciliacao!BF431,df_extratos!F:F,"&lt;"&amp;Conciliacao!BF431+1,df_extratos!G:G,"CREDITO")
+SUMIFS(df_extratos!I:I,df_extratos!F:F,"&gt;="&amp;Conciliacao!BG431,df_extratos!F:F,"&lt;"&amp;Conciliacao!BG431+1,df_extratos!G:G,"CREDITO")
+SUMIFS(df_extratos!I:I,df_extratos!F:F,"&gt;="&amp;Conciliacao!BH431,df_extratos!F:F,"&lt;"&amp;Conciliacao!BH431+1,df_extratos!G:G,"CREDITO")</f>
        <v/>
      </c>
      <c r="I431" s="9">
        <f>H431-SUM(B431:G431)</f>
        <v/>
      </c>
      <c r="J431" s="4">
        <f>SUMIFS(df_blueme_sem_parcelamento!E:E,df_blueme_sem_parcelamento!H:H,Conciliacao!A431)*(-1)</f>
        <v/>
      </c>
      <c r="K431" s="4">
        <f>SUMIFS(df_blueme_com_parcelamento!J:J,df_blueme_com_parcelamento!M:M,Conciliacao!A431)*(-1)</f>
        <v/>
      </c>
      <c r="L431" s="4">
        <f>SUMIFS(df_mutuos!N:N,df_mutuos!B:B,Conciliacao!A431)*(-1)</f>
        <v/>
      </c>
      <c r="M431" s="8">
        <f>SUMIFS(df_bloqueios_judiciais!G:G,df_bloqueios_judiciais!D:D,Conciliacao!A431,df_bloqueios_judiciais!G:G,"&lt;0")</f>
        <v/>
      </c>
      <c r="N431" s="10">
        <f>SUMIFS(df_extratos!I:I,df_extratos!F:F,"&gt;="&amp;Conciliacao!BE431,df_extratos!F:F,"&lt;"&amp;Conciliacao!BE431+1,df_extratos!G:G,"DEBITO")
+SUMIFS(df_extratos!I:I,df_extratos!F:F,"&gt;="&amp;Conciliacao!A431, df_extratos!F:F,"&lt;"&amp;Conciliacao!A431+1, df_extratos!G:G,"DEBITO")
+SUMIFS(df_extratos!I:I,df_extratos!F:F,"&gt;="&amp;Conciliacao!BF431,df_extratos!F:F,"&lt;"&amp;Conciliacao!BF431+1,df_extratos!G:G,"DEBITO")
+SUMIFS(df_extratos!I:I,df_extratos!F:F,"&gt;="&amp;Conciliacao!BG431,df_extratos!F:F,"&lt;"&amp;Conciliacao!BG431+1,df_extratos!G:G,"DEBITO")
+SUMIFS(df_extratos!I:I,df_extratos!F:F,"&gt;="&amp;Conciliacao!BH431,df_extratos!F:F,"&lt;"&amp;Conciliacao!BH431+1,df_extratos!G:G,"DEBITO")</f>
        <v/>
      </c>
      <c r="O431" s="11">
        <f>N431-SUM(J431:M431)</f>
        <v/>
      </c>
      <c r="P431" s="25">
        <f>SUMIFS(df_ajustes_conciliaco!D:D,df_ajustes_conciliaco!C:C,Conciliacao!A431)</f>
        <v/>
      </c>
      <c r="Q431" s="22">
        <f>O431+I431-P431</f>
        <v/>
      </c>
    </row>
    <row r="432">
      <c r="A432" s="5">
        <f>A431+1</f>
        <v/>
      </c>
      <c r="B432" s="3">
        <f>-SUMIFS(df_extrato_zig!G:G,df_extrato_zig!E:E,Conciliacao!A432,df_extrato_zig!D:D,"Saque")-SUMIFS(df_extrato_zig!G:G,df_extrato_zig!E:E,Conciliacao!A432,df_extrato_zig!D:D,"Antecipação")</f>
        <v/>
      </c>
      <c r="C432" s="3">
        <f>SUMIFS(df_extrato_zig!E:E,df_extrato_zig!L:L,Conciliacao!A432,df_extrato_zig!F:F,"DINHEIRO")</f>
        <v/>
      </c>
      <c r="D432" s="3">
        <f>SUMIFS(view_parc_agrup!H:H,view_parc_agrup!G:G,Conciliacao!A432)</f>
        <v/>
      </c>
      <c r="E432" s="3">
        <f>SUMIFS(df_eventos!F:F,df_eventos!H:H,Conciliacao!A432)</f>
        <v/>
      </c>
      <c r="F432" s="3">
        <f>SUMIFS(df_mutuos!M:M,df_mutuos!B:B,Conciliacao!A432)</f>
        <v/>
      </c>
      <c r="G432" s="6">
        <f>SUMIFS(df_bloqueios_judiciais!G:G,df_bloqueios_judiciais!D:D,Conciliacao!A432,df_bloqueios_judiciais!G:G,"&gt;0")</f>
        <v/>
      </c>
      <c r="H432" s="7">
        <f>SUMIFS(df_extratos!I:I,df_extratos!F:F,"&gt;="&amp;Conciliacao!BE432,df_extratos!F:F,"&lt;"&amp;Conciliacao!BE432+1,df_extratos!G:G,"CREDITO")
+SUMIFS(df_extratos!I:I,df_extratos!F:F,"&gt;="&amp;Conciliacao!A432, df_extratos!F:F,"&lt;"&amp;Conciliacao!A432+1, df_extratos!G:G,"CREDITO")
+SUMIFS(df_extratos!I:I,df_extratos!F:F,"&gt;="&amp;Conciliacao!BF432,df_extratos!F:F,"&lt;"&amp;Conciliacao!BF432+1,df_extratos!G:G,"CREDITO")
+SUMIFS(df_extratos!I:I,df_extratos!F:F,"&gt;="&amp;Conciliacao!BG432,df_extratos!F:F,"&lt;"&amp;Conciliacao!BG432+1,df_extratos!G:G,"CREDITO")
+SUMIFS(df_extratos!I:I,df_extratos!F:F,"&gt;="&amp;Conciliacao!BH432,df_extratos!F:F,"&lt;"&amp;Conciliacao!BH432+1,df_extratos!G:G,"CREDITO")</f>
        <v/>
      </c>
      <c r="I432" s="9">
        <f>H432-SUM(B432:G432)</f>
        <v/>
      </c>
      <c r="J432" s="4">
        <f>SUMIFS(df_blueme_sem_parcelamento!E:E,df_blueme_sem_parcelamento!H:H,Conciliacao!A432)*(-1)</f>
        <v/>
      </c>
      <c r="K432" s="4">
        <f>SUMIFS(df_blueme_com_parcelamento!J:J,df_blueme_com_parcelamento!M:M,Conciliacao!A432)*(-1)</f>
        <v/>
      </c>
      <c r="L432" s="4">
        <f>SUMIFS(df_mutuos!N:N,df_mutuos!B:B,Conciliacao!A432)*(-1)</f>
        <v/>
      </c>
      <c r="M432" s="8">
        <f>SUMIFS(df_bloqueios_judiciais!G:G,df_bloqueios_judiciais!D:D,Conciliacao!A432,df_bloqueios_judiciais!G:G,"&lt;0")</f>
        <v/>
      </c>
      <c r="N432" s="10">
        <f>SUMIFS(df_extratos!I:I,df_extratos!F:F,"&gt;="&amp;Conciliacao!BE432,df_extratos!F:F,"&lt;"&amp;Conciliacao!BE432+1,df_extratos!G:G,"DEBITO")
+SUMIFS(df_extratos!I:I,df_extratos!F:F,"&gt;="&amp;Conciliacao!A432, df_extratos!F:F,"&lt;"&amp;Conciliacao!A432+1, df_extratos!G:G,"DEBITO")
+SUMIFS(df_extratos!I:I,df_extratos!F:F,"&gt;="&amp;Conciliacao!BF432,df_extratos!F:F,"&lt;"&amp;Conciliacao!BF432+1,df_extratos!G:G,"DEBITO")
+SUMIFS(df_extratos!I:I,df_extratos!F:F,"&gt;="&amp;Conciliacao!BG432,df_extratos!F:F,"&lt;"&amp;Conciliacao!BG432+1,df_extratos!G:G,"DEBITO")
+SUMIFS(df_extratos!I:I,df_extratos!F:F,"&gt;="&amp;Conciliacao!BH432,df_extratos!F:F,"&lt;"&amp;Conciliacao!BH432+1,df_extratos!G:G,"DEBITO")</f>
        <v/>
      </c>
      <c r="O432" s="11">
        <f>N432-SUM(J432:M432)</f>
        <v/>
      </c>
      <c r="P432" s="25">
        <f>SUMIFS(df_ajustes_conciliaco!D:D,df_ajustes_conciliaco!C:C,Conciliacao!A432)</f>
        <v/>
      </c>
      <c r="Q432" s="22">
        <f>O432+I432-P432</f>
        <v/>
      </c>
    </row>
    <row r="433">
      <c r="A433" s="5">
        <f>A432+1</f>
        <v/>
      </c>
      <c r="B433" s="3">
        <f>-SUMIFS(df_extrato_zig!G:G,df_extrato_zig!E:E,Conciliacao!A433,df_extrato_zig!D:D,"Saque")-SUMIFS(df_extrato_zig!G:G,df_extrato_zig!E:E,Conciliacao!A433,df_extrato_zig!D:D,"Antecipação")</f>
        <v/>
      </c>
      <c r="C433" s="3">
        <f>SUMIFS(df_extrato_zig!E:E,df_extrato_zig!L:L,Conciliacao!A433,df_extrato_zig!F:F,"DINHEIRO")</f>
        <v/>
      </c>
      <c r="D433" s="3">
        <f>SUMIFS(view_parc_agrup!H:H,view_parc_agrup!G:G,Conciliacao!A433)</f>
        <v/>
      </c>
      <c r="E433" s="3">
        <f>SUMIFS(df_eventos!F:F,df_eventos!H:H,Conciliacao!A433)</f>
        <v/>
      </c>
      <c r="F433" s="3">
        <f>SUMIFS(df_mutuos!M:M,df_mutuos!B:B,Conciliacao!A433)</f>
        <v/>
      </c>
      <c r="G433" s="6">
        <f>SUMIFS(df_bloqueios_judiciais!G:G,df_bloqueios_judiciais!D:D,Conciliacao!A433,df_bloqueios_judiciais!G:G,"&gt;0")</f>
        <v/>
      </c>
      <c r="H433" s="7">
        <f>SUMIFS(df_extratos!I:I,df_extratos!F:F,"&gt;="&amp;Conciliacao!BE433,df_extratos!F:F,"&lt;"&amp;Conciliacao!BE433+1,df_extratos!G:G,"CREDITO")
+SUMIFS(df_extratos!I:I,df_extratos!F:F,"&gt;="&amp;Conciliacao!A433, df_extratos!F:F,"&lt;"&amp;Conciliacao!A433+1, df_extratos!G:G,"CREDITO")
+SUMIFS(df_extratos!I:I,df_extratos!F:F,"&gt;="&amp;Conciliacao!BF433,df_extratos!F:F,"&lt;"&amp;Conciliacao!BF433+1,df_extratos!G:G,"CREDITO")
+SUMIFS(df_extratos!I:I,df_extratos!F:F,"&gt;="&amp;Conciliacao!BG433,df_extratos!F:F,"&lt;"&amp;Conciliacao!BG433+1,df_extratos!G:G,"CREDITO")
+SUMIFS(df_extratos!I:I,df_extratos!F:F,"&gt;="&amp;Conciliacao!BH433,df_extratos!F:F,"&lt;"&amp;Conciliacao!BH433+1,df_extratos!G:G,"CREDITO")</f>
        <v/>
      </c>
      <c r="I433" s="9">
        <f>H433-SUM(B433:G433)</f>
        <v/>
      </c>
      <c r="J433" s="4">
        <f>SUMIFS(df_blueme_sem_parcelamento!E:E,df_blueme_sem_parcelamento!H:H,Conciliacao!A433)*(-1)</f>
        <v/>
      </c>
      <c r="K433" s="4">
        <f>SUMIFS(df_blueme_com_parcelamento!J:J,df_blueme_com_parcelamento!M:M,Conciliacao!A433)*(-1)</f>
        <v/>
      </c>
      <c r="L433" s="4">
        <f>SUMIFS(df_mutuos!N:N,df_mutuos!B:B,Conciliacao!A433)*(-1)</f>
        <v/>
      </c>
      <c r="M433" s="8">
        <f>SUMIFS(df_bloqueios_judiciais!G:G,df_bloqueios_judiciais!D:D,Conciliacao!A433,df_bloqueios_judiciais!G:G,"&lt;0")</f>
        <v/>
      </c>
      <c r="N433" s="10">
        <f>SUMIFS(df_extratos!I:I,df_extratos!F:F,"&gt;="&amp;Conciliacao!BE433,df_extratos!F:F,"&lt;"&amp;Conciliacao!BE433+1,df_extratos!G:G,"DEBITO")
+SUMIFS(df_extratos!I:I,df_extratos!F:F,"&gt;="&amp;Conciliacao!A433, df_extratos!F:F,"&lt;"&amp;Conciliacao!A433+1, df_extratos!G:G,"DEBITO")
+SUMIFS(df_extratos!I:I,df_extratos!F:F,"&gt;="&amp;Conciliacao!BF433,df_extratos!F:F,"&lt;"&amp;Conciliacao!BF433+1,df_extratos!G:G,"DEBITO")
+SUMIFS(df_extratos!I:I,df_extratos!F:F,"&gt;="&amp;Conciliacao!BG433,df_extratos!F:F,"&lt;"&amp;Conciliacao!BG433+1,df_extratos!G:G,"DEBITO")
+SUMIFS(df_extratos!I:I,df_extratos!F:F,"&gt;="&amp;Conciliacao!BH433,df_extratos!F:F,"&lt;"&amp;Conciliacao!BH433+1,df_extratos!G:G,"DEBITO")</f>
        <v/>
      </c>
      <c r="O433" s="11">
        <f>N433-SUM(J433:M433)</f>
        <v/>
      </c>
      <c r="P433" s="25">
        <f>SUMIFS(df_ajustes_conciliaco!D:D,df_ajustes_conciliaco!C:C,Conciliacao!A433)</f>
        <v/>
      </c>
      <c r="Q433" s="22">
        <f>O433+I433-P433</f>
        <v/>
      </c>
    </row>
    <row r="434">
      <c r="A434" s="5">
        <f>A433+1</f>
        <v/>
      </c>
      <c r="B434" s="3">
        <f>-SUMIFS(df_extrato_zig!G:G,df_extrato_zig!E:E,Conciliacao!A434,df_extrato_zig!D:D,"Saque")-SUMIFS(df_extrato_zig!G:G,df_extrato_zig!E:E,Conciliacao!A434,df_extrato_zig!D:D,"Antecipação")</f>
        <v/>
      </c>
      <c r="C434" s="3">
        <f>SUMIFS(df_extrato_zig!E:E,df_extrato_zig!L:L,Conciliacao!A434,df_extrato_zig!F:F,"DINHEIRO")</f>
        <v/>
      </c>
      <c r="D434" s="3">
        <f>SUMIFS(view_parc_agrup!H:H,view_parc_agrup!G:G,Conciliacao!A434)</f>
        <v/>
      </c>
      <c r="E434" s="3">
        <f>SUMIFS(df_eventos!F:F,df_eventos!H:H,Conciliacao!A434)</f>
        <v/>
      </c>
      <c r="F434" s="3">
        <f>SUMIFS(df_mutuos!M:M,df_mutuos!B:B,Conciliacao!A434)</f>
        <v/>
      </c>
      <c r="G434" s="6">
        <f>SUMIFS(df_bloqueios_judiciais!G:G,df_bloqueios_judiciais!D:D,Conciliacao!A434,df_bloqueios_judiciais!G:G,"&gt;0")</f>
        <v/>
      </c>
      <c r="H434" s="7">
        <f>SUMIFS(df_extratos!I:I,df_extratos!F:F,"&gt;="&amp;Conciliacao!BE434,df_extratos!F:F,"&lt;"&amp;Conciliacao!BE434+1,df_extratos!G:G,"CREDITO")
+SUMIFS(df_extratos!I:I,df_extratos!F:F,"&gt;="&amp;Conciliacao!A434, df_extratos!F:F,"&lt;"&amp;Conciliacao!A434+1, df_extratos!G:G,"CREDITO")
+SUMIFS(df_extratos!I:I,df_extratos!F:F,"&gt;="&amp;Conciliacao!BF434,df_extratos!F:F,"&lt;"&amp;Conciliacao!BF434+1,df_extratos!G:G,"CREDITO")
+SUMIFS(df_extratos!I:I,df_extratos!F:F,"&gt;="&amp;Conciliacao!BG434,df_extratos!F:F,"&lt;"&amp;Conciliacao!BG434+1,df_extratos!G:G,"CREDITO")
+SUMIFS(df_extratos!I:I,df_extratos!F:F,"&gt;="&amp;Conciliacao!BH434,df_extratos!F:F,"&lt;"&amp;Conciliacao!BH434+1,df_extratos!G:G,"CREDITO")</f>
        <v/>
      </c>
      <c r="I434" s="9">
        <f>H434-SUM(B434:G434)</f>
        <v/>
      </c>
      <c r="J434" s="4">
        <f>SUMIFS(df_blueme_sem_parcelamento!E:E,df_blueme_sem_parcelamento!H:H,Conciliacao!A434)*(-1)</f>
        <v/>
      </c>
      <c r="K434" s="4">
        <f>SUMIFS(df_blueme_com_parcelamento!J:J,df_blueme_com_parcelamento!M:M,Conciliacao!A434)*(-1)</f>
        <v/>
      </c>
      <c r="L434" s="4">
        <f>SUMIFS(df_mutuos!N:N,df_mutuos!B:B,Conciliacao!A434)*(-1)</f>
        <v/>
      </c>
      <c r="M434" s="8">
        <f>SUMIFS(df_bloqueios_judiciais!G:G,df_bloqueios_judiciais!D:D,Conciliacao!A434,df_bloqueios_judiciais!G:G,"&lt;0")</f>
        <v/>
      </c>
      <c r="N434" s="10">
        <f>SUMIFS(df_extratos!I:I,df_extratos!F:F,"&gt;="&amp;Conciliacao!BE434,df_extratos!F:F,"&lt;"&amp;Conciliacao!BE434+1,df_extratos!G:G,"DEBITO")
+SUMIFS(df_extratos!I:I,df_extratos!F:F,"&gt;="&amp;Conciliacao!A434, df_extratos!F:F,"&lt;"&amp;Conciliacao!A434+1, df_extratos!G:G,"DEBITO")
+SUMIFS(df_extratos!I:I,df_extratos!F:F,"&gt;="&amp;Conciliacao!BF434,df_extratos!F:F,"&lt;"&amp;Conciliacao!BF434+1,df_extratos!G:G,"DEBITO")
+SUMIFS(df_extratos!I:I,df_extratos!F:F,"&gt;="&amp;Conciliacao!BG434,df_extratos!F:F,"&lt;"&amp;Conciliacao!BG434+1,df_extratos!G:G,"DEBITO")
+SUMIFS(df_extratos!I:I,df_extratos!F:F,"&gt;="&amp;Conciliacao!BH434,df_extratos!F:F,"&lt;"&amp;Conciliacao!BH434+1,df_extratos!G:G,"DEBITO")</f>
        <v/>
      </c>
      <c r="O434" s="11">
        <f>N434-SUM(J434:M434)</f>
        <v/>
      </c>
      <c r="P434" s="25">
        <f>SUMIFS(df_ajustes_conciliaco!D:D,df_ajustes_conciliaco!C:C,Conciliacao!A434)</f>
        <v/>
      </c>
      <c r="Q434" s="22">
        <f>O434+I434-P434</f>
        <v/>
      </c>
    </row>
    <row r="435">
      <c r="A435" s="5">
        <f>A434+1</f>
        <v/>
      </c>
      <c r="B435" s="3">
        <f>-SUMIFS(df_extrato_zig!G:G,df_extrato_zig!E:E,Conciliacao!A435,df_extrato_zig!D:D,"Saque")-SUMIFS(df_extrato_zig!G:G,df_extrato_zig!E:E,Conciliacao!A435,df_extrato_zig!D:D,"Antecipação")</f>
        <v/>
      </c>
      <c r="C435" s="3">
        <f>SUMIFS(df_extrato_zig!E:E,df_extrato_zig!L:L,Conciliacao!A435,df_extrato_zig!F:F,"DINHEIRO")</f>
        <v/>
      </c>
      <c r="D435" s="3">
        <f>SUMIFS(view_parc_agrup!H:H,view_parc_agrup!G:G,Conciliacao!A435)</f>
        <v/>
      </c>
      <c r="E435" s="3">
        <f>SUMIFS(df_eventos!F:F,df_eventos!H:H,Conciliacao!A435)</f>
        <v/>
      </c>
      <c r="F435" s="3">
        <f>SUMIFS(df_mutuos!M:M,df_mutuos!B:B,Conciliacao!A435)</f>
        <v/>
      </c>
      <c r="G435" s="6">
        <f>SUMIFS(df_bloqueios_judiciais!G:G,df_bloqueios_judiciais!D:D,Conciliacao!A435,df_bloqueios_judiciais!G:G,"&gt;0")</f>
        <v/>
      </c>
      <c r="H435" s="7">
        <f>SUMIFS(df_extratos!I:I,df_extratos!F:F,"&gt;="&amp;Conciliacao!BE435,df_extratos!F:F,"&lt;"&amp;Conciliacao!BE435+1,df_extratos!G:G,"CREDITO")
+SUMIFS(df_extratos!I:I,df_extratos!F:F,"&gt;="&amp;Conciliacao!A435, df_extratos!F:F,"&lt;"&amp;Conciliacao!A435+1, df_extratos!G:G,"CREDITO")
+SUMIFS(df_extratos!I:I,df_extratos!F:F,"&gt;="&amp;Conciliacao!BF435,df_extratos!F:F,"&lt;"&amp;Conciliacao!BF435+1,df_extratos!G:G,"CREDITO")
+SUMIFS(df_extratos!I:I,df_extratos!F:F,"&gt;="&amp;Conciliacao!BG435,df_extratos!F:F,"&lt;"&amp;Conciliacao!BG435+1,df_extratos!G:G,"CREDITO")
+SUMIFS(df_extratos!I:I,df_extratos!F:F,"&gt;="&amp;Conciliacao!BH435,df_extratos!F:F,"&lt;"&amp;Conciliacao!BH435+1,df_extratos!G:G,"CREDITO")</f>
        <v/>
      </c>
      <c r="I435" s="9">
        <f>H435-SUM(B435:G435)</f>
        <v/>
      </c>
      <c r="J435" s="4">
        <f>SUMIFS(df_blueme_sem_parcelamento!E:E,df_blueme_sem_parcelamento!H:H,Conciliacao!A435)*(-1)</f>
        <v/>
      </c>
      <c r="K435" s="4">
        <f>SUMIFS(df_blueme_com_parcelamento!J:J,df_blueme_com_parcelamento!M:M,Conciliacao!A435)*(-1)</f>
        <v/>
      </c>
      <c r="L435" s="4">
        <f>SUMIFS(df_mutuos!N:N,df_mutuos!B:B,Conciliacao!A435)*(-1)</f>
        <v/>
      </c>
      <c r="M435" s="8">
        <f>SUMIFS(df_bloqueios_judiciais!G:G,df_bloqueios_judiciais!D:D,Conciliacao!A435,df_bloqueios_judiciais!G:G,"&lt;0")</f>
        <v/>
      </c>
      <c r="N435" s="10">
        <f>SUMIFS(df_extratos!I:I,df_extratos!F:F,"&gt;="&amp;Conciliacao!BE435,df_extratos!F:F,"&lt;"&amp;Conciliacao!BE435+1,df_extratos!G:G,"DEBITO")
+SUMIFS(df_extratos!I:I,df_extratos!F:F,"&gt;="&amp;Conciliacao!A435, df_extratos!F:F,"&lt;"&amp;Conciliacao!A435+1, df_extratos!G:G,"DEBITO")
+SUMIFS(df_extratos!I:I,df_extratos!F:F,"&gt;="&amp;Conciliacao!BF435,df_extratos!F:F,"&lt;"&amp;Conciliacao!BF435+1,df_extratos!G:G,"DEBITO")
+SUMIFS(df_extratos!I:I,df_extratos!F:F,"&gt;="&amp;Conciliacao!BG435,df_extratos!F:F,"&lt;"&amp;Conciliacao!BG435+1,df_extratos!G:G,"DEBITO")
+SUMIFS(df_extratos!I:I,df_extratos!F:F,"&gt;="&amp;Conciliacao!BH435,df_extratos!F:F,"&lt;"&amp;Conciliacao!BH435+1,df_extratos!G:G,"DEBITO")</f>
        <v/>
      </c>
      <c r="O435" s="11">
        <f>N435-SUM(J435:M435)</f>
        <v/>
      </c>
      <c r="P435" s="25">
        <f>SUMIFS(df_ajustes_conciliaco!D:D,df_ajustes_conciliaco!C:C,Conciliacao!A435)</f>
        <v/>
      </c>
      <c r="Q435" s="22">
        <f>O435+I435-P435</f>
        <v/>
      </c>
    </row>
    <row r="436">
      <c r="A436" s="5">
        <f>A435+1</f>
        <v/>
      </c>
      <c r="B436" s="3">
        <f>-SUMIFS(df_extrato_zig!G:G,df_extrato_zig!E:E,Conciliacao!A436,df_extrato_zig!D:D,"Saque")-SUMIFS(df_extrato_zig!G:G,df_extrato_zig!E:E,Conciliacao!A436,df_extrato_zig!D:D,"Antecipação")</f>
        <v/>
      </c>
      <c r="C436" s="3">
        <f>SUMIFS(df_extrato_zig!E:E,df_extrato_zig!L:L,Conciliacao!A436,df_extrato_zig!F:F,"DINHEIRO")</f>
        <v/>
      </c>
      <c r="D436" s="3">
        <f>SUMIFS(view_parc_agrup!H:H,view_parc_agrup!G:G,Conciliacao!A436)</f>
        <v/>
      </c>
      <c r="E436" s="3">
        <f>SUMIFS(df_eventos!F:F,df_eventos!H:H,Conciliacao!A436)</f>
        <v/>
      </c>
      <c r="F436" s="3">
        <f>SUMIFS(df_mutuos!M:M,df_mutuos!B:B,Conciliacao!A436)</f>
        <v/>
      </c>
      <c r="G436" s="6">
        <f>SUMIFS(df_bloqueios_judiciais!G:G,df_bloqueios_judiciais!D:D,Conciliacao!A436,df_bloqueios_judiciais!G:G,"&gt;0")</f>
        <v/>
      </c>
      <c r="H436" s="7">
        <f>SUMIFS(df_extratos!I:I,df_extratos!F:F,"&gt;="&amp;Conciliacao!BE436,df_extratos!F:F,"&lt;"&amp;Conciliacao!BE436+1,df_extratos!G:G,"CREDITO")
+SUMIFS(df_extratos!I:I,df_extratos!F:F,"&gt;="&amp;Conciliacao!A436, df_extratos!F:F,"&lt;"&amp;Conciliacao!A436+1, df_extratos!G:G,"CREDITO")
+SUMIFS(df_extratos!I:I,df_extratos!F:F,"&gt;="&amp;Conciliacao!BF436,df_extratos!F:F,"&lt;"&amp;Conciliacao!BF436+1,df_extratos!G:G,"CREDITO")
+SUMIFS(df_extratos!I:I,df_extratos!F:F,"&gt;="&amp;Conciliacao!BG436,df_extratos!F:F,"&lt;"&amp;Conciliacao!BG436+1,df_extratos!G:G,"CREDITO")
+SUMIFS(df_extratos!I:I,df_extratos!F:F,"&gt;="&amp;Conciliacao!BH436,df_extratos!F:F,"&lt;"&amp;Conciliacao!BH436+1,df_extratos!G:G,"CREDITO")</f>
        <v/>
      </c>
      <c r="I436" s="9">
        <f>H436-SUM(B436:G436)</f>
        <v/>
      </c>
      <c r="J436" s="4">
        <f>SUMIFS(df_blueme_sem_parcelamento!E:E,df_blueme_sem_parcelamento!H:H,Conciliacao!A436)*(-1)</f>
        <v/>
      </c>
      <c r="K436" s="4">
        <f>SUMIFS(df_blueme_com_parcelamento!J:J,df_blueme_com_parcelamento!M:M,Conciliacao!A436)*(-1)</f>
        <v/>
      </c>
      <c r="L436" s="4">
        <f>SUMIFS(df_mutuos!N:N,df_mutuos!B:B,Conciliacao!A436)*(-1)</f>
        <v/>
      </c>
      <c r="M436" s="8">
        <f>SUMIFS(df_bloqueios_judiciais!G:G,df_bloqueios_judiciais!D:D,Conciliacao!A436,df_bloqueios_judiciais!G:G,"&lt;0")</f>
        <v/>
      </c>
      <c r="N436" s="10">
        <f>SUMIFS(df_extratos!I:I,df_extratos!F:F,"&gt;="&amp;Conciliacao!BE436,df_extratos!F:F,"&lt;"&amp;Conciliacao!BE436+1,df_extratos!G:G,"DEBITO")
+SUMIFS(df_extratos!I:I,df_extratos!F:F,"&gt;="&amp;Conciliacao!A436, df_extratos!F:F,"&lt;"&amp;Conciliacao!A436+1, df_extratos!G:G,"DEBITO")
+SUMIFS(df_extratos!I:I,df_extratos!F:F,"&gt;="&amp;Conciliacao!BF436,df_extratos!F:F,"&lt;"&amp;Conciliacao!BF436+1,df_extratos!G:G,"DEBITO")
+SUMIFS(df_extratos!I:I,df_extratos!F:F,"&gt;="&amp;Conciliacao!BG436,df_extratos!F:F,"&lt;"&amp;Conciliacao!BG436+1,df_extratos!G:G,"DEBITO")
+SUMIFS(df_extratos!I:I,df_extratos!F:F,"&gt;="&amp;Conciliacao!BH436,df_extratos!F:F,"&lt;"&amp;Conciliacao!BH436+1,df_extratos!G:G,"DEBITO")</f>
        <v/>
      </c>
      <c r="O436" s="11">
        <f>N436-SUM(J436:M436)</f>
        <v/>
      </c>
      <c r="P436" s="25">
        <f>SUMIFS(df_ajustes_conciliaco!D:D,df_ajustes_conciliaco!C:C,Conciliacao!A436)</f>
        <v/>
      </c>
      <c r="Q436" s="22">
        <f>O436+I436-P436</f>
        <v/>
      </c>
    </row>
    <row r="437">
      <c r="A437" s="5">
        <f>A436+1</f>
        <v/>
      </c>
      <c r="B437" s="3">
        <f>-SUMIFS(df_extrato_zig!G:G,df_extrato_zig!E:E,Conciliacao!A437,df_extrato_zig!D:D,"Saque")-SUMIFS(df_extrato_zig!G:G,df_extrato_zig!E:E,Conciliacao!A437,df_extrato_zig!D:D,"Antecipação")</f>
        <v/>
      </c>
      <c r="C437" s="3">
        <f>SUMIFS(df_extrato_zig!E:E,df_extrato_zig!L:L,Conciliacao!A437,df_extrato_zig!F:F,"DINHEIRO")</f>
        <v/>
      </c>
      <c r="D437" s="3">
        <f>SUMIFS(view_parc_agrup!H:H,view_parc_agrup!G:G,Conciliacao!A437)</f>
        <v/>
      </c>
      <c r="E437" s="3">
        <f>SUMIFS(df_eventos!F:F,df_eventos!H:H,Conciliacao!A437)</f>
        <v/>
      </c>
      <c r="F437" s="3">
        <f>SUMIFS(df_mutuos!M:M,df_mutuos!B:B,Conciliacao!A437)</f>
        <v/>
      </c>
      <c r="G437" s="6">
        <f>SUMIFS(df_bloqueios_judiciais!G:G,df_bloqueios_judiciais!D:D,Conciliacao!A437,df_bloqueios_judiciais!G:G,"&gt;0")</f>
        <v/>
      </c>
      <c r="H437" s="7">
        <f>SUMIFS(df_extratos!I:I,df_extratos!F:F,"&gt;="&amp;Conciliacao!BE437,df_extratos!F:F,"&lt;"&amp;Conciliacao!BE437+1,df_extratos!G:G,"CREDITO")
+SUMIFS(df_extratos!I:I,df_extratos!F:F,"&gt;="&amp;Conciliacao!A437, df_extratos!F:F,"&lt;"&amp;Conciliacao!A437+1, df_extratos!G:G,"CREDITO")
+SUMIFS(df_extratos!I:I,df_extratos!F:F,"&gt;="&amp;Conciliacao!BF437,df_extratos!F:F,"&lt;"&amp;Conciliacao!BF437+1,df_extratos!G:G,"CREDITO")
+SUMIFS(df_extratos!I:I,df_extratos!F:F,"&gt;="&amp;Conciliacao!BG437,df_extratos!F:F,"&lt;"&amp;Conciliacao!BG437+1,df_extratos!G:G,"CREDITO")
+SUMIFS(df_extratos!I:I,df_extratos!F:F,"&gt;="&amp;Conciliacao!BH437,df_extratos!F:F,"&lt;"&amp;Conciliacao!BH437+1,df_extratos!G:G,"CREDITO")</f>
        <v/>
      </c>
      <c r="I437" s="9">
        <f>H437-SUM(B437:G437)</f>
        <v/>
      </c>
      <c r="J437" s="4">
        <f>SUMIFS(df_blueme_sem_parcelamento!E:E,df_blueme_sem_parcelamento!H:H,Conciliacao!A437)*(-1)</f>
        <v/>
      </c>
      <c r="K437" s="4">
        <f>SUMIFS(df_blueme_com_parcelamento!J:J,df_blueme_com_parcelamento!M:M,Conciliacao!A437)*(-1)</f>
        <v/>
      </c>
      <c r="L437" s="4">
        <f>SUMIFS(df_mutuos!N:N,df_mutuos!B:B,Conciliacao!A437)*(-1)</f>
        <v/>
      </c>
      <c r="M437" s="8">
        <f>SUMIFS(df_bloqueios_judiciais!G:G,df_bloqueios_judiciais!D:D,Conciliacao!A437,df_bloqueios_judiciais!G:G,"&lt;0")</f>
        <v/>
      </c>
      <c r="N437" s="10">
        <f>SUMIFS(df_extratos!I:I,df_extratos!F:F,"&gt;="&amp;Conciliacao!BE437,df_extratos!F:F,"&lt;"&amp;Conciliacao!BE437+1,df_extratos!G:G,"DEBITO")
+SUMIFS(df_extratos!I:I,df_extratos!F:F,"&gt;="&amp;Conciliacao!A437, df_extratos!F:F,"&lt;"&amp;Conciliacao!A437+1, df_extratos!G:G,"DEBITO")
+SUMIFS(df_extratos!I:I,df_extratos!F:F,"&gt;="&amp;Conciliacao!BF437,df_extratos!F:F,"&lt;"&amp;Conciliacao!BF437+1,df_extratos!G:G,"DEBITO")
+SUMIFS(df_extratos!I:I,df_extratos!F:F,"&gt;="&amp;Conciliacao!BG437,df_extratos!F:F,"&lt;"&amp;Conciliacao!BG437+1,df_extratos!G:G,"DEBITO")
+SUMIFS(df_extratos!I:I,df_extratos!F:F,"&gt;="&amp;Conciliacao!BH437,df_extratos!F:F,"&lt;"&amp;Conciliacao!BH437+1,df_extratos!G:G,"DEBITO")</f>
        <v/>
      </c>
      <c r="O437" s="11">
        <f>N437-SUM(J437:M437)</f>
        <v/>
      </c>
      <c r="P437" s="25">
        <f>SUMIFS(df_ajustes_conciliaco!D:D,df_ajustes_conciliaco!C:C,Conciliacao!A437)</f>
        <v/>
      </c>
      <c r="Q437" s="22">
        <f>O437+I437-P437</f>
        <v/>
      </c>
    </row>
    <row r="438">
      <c r="A438" s="5">
        <f>A437+1</f>
        <v/>
      </c>
      <c r="B438" s="3">
        <f>-SUMIFS(df_extrato_zig!G:G,df_extrato_zig!E:E,Conciliacao!A438,df_extrato_zig!D:D,"Saque")-SUMIFS(df_extrato_zig!G:G,df_extrato_zig!E:E,Conciliacao!A438,df_extrato_zig!D:D,"Antecipação")</f>
        <v/>
      </c>
      <c r="C438" s="3">
        <f>SUMIFS(df_extrato_zig!E:E,df_extrato_zig!L:L,Conciliacao!A438,df_extrato_zig!F:F,"DINHEIRO")</f>
        <v/>
      </c>
      <c r="D438" s="3">
        <f>SUMIFS(view_parc_agrup!H:H,view_parc_agrup!G:G,Conciliacao!A438)</f>
        <v/>
      </c>
      <c r="E438" s="3">
        <f>SUMIFS(df_eventos!F:F,df_eventos!H:H,Conciliacao!A438)</f>
        <v/>
      </c>
      <c r="F438" s="3">
        <f>SUMIFS(df_mutuos!M:M,df_mutuos!B:B,Conciliacao!A438)</f>
        <v/>
      </c>
      <c r="G438" s="6">
        <f>SUMIFS(df_bloqueios_judiciais!G:G,df_bloqueios_judiciais!D:D,Conciliacao!A438,df_bloqueios_judiciais!G:G,"&gt;0")</f>
        <v/>
      </c>
      <c r="H438" s="7">
        <f>SUMIFS(df_extratos!I:I,df_extratos!F:F,"&gt;="&amp;Conciliacao!BE438,df_extratos!F:F,"&lt;"&amp;Conciliacao!BE438+1,df_extratos!G:G,"CREDITO")
+SUMIFS(df_extratos!I:I,df_extratos!F:F,"&gt;="&amp;Conciliacao!A438, df_extratos!F:F,"&lt;"&amp;Conciliacao!A438+1, df_extratos!G:G,"CREDITO")
+SUMIFS(df_extratos!I:I,df_extratos!F:F,"&gt;="&amp;Conciliacao!BF438,df_extratos!F:F,"&lt;"&amp;Conciliacao!BF438+1,df_extratos!G:G,"CREDITO")
+SUMIFS(df_extratos!I:I,df_extratos!F:F,"&gt;="&amp;Conciliacao!BG438,df_extratos!F:F,"&lt;"&amp;Conciliacao!BG438+1,df_extratos!G:G,"CREDITO")
+SUMIFS(df_extratos!I:I,df_extratos!F:F,"&gt;="&amp;Conciliacao!BH438,df_extratos!F:F,"&lt;"&amp;Conciliacao!BH438+1,df_extratos!G:G,"CREDITO")</f>
        <v/>
      </c>
      <c r="I438" s="9">
        <f>H438-SUM(B438:G438)</f>
        <v/>
      </c>
      <c r="J438" s="4">
        <f>SUMIFS(df_blueme_sem_parcelamento!E:E,df_blueme_sem_parcelamento!H:H,Conciliacao!A438)*(-1)</f>
        <v/>
      </c>
      <c r="K438" s="4">
        <f>SUMIFS(df_blueme_com_parcelamento!J:J,df_blueme_com_parcelamento!M:M,Conciliacao!A438)*(-1)</f>
        <v/>
      </c>
      <c r="L438" s="4">
        <f>SUMIFS(df_mutuos!N:N,df_mutuos!B:B,Conciliacao!A438)*(-1)</f>
        <v/>
      </c>
      <c r="M438" s="8">
        <f>SUMIFS(df_bloqueios_judiciais!G:G,df_bloqueios_judiciais!D:D,Conciliacao!A438,df_bloqueios_judiciais!G:G,"&lt;0")</f>
        <v/>
      </c>
      <c r="N438" s="10">
        <f>SUMIFS(df_extratos!I:I,df_extratos!F:F,"&gt;="&amp;Conciliacao!BE438,df_extratos!F:F,"&lt;"&amp;Conciliacao!BE438+1,df_extratos!G:G,"DEBITO")
+SUMIFS(df_extratos!I:I,df_extratos!F:F,"&gt;="&amp;Conciliacao!A438, df_extratos!F:F,"&lt;"&amp;Conciliacao!A438+1, df_extratos!G:G,"DEBITO")
+SUMIFS(df_extratos!I:I,df_extratos!F:F,"&gt;="&amp;Conciliacao!BF438,df_extratos!F:F,"&lt;"&amp;Conciliacao!BF438+1,df_extratos!G:G,"DEBITO")
+SUMIFS(df_extratos!I:I,df_extratos!F:F,"&gt;="&amp;Conciliacao!BG438,df_extratos!F:F,"&lt;"&amp;Conciliacao!BG438+1,df_extratos!G:G,"DEBITO")
+SUMIFS(df_extratos!I:I,df_extratos!F:F,"&gt;="&amp;Conciliacao!BH438,df_extratos!F:F,"&lt;"&amp;Conciliacao!BH438+1,df_extratos!G:G,"DEBITO")</f>
        <v/>
      </c>
      <c r="O438" s="11">
        <f>N438-SUM(J438:M438)</f>
        <v/>
      </c>
      <c r="P438" s="25">
        <f>SUMIFS(df_ajustes_conciliaco!D:D,df_ajustes_conciliaco!C:C,Conciliacao!A438)</f>
        <v/>
      </c>
      <c r="Q438" s="22">
        <f>O438+I438-P438</f>
        <v/>
      </c>
    </row>
    <row r="439">
      <c r="A439" s="5">
        <f>A438+1</f>
        <v/>
      </c>
      <c r="B439" s="3">
        <f>-SUMIFS(df_extrato_zig!G:G,df_extrato_zig!E:E,Conciliacao!A439,df_extrato_zig!D:D,"Saque")-SUMIFS(df_extrato_zig!G:G,df_extrato_zig!E:E,Conciliacao!A439,df_extrato_zig!D:D,"Antecipação")</f>
        <v/>
      </c>
      <c r="C439" s="3">
        <f>SUMIFS(df_extrato_zig!E:E,df_extrato_zig!L:L,Conciliacao!A439,df_extrato_zig!F:F,"DINHEIRO")</f>
        <v/>
      </c>
      <c r="D439" s="3">
        <f>SUMIFS(view_parc_agrup!H:H,view_parc_agrup!G:G,Conciliacao!A439)</f>
        <v/>
      </c>
      <c r="E439" s="3">
        <f>SUMIFS(df_eventos!F:F,df_eventos!H:H,Conciliacao!A439)</f>
        <v/>
      </c>
      <c r="F439" s="3">
        <f>SUMIFS(df_mutuos!M:M,df_mutuos!B:B,Conciliacao!A439)</f>
        <v/>
      </c>
      <c r="G439" s="6">
        <f>SUMIFS(df_bloqueios_judiciais!G:G,df_bloqueios_judiciais!D:D,Conciliacao!A439,df_bloqueios_judiciais!G:G,"&gt;0")</f>
        <v/>
      </c>
      <c r="H439" s="7">
        <f>SUMIFS(df_extratos!I:I,df_extratos!F:F,"&gt;="&amp;Conciliacao!BE439,df_extratos!F:F,"&lt;"&amp;Conciliacao!BE439+1,df_extratos!G:G,"CREDITO")
+SUMIFS(df_extratos!I:I,df_extratos!F:F,"&gt;="&amp;Conciliacao!A439, df_extratos!F:F,"&lt;"&amp;Conciliacao!A439+1, df_extratos!G:G,"CREDITO")
+SUMIFS(df_extratos!I:I,df_extratos!F:F,"&gt;="&amp;Conciliacao!BF439,df_extratos!F:F,"&lt;"&amp;Conciliacao!BF439+1,df_extratos!G:G,"CREDITO")
+SUMIFS(df_extratos!I:I,df_extratos!F:F,"&gt;="&amp;Conciliacao!BG439,df_extratos!F:F,"&lt;"&amp;Conciliacao!BG439+1,df_extratos!G:G,"CREDITO")
+SUMIFS(df_extratos!I:I,df_extratos!F:F,"&gt;="&amp;Conciliacao!BH439,df_extratos!F:F,"&lt;"&amp;Conciliacao!BH439+1,df_extratos!G:G,"CREDITO")</f>
        <v/>
      </c>
      <c r="I439" s="9">
        <f>H439-SUM(B439:G439)</f>
        <v/>
      </c>
      <c r="J439" s="4">
        <f>SUMIFS(df_blueme_sem_parcelamento!E:E,df_blueme_sem_parcelamento!H:H,Conciliacao!A439)*(-1)</f>
        <v/>
      </c>
      <c r="K439" s="4">
        <f>SUMIFS(df_blueme_com_parcelamento!J:J,df_blueme_com_parcelamento!M:M,Conciliacao!A439)*(-1)</f>
        <v/>
      </c>
      <c r="L439" s="4">
        <f>SUMIFS(df_mutuos!N:N,df_mutuos!B:B,Conciliacao!A439)*(-1)</f>
        <v/>
      </c>
      <c r="M439" s="8">
        <f>SUMIFS(df_bloqueios_judiciais!G:G,df_bloqueios_judiciais!D:D,Conciliacao!A439,df_bloqueios_judiciais!G:G,"&lt;0")</f>
        <v/>
      </c>
      <c r="N439" s="10">
        <f>SUMIFS(df_extratos!I:I,df_extratos!F:F,"&gt;="&amp;Conciliacao!BE439,df_extratos!F:F,"&lt;"&amp;Conciliacao!BE439+1,df_extratos!G:G,"DEBITO")
+SUMIFS(df_extratos!I:I,df_extratos!F:F,"&gt;="&amp;Conciliacao!A439, df_extratos!F:F,"&lt;"&amp;Conciliacao!A439+1, df_extratos!G:G,"DEBITO")
+SUMIFS(df_extratos!I:I,df_extratos!F:F,"&gt;="&amp;Conciliacao!BF439,df_extratos!F:F,"&lt;"&amp;Conciliacao!BF439+1,df_extratos!G:G,"DEBITO")
+SUMIFS(df_extratos!I:I,df_extratos!F:F,"&gt;="&amp;Conciliacao!BG439,df_extratos!F:F,"&lt;"&amp;Conciliacao!BG439+1,df_extratos!G:G,"DEBITO")
+SUMIFS(df_extratos!I:I,df_extratos!F:F,"&gt;="&amp;Conciliacao!BH439,df_extratos!F:F,"&lt;"&amp;Conciliacao!BH439+1,df_extratos!G:G,"DEBITO")</f>
        <v/>
      </c>
      <c r="O439" s="11">
        <f>N439-SUM(J439:M439)</f>
        <v/>
      </c>
      <c r="P439" s="25">
        <f>SUMIFS(df_ajustes_conciliaco!D:D,df_ajustes_conciliaco!C:C,Conciliacao!A439)</f>
        <v/>
      </c>
      <c r="Q439" s="22">
        <f>O439+I439-P439</f>
        <v/>
      </c>
    </row>
    <row r="440">
      <c r="A440" s="5">
        <f>A439+1</f>
        <v/>
      </c>
      <c r="B440" s="3">
        <f>-SUMIFS(df_extrato_zig!G:G,df_extrato_zig!E:E,Conciliacao!A440,df_extrato_zig!D:D,"Saque")-SUMIFS(df_extrato_zig!G:G,df_extrato_zig!E:E,Conciliacao!A440,df_extrato_zig!D:D,"Antecipação")</f>
        <v/>
      </c>
      <c r="C440" s="3">
        <f>SUMIFS(df_extrato_zig!E:E,df_extrato_zig!L:L,Conciliacao!A440,df_extrato_zig!F:F,"DINHEIRO")</f>
        <v/>
      </c>
      <c r="D440" s="3">
        <f>SUMIFS(view_parc_agrup!H:H,view_parc_agrup!G:G,Conciliacao!A440)</f>
        <v/>
      </c>
      <c r="E440" s="3">
        <f>SUMIFS(df_eventos!F:F,df_eventos!H:H,Conciliacao!A440)</f>
        <v/>
      </c>
      <c r="F440" s="3">
        <f>SUMIFS(df_mutuos!M:M,df_mutuos!B:B,Conciliacao!A440)</f>
        <v/>
      </c>
      <c r="G440" s="6">
        <f>SUMIFS(df_bloqueios_judiciais!G:G,df_bloqueios_judiciais!D:D,Conciliacao!A440,df_bloqueios_judiciais!G:G,"&gt;0")</f>
        <v/>
      </c>
      <c r="H440" s="7">
        <f>SUMIFS(df_extratos!I:I,df_extratos!F:F,"&gt;="&amp;Conciliacao!BE440,df_extratos!F:F,"&lt;"&amp;Conciliacao!BE440+1,df_extratos!G:G,"CREDITO")
+SUMIFS(df_extratos!I:I,df_extratos!F:F,"&gt;="&amp;Conciliacao!A440, df_extratos!F:F,"&lt;"&amp;Conciliacao!A440+1, df_extratos!G:G,"CREDITO")
+SUMIFS(df_extratos!I:I,df_extratos!F:F,"&gt;="&amp;Conciliacao!BF440,df_extratos!F:F,"&lt;"&amp;Conciliacao!BF440+1,df_extratos!G:G,"CREDITO")
+SUMIFS(df_extratos!I:I,df_extratos!F:F,"&gt;="&amp;Conciliacao!BG440,df_extratos!F:F,"&lt;"&amp;Conciliacao!BG440+1,df_extratos!G:G,"CREDITO")
+SUMIFS(df_extratos!I:I,df_extratos!F:F,"&gt;="&amp;Conciliacao!BH440,df_extratos!F:F,"&lt;"&amp;Conciliacao!BH440+1,df_extratos!G:G,"CREDITO")</f>
        <v/>
      </c>
      <c r="I440" s="9">
        <f>H440-SUM(B440:G440)</f>
        <v/>
      </c>
      <c r="J440" s="4">
        <f>SUMIFS(df_blueme_sem_parcelamento!E:E,df_blueme_sem_parcelamento!H:H,Conciliacao!A440)*(-1)</f>
        <v/>
      </c>
      <c r="K440" s="4">
        <f>SUMIFS(df_blueme_com_parcelamento!J:J,df_blueme_com_parcelamento!M:M,Conciliacao!A440)*(-1)</f>
        <v/>
      </c>
      <c r="L440" s="4">
        <f>SUMIFS(df_mutuos!N:N,df_mutuos!B:B,Conciliacao!A440)*(-1)</f>
        <v/>
      </c>
      <c r="M440" s="8">
        <f>SUMIFS(df_bloqueios_judiciais!G:G,df_bloqueios_judiciais!D:D,Conciliacao!A440,df_bloqueios_judiciais!G:G,"&lt;0")</f>
        <v/>
      </c>
      <c r="N440" s="10">
        <f>SUMIFS(df_extratos!I:I,df_extratos!F:F,"&gt;="&amp;Conciliacao!BE440,df_extratos!F:F,"&lt;"&amp;Conciliacao!BE440+1,df_extratos!G:G,"DEBITO")
+SUMIFS(df_extratos!I:I,df_extratos!F:F,"&gt;="&amp;Conciliacao!A440, df_extratos!F:F,"&lt;"&amp;Conciliacao!A440+1, df_extratos!G:G,"DEBITO")
+SUMIFS(df_extratos!I:I,df_extratos!F:F,"&gt;="&amp;Conciliacao!BF440,df_extratos!F:F,"&lt;"&amp;Conciliacao!BF440+1,df_extratos!G:G,"DEBITO")
+SUMIFS(df_extratos!I:I,df_extratos!F:F,"&gt;="&amp;Conciliacao!BG440,df_extratos!F:F,"&lt;"&amp;Conciliacao!BG440+1,df_extratos!G:G,"DEBITO")
+SUMIFS(df_extratos!I:I,df_extratos!F:F,"&gt;="&amp;Conciliacao!BH440,df_extratos!F:F,"&lt;"&amp;Conciliacao!BH440+1,df_extratos!G:G,"DEBITO")</f>
        <v/>
      </c>
      <c r="O440" s="11">
        <f>N440-SUM(J440:M440)</f>
        <v/>
      </c>
      <c r="P440" s="25">
        <f>SUMIFS(df_ajustes_conciliaco!D:D,df_ajustes_conciliaco!C:C,Conciliacao!A440)</f>
        <v/>
      </c>
      <c r="Q440" s="22">
        <f>O440+I440-P440</f>
        <v/>
      </c>
    </row>
    <row r="441">
      <c r="A441" s="5">
        <f>A440+1</f>
        <v/>
      </c>
      <c r="B441" s="3">
        <f>-SUMIFS(df_extrato_zig!G:G,df_extrato_zig!E:E,Conciliacao!A441,df_extrato_zig!D:D,"Saque")-SUMIFS(df_extrato_zig!G:G,df_extrato_zig!E:E,Conciliacao!A441,df_extrato_zig!D:D,"Antecipação")</f>
        <v/>
      </c>
      <c r="C441" s="3">
        <f>SUMIFS(df_extrato_zig!E:E,df_extrato_zig!L:L,Conciliacao!A441,df_extrato_zig!F:F,"DINHEIRO")</f>
        <v/>
      </c>
      <c r="D441" s="3">
        <f>SUMIFS(view_parc_agrup!H:H,view_parc_agrup!G:G,Conciliacao!A441)</f>
        <v/>
      </c>
      <c r="E441" s="3">
        <f>SUMIFS(df_eventos!F:F,df_eventos!H:H,Conciliacao!A441)</f>
        <v/>
      </c>
      <c r="F441" s="3">
        <f>SUMIFS(df_mutuos!M:M,df_mutuos!B:B,Conciliacao!A441)</f>
        <v/>
      </c>
      <c r="G441" s="6">
        <f>SUMIFS(df_bloqueios_judiciais!G:G,df_bloqueios_judiciais!D:D,Conciliacao!A441,df_bloqueios_judiciais!G:G,"&gt;0")</f>
        <v/>
      </c>
      <c r="H441" s="7">
        <f>SUMIFS(df_extratos!I:I,df_extratos!F:F,"&gt;="&amp;Conciliacao!BE441,df_extratos!F:F,"&lt;"&amp;Conciliacao!BE441+1,df_extratos!G:G,"CREDITO")
+SUMIFS(df_extratos!I:I,df_extratos!F:F,"&gt;="&amp;Conciliacao!A441, df_extratos!F:F,"&lt;"&amp;Conciliacao!A441+1, df_extratos!G:G,"CREDITO")
+SUMIFS(df_extratos!I:I,df_extratos!F:F,"&gt;="&amp;Conciliacao!BF441,df_extratos!F:F,"&lt;"&amp;Conciliacao!BF441+1,df_extratos!G:G,"CREDITO")
+SUMIFS(df_extratos!I:I,df_extratos!F:F,"&gt;="&amp;Conciliacao!BG441,df_extratos!F:F,"&lt;"&amp;Conciliacao!BG441+1,df_extratos!G:G,"CREDITO")
+SUMIFS(df_extratos!I:I,df_extratos!F:F,"&gt;="&amp;Conciliacao!BH441,df_extratos!F:F,"&lt;"&amp;Conciliacao!BH441+1,df_extratos!G:G,"CREDITO")</f>
        <v/>
      </c>
      <c r="I441" s="9">
        <f>H441-SUM(B441:G441)</f>
        <v/>
      </c>
      <c r="J441" s="4">
        <f>SUMIFS(df_blueme_sem_parcelamento!E:E,df_blueme_sem_parcelamento!H:H,Conciliacao!A441)*(-1)</f>
        <v/>
      </c>
      <c r="K441" s="4">
        <f>SUMIFS(df_blueme_com_parcelamento!J:J,df_blueme_com_parcelamento!M:M,Conciliacao!A441)*(-1)</f>
        <v/>
      </c>
      <c r="L441" s="4">
        <f>SUMIFS(df_mutuos!N:N,df_mutuos!B:B,Conciliacao!A441)*(-1)</f>
        <v/>
      </c>
      <c r="M441" s="8">
        <f>SUMIFS(df_bloqueios_judiciais!G:G,df_bloqueios_judiciais!D:D,Conciliacao!A441,df_bloqueios_judiciais!G:G,"&lt;0")</f>
        <v/>
      </c>
      <c r="N441" s="10">
        <f>SUMIFS(df_extratos!I:I,df_extratos!F:F,"&gt;="&amp;Conciliacao!BE441,df_extratos!F:F,"&lt;"&amp;Conciliacao!BE441+1,df_extratos!G:G,"DEBITO")
+SUMIFS(df_extratos!I:I,df_extratos!F:F,"&gt;="&amp;Conciliacao!A441, df_extratos!F:F,"&lt;"&amp;Conciliacao!A441+1, df_extratos!G:G,"DEBITO")
+SUMIFS(df_extratos!I:I,df_extratos!F:F,"&gt;="&amp;Conciliacao!BF441,df_extratos!F:F,"&lt;"&amp;Conciliacao!BF441+1,df_extratos!G:G,"DEBITO")
+SUMIFS(df_extratos!I:I,df_extratos!F:F,"&gt;="&amp;Conciliacao!BG441,df_extratos!F:F,"&lt;"&amp;Conciliacao!BG441+1,df_extratos!G:G,"DEBITO")
+SUMIFS(df_extratos!I:I,df_extratos!F:F,"&gt;="&amp;Conciliacao!BH441,df_extratos!F:F,"&lt;"&amp;Conciliacao!BH441+1,df_extratos!G:G,"DEBITO")</f>
        <v/>
      </c>
      <c r="O441" s="11">
        <f>N441-SUM(J441:M441)</f>
        <v/>
      </c>
      <c r="P441" s="25">
        <f>SUMIFS(df_ajustes_conciliaco!D:D,df_ajustes_conciliaco!C:C,Conciliacao!A441)</f>
        <v/>
      </c>
      <c r="Q441" s="22">
        <f>O441+I441-P441</f>
        <v/>
      </c>
    </row>
    <row r="442">
      <c r="A442" s="5">
        <f>A441+1</f>
        <v/>
      </c>
      <c r="B442" s="3">
        <f>-SUMIFS(df_extrato_zig!G:G,df_extrato_zig!E:E,Conciliacao!A442,df_extrato_zig!D:D,"Saque")-SUMIFS(df_extrato_zig!G:G,df_extrato_zig!E:E,Conciliacao!A442,df_extrato_zig!D:D,"Antecipação")</f>
        <v/>
      </c>
      <c r="C442" s="3">
        <f>SUMIFS(df_extrato_zig!E:E,df_extrato_zig!L:L,Conciliacao!A442,df_extrato_zig!F:F,"DINHEIRO")</f>
        <v/>
      </c>
      <c r="D442" s="3">
        <f>SUMIFS(view_parc_agrup!H:H,view_parc_agrup!G:G,Conciliacao!A442)</f>
        <v/>
      </c>
      <c r="E442" s="3">
        <f>SUMIFS(df_eventos!F:F,df_eventos!H:H,Conciliacao!A442)</f>
        <v/>
      </c>
      <c r="F442" s="3">
        <f>SUMIFS(df_mutuos!M:M,df_mutuos!B:B,Conciliacao!A442)</f>
        <v/>
      </c>
      <c r="G442" s="6">
        <f>SUMIFS(df_bloqueios_judiciais!G:G,df_bloqueios_judiciais!D:D,Conciliacao!A442,df_bloqueios_judiciais!G:G,"&gt;0")</f>
        <v/>
      </c>
      <c r="H442" s="7">
        <f>SUMIFS(df_extratos!I:I,df_extratos!F:F,"&gt;="&amp;Conciliacao!BE442,df_extratos!F:F,"&lt;"&amp;Conciliacao!BE442+1,df_extratos!G:G,"CREDITO")
+SUMIFS(df_extratos!I:I,df_extratos!F:F,"&gt;="&amp;Conciliacao!A442, df_extratos!F:F,"&lt;"&amp;Conciliacao!A442+1, df_extratos!G:G,"CREDITO")
+SUMIFS(df_extratos!I:I,df_extratos!F:F,"&gt;="&amp;Conciliacao!BF442,df_extratos!F:F,"&lt;"&amp;Conciliacao!BF442+1,df_extratos!G:G,"CREDITO")
+SUMIFS(df_extratos!I:I,df_extratos!F:F,"&gt;="&amp;Conciliacao!BG442,df_extratos!F:F,"&lt;"&amp;Conciliacao!BG442+1,df_extratos!G:G,"CREDITO")
+SUMIFS(df_extratos!I:I,df_extratos!F:F,"&gt;="&amp;Conciliacao!BH442,df_extratos!F:F,"&lt;"&amp;Conciliacao!BH442+1,df_extratos!G:G,"CREDITO")</f>
        <v/>
      </c>
      <c r="I442" s="9">
        <f>H442-SUM(B442:G442)</f>
        <v/>
      </c>
      <c r="J442" s="4">
        <f>SUMIFS(df_blueme_sem_parcelamento!E:E,df_blueme_sem_parcelamento!H:H,Conciliacao!A442)*(-1)</f>
        <v/>
      </c>
      <c r="K442" s="4">
        <f>SUMIFS(df_blueme_com_parcelamento!J:J,df_blueme_com_parcelamento!M:M,Conciliacao!A442)*(-1)</f>
        <v/>
      </c>
      <c r="L442" s="4">
        <f>SUMIFS(df_mutuos!N:N,df_mutuos!B:B,Conciliacao!A442)*(-1)</f>
        <v/>
      </c>
      <c r="M442" s="8">
        <f>SUMIFS(df_bloqueios_judiciais!G:G,df_bloqueios_judiciais!D:D,Conciliacao!A442,df_bloqueios_judiciais!G:G,"&lt;0")</f>
        <v/>
      </c>
      <c r="N442" s="10">
        <f>SUMIFS(df_extratos!I:I,df_extratos!F:F,"&gt;="&amp;Conciliacao!BE442,df_extratos!F:F,"&lt;"&amp;Conciliacao!BE442+1,df_extratos!G:G,"DEBITO")
+SUMIFS(df_extratos!I:I,df_extratos!F:F,"&gt;="&amp;Conciliacao!A442, df_extratos!F:F,"&lt;"&amp;Conciliacao!A442+1, df_extratos!G:G,"DEBITO")
+SUMIFS(df_extratos!I:I,df_extratos!F:F,"&gt;="&amp;Conciliacao!BF442,df_extratos!F:F,"&lt;"&amp;Conciliacao!BF442+1,df_extratos!G:G,"DEBITO")
+SUMIFS(df_extratos!I:I,df_extratos!F:F,"&gt;="&amp;Conciliacao!BG442,df_extratos!F:F,"&lt;"&amp;Conciliacao!BG442+1,df_extratos!G:G,"DEBITO")
+SUMIFS(df_extratos!I:I,df_extratos!F:F,"&gt;="&amp;Conciliacao!BH442,df_extratos!F:F,"&lt;"&amp;Conciliacao!BH442+1,df_extratos!G:G,"DEBITO")</f>
        <v/>
      </c>
      <c r="O442" s="11">
        <f>N442-SUM(J442:M442)</f>
        <v/>
      </c>
      <c r="P442" s="25">
        <f>SUMIFS(df_ajustes_conciliaco!D:D,df_ajustes_conciliaco!C:C,Conciliacao!A442)</f>
        <v/>
      </c>
      <c r="Q442" s="22">
        <f>O442+I442-P442</f>
        <v/>
      </c>
    </row>
    <row r="443">
      <c r="A443" s="5">
        <f>A442+1</f>
        <v/>
      </c>
      <c r="B443" s="3">
        <f>-SUMIFS(df_extrato_zig!G:G,df_extrato_zig!E:E,Conciliacao!A443,df_extrato_zig!D:D,"Saque")-SUMIFS(df_extrato_zig!G:G,df_extrato_zig!E:E,Conciliacao!A443,df_extrato_zig!D:D,"Antecipação")</f>
        <v/>
      </c>
      <c r="C443" s="3">
        <f>SUMIFS(df_extrato_zig!E:E,df_extrato_zig!L:L,Conciliacao!A443,df_extrato_zig!F:F,"DINHEIRO")</f>
        <v/>
      </c>
      <c r="D443" s="3">
        <f>SUMIFS(view_parc_agrup!H:H,view_parc_agrup!G:G,Conciliacao!A443)</f>
        <v/>
      </c>
      <c r="E443" s="3">
        <f>SUMIFS(df_eventos!F:F,df_eventos!H:H,Conciliacao!A443)</f>
        <v/>
      </c>
      <c r="F443" s="3">
        <f>SUMIFS(df_mutuos!M:M,df_mutuos!B:B,Conciliacao!A443)</f>
        <v/>
      </c>
      <c r="G443" s="6">
        <f>SUMIFS(df_bloqueios_judiciais!G:G,df_bloqueios_judiciais!D:D,Conciliacao!A443,df_bloqueios_judiciais!G:G,"&gt;0")</f>
        <v/>
      </c>
      <c r="H443" s="7">
        <f>SUMIFS(df_extratos!I:I,df_extratos!F:F,"&gt;="&amp;Conciliacao!BE443,df_extratos!F:F,"&lt;"&amp;Conciliacao!BE443+1,df_extratos!G:G,"CREDITO")
+SUMIFS(df_extratos!I:I,df_extratos!F:F,"&gt;="&amp;Conciliacao!A443, df_extratos!F:F,"&lt;"&amp;Conciliacao!A443+1, df_extratos!G:G,"CREDITO")
+SUMIFS(df_extratos!I:I,df_extratos!F:F,"&gt;="&amp;Conciliacao!BF443,df_extratos!F:F,"&lt;"&amp;Conciliacao!BF443+1,df_extratos!G:G,"CREDITO")
+SUMIFS(df_extratos!I:I,df_extratos!F:F,"&gt;="&amp;Conciliacao!BG443,df_extratos!F:F,"&lt;"&amp;Conciliacao!BG443+1,df_extratos!G:G,"CREDITO")
+SUMIFS(df_extratos!I:I,df_extratos!F:F,"&gt;="&amp;Conciliacao!BH443,df_extratos!F:F,"&lt;"&amp;Conciliacao!BH443+1,df_extratos!G:G,"CREDITO")</f>
        <v/>
      </c>
      <c r="I443" s="9">
        <f>H443-SUM(B443:G443)</f>
        <v/>
      </c>
      <c r="J443" s="4">
        <f>SUMIFS(df_blueme_sem_parcelamento!E:E,df_blueme_sem_parcelamento!H:H,Conciliacao!A443)*(-1)</f>
        <v/>
      </c>
      <c r="K443" s="4">
        <f>SUMIFS(df_blueme_com_parcelamento!J:J,df_blueme_com_parcelamento!M:M,Conciliacao!A443)*(-1)</f>
        <v/>
      </c>
      <c r="L443" s="4">
        <f>SUMIFS(df_mutuos!N:N,df_mutuos!B:B,Conciliacao!A443)*(-1)</f>
        <v/>
      </c>
      <c r="M443" s="8">
        <f>SUMIFS(df_bloqueios_judiciais!G:G,df_bloqueios_judiciais!D:D,Conciliacao!A443,df_bloqueios_judiciais!G:G,"&lt;0")</f>
        <v/>
      </c>
      <c r="N443" s="10">
        <f>SUMIFS(df_extratos!I:I,df_extratos!F:F,"&gt;="&amp;Conciliacao!BE443,df_extratos!F:F,"&lt;"&amp;Conciliacao!BE443+1,df_extratos!G:G,"DEBITO")
+SUMIFS(df_extratos!I:I,df_extratos!F:F,"&gt;="&amp;Conciliacao!A443, df_extratos!F:F,"&lt;"&amp;Conciliacao!A443+1, df_extratos!G:G,"DEBITO")
+SUMIFS(df_extratos!I:I,df_extratos!F:F,"&gt;="&amp;Conciliacao!BF443,df_extratos!F:F,"&lt;"&amp;Conciliacao!BF443+1,df_extratos!G:G,"DEBITO")
+SUMIFS(df_extratos!I:I,df_extratos!F:F,"&gt;="&amp;Conciliacao!BG443,df_extratos!F:F,"&lt;"&amp;Conciliacao!BG443+1,df_extratos!G:G,"DEBITO")
+SUMIFS(df_extratos!I:I,df_extratos!F:F,"&gt;="&amp;Conciliacao!BH443,df_extratos!F:F,"&lt;"&amp;Conciliacao!BH443+1,df_extratos!G:G,"DEBITO")</f>
        <v/>
      </c>
      <c r="O443" s="11">
        <f>N443-SUM(J443:M443)</f>
        <v/>
      </c>
      <c r="P443" s="25">
        <f>SUMIFS(df_ajustes_conciliaco!D:D,df_ajustes_conciliaco!C:C,Conciliacao!A443)</f>
        <v/>
      </c>
      <c r="Q443" s="22">
        <f>O443+I443-P443</f>
        <v/>
      </c>
    </row>
    <row r="444">
      <c r="A444" s="5">
        <f>A443+1</f>
        <v/>
      </c>
      <c r="B444" s="3">
        <f>-SUMIFS(df_extrato_zig!G:G,df_extrato_zig!E:E,Conciliacao!A444,df_extrato_zig!D:D,"Saque")-SUMIFS(df_extrato_zig!G:G,df_extrato_zig!E:E,Conciliacao!A444,df_extrato_zig!D:D,"Antecipação")</f>
        <v/>
      </c>
      <c r="C444" s="3">
        <f>SUMIFS(df_extrato_zig!E:E,df_extrato_zig!L:L,Conciliacao!A444,df_extrato_zig!F:F,"DINHEIRO")</f>
        <v/>
      </c>
      <c r="D444" s="3">
        <f>SUMIFS(view_parc_agrup!H:H,view_parc_agrup!G:G,Conciliacao!A444)</f>
        <v/>
      </c>
      <c r="E444" s="3">
        <f>SUMIFS(df_eventos!F:F,df_eventos!H:H,Conciliacao!A444)</f>
        <v/>
      </c>
      <c r="F444" s="3">
        <f>SUMIFS(df_mutuos!M:M,df_mutuos!B:B,Conciliacao!A444)</f>
        <v/>
      </c>
      <c r="G444" s="6">
        <f>SUMIFS(df_bloqueios_judiciais!G:G,df_bloqueios_judiciais!D:D,Conciliacao!A444,df_bloqueios_judiciais!G:G,"&gt;0")</f>
        <v/>
      </c>
      <c r="H444" s="7">
        <f>SUMIFS(df_extratos!I:I,df_extratos!F:F,"&gt;="&amp;Conciliacao!BE444,df_extratos!F:F,"&lt;"&amp;Conciliacao!BE444+1,df_extratos!G:G,"CREDITO")
+SUMIFS(df_extratos!I:I,df_extratos!F:F,"&gt;="&amp;Conciliacao!A444, df_extratos!F:F,"&lt;"&amp;Conciliacao!A444+1, df_extratos!G:G,"CREDITO")
+SUMIFS(df_extratos!I:I,df_extratos!F:F,"&gt;="&amp;Conciliacao!BF444,df_extratos!F:F,"&lt;"&amp;Conciliacao!BF444+1,df_extratos!G:G,"CREDITO")
+SUMIFS(df_extratos!I:I,df_extratos!F:F,"&gt;="&amp;Conciliacao!BG444,df_extratos!F:F,"&lt;"&amp;Conciliacao!BG444+1,df_extratos!G:G,"CREDITO")
+SUMIFS(df_extratos!I:I,df_extratos!F:F,"&gt;="&amp;Conciliacao!BH444,df_extratos!F:F,"&lt;"&amp;Conciliacao!BH444+1,df_extratos!G:G,"CREDITO")</f>
        <v/>
      </c>
      <c r="I444" s="9">
        <f>H444-SUM(B444:G444)</f>
        <v/>
      </c>
      <c r="J444" s="4">
        <f>SUMIFS(df_blueme_sem_parcelamento!E:E,df_blueme_sem_parcelamento!H:H,Conciliacao!A444)*(-1)</f>
        <v/>
      </c>
      <c r="K444" s="4">
        <f>SUMIFS(df_blueme_com_parcelamento!J:J,df_blueme_com_parcelamento!M:M,Conciliacao!A444)*(-1)</f>
        <v/>
      </c>
      <c r="L444" s="4">
        <f>SUMIFS(df_mutuos!N:N,df_mutuos!B:B,Conciliacao!A444)*(-1)</f>
        <v/>
      </c>
      <c r="M444" s="8">
        <f>SUMIFS(df_bloqueios_judiciais!G:G,df_bloqueios_judiciais!D:D,Conciliacao!A444,df_bloqueios_judiciais!G:G,"&lt;0")</f>
        <v/>
      </c>
      <c r="N444" s="10">
        <f>SUMIFS(df_extratos!I:I,df_extratos!F:F,"&gt;="&amp;Conciliacao!BE444,df_extratos!F:F,"&lt;"&amp;Conciliacao!BE444+1,df_extratos!G:G,"DEBITO")
+SUMIFS(df_extratos!I:I,df_extratos!F:F,"&gt;="&amp;Conciliacao!A444, df_extratos!F:F,"&lt;"&amp;Conciliacao!A444+1, df_extratos!G:G,"DEBITO")
+SUMIFS(df_extratos!I:I,df_extratos!F:F,"&gt;="&amp;Conciliacao!BF444,df_extratos!F:F,"&lt;"&amp;Conciliacao!BF444+1,df_extratos!G:G,"DEBITO")
+SUMIFS(df_extratos!I:I,df_extratos!F:F,"&gt;="&amp;Conciliacao!BG444,df_extratos!F:F,"&lt;"&amp;Conciliacao!BG444+1,df_extratos!G:G,"DEBITO")
+SUMIFS(df_extratos!I:I,df_extratos!F:F,"&gt;="&amp;Conciliacao!BH444,df_extratos!F:F,"&lt;"&amp;Conciliacao!BH444+1,df_extratos!G:G,"DEBITO")</f>
        <v/>
      </c>
      <c r="O444" s="11">
        <f>N444-SUM(J444:M444)</f>
        <v/>
      </c>
      <c r="P444" s="25">
        <f>SUMIFS(df_ajustes_conciliaco!D:D,df_ajustes_conciliaco!C:C,Conciliacao!A444)</f>
        <v/>
      </c>
      <c r="Q444" s="22">
        <f>O444+I444-P444</f>
        <v/>
      </c>
    </row>
    <row r="445">
      <c r="A445" s="5">
        <f>A444+1</f>
        <v/>
      </c>
      <c r="B445" s="3">
        <f>-SUMIFS(df_extrato_zig!G:G,df_extrato_zig!E:E,Conciliacao!A445,df_extrato_zig!D:D,"Saque")-SUMIFS(df_extrato_zig!G:G,df_extrato_zig!E:E,Conciliacao!A445,df_extrato_zig!D:D,"Antecipação")</f>
        <v/>
      </c>
      <c r="C445" s="3">
        <f>SUMIFS(df_extrato_zig!E:E,df_extrato_zig!L:L,Conciliacao!A445,df_extrato_zig!F:F,"DINHEIRO")</f>
        <v/>
      </c>
      <c r="D445" s="3">
        <f>SUMIFS(view_parc_agrup!H:H,view_parc_agrup!G:G,Conciliacao!A445)</f>
        <v/>
      </c>
      <c r="E445" s="3">
        <f>SUMIFS(df_eventos!F:F,df_eventos!H:H,Conciliacao!A445)</f>
        <v/>
      </c>
      <c r="F445" s="3">
        <f>SUMIFS(df_mutuos!M:M,df_mutuos!B:B,Conciliacao!A445)</f>
        <v/>
      </c>
      <c r="G445" s="6">
        <f>SUMIFS(df_bloqueios_judiciais!G:G,df_bloqueios_judiciais!D:D,Conciliacao!A445,df_bloqueios_judiciais!G:G,"&gt;0")</f>
        <v/>
      </c>
      <c r="H445" s="7">
        <f>SUMIFS(df_extratos!I:I,df_extratos!F:F,"&gt;="&amp;Conciliacao!BE445,df_extratos!F:F,"&lt;"&amp;Conciliacao!BE445+1,df_extratos!G:G,"CREDITO")
+SUMIFS(df_extratos!I:I,df_extratos!F:F,"&gt;="&amp;Conciliacao!A445, df_extratos!F:F,"&lt;"&amp;Conciliacao!A445+1, df_extratos!G:G,"CREDITO")
+SUMIFS(df_extratos!I:I,df_extratos!F:F,"&gt;="&amp;Conciliacao!BF445,df_extratos!F:F,"&lt;"&amp;Conciliacao!BF445+1,df_extratos!G:G,"CREDITO")
+SUMIFS(df_extratos!I:I,df_extratos!F:F,"&gt;="&amp;Conciliacao!BG445,df_extratos!F:F,"&lt;"&amp;Conciliacao!BG445+1,df_extratos!G:G,"CREDITO")
+SUMIFS(df_extratos!I:I,df_extratos!F:F,"&gt;="&amp;Conciliacao!BH445,df_extratos!F:F,"&lt;"&amp;Conciliacao!BH445+1,df_extratos!G:G,"CREDITO")</f>
        <v/>
      </c>
      <c r="I445" s="9">
        <f>H445-SUM(B445:G445)</f>
        <v/>
      </c>
      <c r="J445" s="4">
        <f>SUMIFS(df_blueme_sem_parcelamento!E:E,df_blueme_sem_parcelamento!H:H,Conciliacao!A445)*(-1)</f>
        <v/>
      </c>
      <c r="K445" s="4">
        <f>SUMIFS(df_blueme_com_parcelamento!J:J,df_blueme_com_parcelamento!M:M,Conciliacao!A445)*(-1)</f>
        <v/>
      </c>
      <c r="L445" s="4">
        <f>SUMIFS(df_mutuos!N:N,df_mutuos!B:B,Conciliacao!A445)*(-1)</f>
        <v/>
      </c>
      <c r="M445" s="8">
        <f>SUMIFS(df_bloqueios_judiciais!G:G,df_bloqueios_judiciais!D:D,Conciliacao!A445,df_bloqueios_judiciais!G:G,"&lt;0")</f>
        <v/>
      </c>
      <c r="N445" s="10">
        <f>SUMIFS(df_extratos!I:I,df_extratos!F:F,"&gt;="&amp;Conciliacao!BE445,df_extratos!F:F,"&lt;"&amp;Conciliacao!BE445+1,df_extratos!G:G,"DEBITO")
+SUMIFS(df_extratos!I:I,df_extratos!F:F,"&gt;="&amp;Conciliacao!A445, df_extratos!F:F,"&lt;"&amp;Conciliacao!A445+1, df_extratos!G:G,"DEBITO")
+SUMIFS(df_extratos!I:I,df_extratos!F:F,"&gt;="&amp;Conciliacao!BF445,df_extratos!F:F,"&lt;"&amp;Conciliacao!BF445+1,df_extratos!G:G,"DEBITO")
+SUMIFS(df_extratos!I:I,df_extratos!F:F,"&gt;="&amp;Conciliacao!BG445,df_extratos!F:F,"&lt;"&amp;Conciliacao!BG445+1,df_extratos!G:G,"DEBITO")
+SUMIFS(df_extratos!I:I,df_extratos!F:F,"&gt;="&amp;Conciliacao!BH445,df_extratos!F:F,"&lt;"&amp;Conciliacao!BH445+1,df_extratos!G:G,"DEBITO")</f>
        <v/>
      </c>
      <c r="O445" s="11">
        <f>N445-SUM(J445:M445)</f>
        <v/>
      </c>
      <c r="P445" s="25">
        <f>SUMIFS(df_ajustes_conciliaco!D:D,df_ajustes_conciliaco!C:C,Conciliacao!A445)</f>
        <v/>
      </c>
      <c r="Q445" s="22">
        <f>O445+I445-P445</f>
        <v/>
      </c>
    </row>
    <row r="446">
      <c r="A446" s="5">
        <f>A445+1</f>
        <v/>
      </c>
      <c r="B446" s="3">
        <f>-SUMIFS(df_extrato_zig!G:G,df_extrato_zig!E:E,Conciliacao!A446,df_extrato_zig!D:D,"Saque")-SUMIFS(df_extrato_zig!G:G,df_extrato_zig!E:E,Conciliacao!A446,df_extrato_zig!D:D,"Antecipação")</f>
        <v/>
      </c>
      <c r="C446" s="3">
        <f>SUMIFS(df_extrato_zig!E:E,df_extrato_zig!L:L,Conciliacao!A446,df_extrato_zig!F:F,"DINHEIRO")</f>
        <v/>
      </c>
      <c r="D446" s="3">
        <f>SUMIFS(view_parc_agrup!H:H,view_parc_agrup!G:G,Conciliacao!A446)</f>
        <v/>
      </c>
      <c r="E446" s="3">
        <f>SUMIFS(df_eventos!F:F,df_eventos!H:H,Conciliacao!A446)</f>
        <v/>
      </c>
      <c r="F446" s="3">
        <f>SUMIFS(df_mutuos!M:M,df_mutuos!B:B,Conciliacao!A446)</f>
        <v/>
      </c>
      <c r="G446" s="6">
        <f>SUMIFS(df_bloqueios_judiciais!G:G,df_bloqueios_judiciais!D:D,Conciliacao!A446,df_bloqueios_judiciais!G:G,"&gt;0")</f>
        <v/>
      </c>
      <c r="H446" s="7">
        <f>SUMIFS(df_extratos!I:I,df_extratos!F:F,"&gt;="&amp;Conciliacao!BE446,df_extratos!F:F,"&lt;"&amp;Conciliacao!BE446+1,df_extratos!G:G,"CREDITO")
+SUMIFS(df_extratos!I:I,df_extratos!F:F,"&gt;="&amp;Conciliacao!A446, df_extratos!F:F,"&lt;"&amp;Conciliacao!A446+1, df_extratos!G:G,"CREDITO")
+SUMIFS(df_extratos!I:I,df_extratos!F:F,"&gt;="&amp;Conciliacao!BF446,df_extratos!F:F,"&lt;"&amp;Conciliacao!BF446+1,df_extratos!G:G,"CREDITO")
+SUMIFS(df_extratos!I:I,df_extratos!F:F,"&gt;="&amp;Conciliacao!BG446,df_extratos!F:F,"&lt;"&amp;Conciliacao!BG446+1,df_extratos!G:G,"CREDITO")
+SUMIFS(df_extratos!I:I,df_extratos!F:F,"&gt;="&amp;Conciliacao!BH446,df_extratos!F:F,"&lt;"&amp;Conciliacao!BH446+1,df_extratos!G:G,"CREDITO")</f>
        <v/>
      </c>
      <c r="I446" s="9">
        <f>H446-SUM(B446:G446)</f>
        <v/>
      </c>
      <c r="J446" s="4">
        <f>SUMIFS(df_blueme_sem_parcelamento!E:E,df_blueme_sem_parcelamento!H:H,Conciliacao!A446)*(-1)</f>
        <v/>
      </c>
      <c r="K446" s="4">
        <f>SUMIFS(df_blueme_com_parcelamento!J:J,df_blueme_com_parcelamento!M:M,Conciliacao!A446)*(-1)</f>
        <v/>
      </c>
      <c r="L446" s="4">
        <f>SUMIFS(df_mutuos!N:N,df_mutuos!B:B,Conciliacao!A446)*(-1)</f>
        <v/>
      </c>
      <c r="M446" s="8">
        <f>SUMIFS(df_bloqueios_judiciais!G:G,df_bloqueios_judiciais!D:D,Conciliacao!A446,df_bloqueios_judiciais!G:G,"&lt;0")</f>
        <v/>
      </c>
      <c r="N446" s="10">
        <f>SUMIFS(df_extratos!I:I,df_extratos!F:F,"&gt;="&amp;Conciliacao!BE446,df_extratos!F:F,"&lt;"&amp;Conciliacao!BE446+1,df_extratos!G:G,"DEBITO")
+SUMIFS(df_extratos!I:I,df_extratos!F:F,"&gt;="&amp;Conciliacao!A446, df_extratos!F:F,"&lt;"&amp;Conciliacao!A446+1, df_extratos!G:G,"DEBITO")
+SUMIFS(df_extratos!I:I,df_extratos!F:F,"&gt;="&amp;Conciliacao!BF446,df_extratos!F:F,"&lt;"&amp;Conciliacao!BF446+1,df_extratos!G:G,"DEBITO")
+SUMIFS(df_extratos!I:I,df_extratos!F:F,"&gt;="&amp;Conciliacao!BG446,df_extratos!F:F,"&lt;"&amp;Conciliacao!BG446+1,df_extratos!G:G,"DEBITO")
+SUMIFS(df_extratos!I:I,df_extratos!F:F,"&gt;="&amp;Conciliacao!BH446,df_extratos!F:F,"&lt;"&amp;Conciliacao!BH446+1,df_extratos!G:G,"DEBITO")</f>
        <v/>
      </c>
      <c r="O446" s="11">
        <f>N446-SUM(J446:M446)</f>
        <v/>
      </c>
      <c r="P446" s="25">
        <f>SUMIFS(df_ajustes_conciliaco!D:D,df_ajustes_conciliaco!C:C,Conciliacao!A446)</f>
        <v/>
      </c>
      <c r="Q446" s="22">
        <f>O446+I446-P446</f>
        <v/>
      </c>
    </row>
    <row r="447">
      <c r="A447" s="5">
        <f>A446+1</f>
        <v/>
      </c>
      <c r="B447" s="3">
        <f>-SUMIFS(df_extrato_zig!G:G,df_extrato_zig!E:E,Conciliacao!A447,df_extrato_zig!D:D,"Saque")-SUMIFS(df_extrato_zig!G:G,df_extrato_zig!E:E,Conciliacao!A447,df_extrato_zig!D:D,"Antecipação")</f>
        <v/>
      </c>
      <c r="C447" s="3">
        <f>SUMIFS(df_extrato_zig!E:E,df_extrato_zig!L:L,Conciliacao!A447,df_extrato_zig!F:F,"DINHEIRO")</f>
        <v/>
      </c>
      <c r="D447" s="3">
        <f>SUMIFS(view_parc_agrup!H:H,view_parc_agrup!G:G,Conciliacao!A447)</f>
        <v/>
      </c>
      <c r="E447" s="3">
        <f>SUMIFS(df_eventos!F:F,df_eventos!H:H,Conciliacao!A447)</f>
        <v/>
      </c>
      <c r="F447" s="3">
        <f>SUMIFS(df_mutuos!M:M,df_mutuos!B:B,Conciliacao!A447)</f>
        <v/>
      </c>
      <c r="G447" s="6">
        <f>SUMIFS(df_bloqueios_judiciais!G:G,df_bloqueios_judiciais!D:D,Conciliacao!A447,df_bloqueios_judiciais!G:G,"&gt;0")</f>
        <v/>
      </c>
      <c r="H447" s="7">
        <f>SUMIFS(df_extratos!I:I,df_extratos!F:F,"&gt;="&amp;Conciliacao!BE447,df_extratos!F:F,"&lt;"&amp;Conciliacao!BE447+1,df_extratos!G:G,"CREDITO")
+SUMIFS(df_extratos!I:I,df_extratos!F:F,"&gt;="&amp;Conciliacao!A447, df_extratos!F:F,"&lt;"&amp;Conciliacao!A447+1, df_extratos!G:G,"CREDITO")
+SUMIFS(df_extratos!I:I,df_extratos!F:F,"&gt;="&amp;Conciliacao!BF447,df_extratos!F:F,"&lt;"&amp;Conciliacao!BF447+1,df_extratos!G:G,"CREDITO")
+SUMIFS(df_extratos!I:I,df_extratos!F:F,"&gt;="&amp;Conciliacao!BG447,df_extratos!F:F,"&lt;"&amp;Conciliacao!BG447+1,df_extratos!G:G,"CREDITO")
+SUMIFS(df_extratos!I:I,df_extratos!F:F,"&gt;="&amp;Conciliacao!BH447,df_extratos!F:F,"&lt;"&amp;Conciliacao!BH447+1,df_extratos!G:G,"CREDITO")</f>
        <v/>
      </c>
      <c r="I447" s="9">
        <f>H447-SUM(B447:G447)</f>
        <v/>
      </c>
      <c r="J447" s="4">
        <f>SUMIFS(df_blueme_sem_parcelamento!E:E,df_blueme_sem_parcelamento!H:H,Conciliacao!A447)*(-1)</f>
        <v/>
      </c>
      <c r="K447" s="4">
        <f>SUMIFS(df_blueme_com_parcelamento!J:J,df_blueme_com_parcelamento!M:M,Conciliacao!A447)*(-1)</f>
        <v/>
      </c>
      <c r="L447" s="4">
        <f>SUMIFS(df_mutuos!N:N,df_mutuos!B:B,Conciliacao!A447)*(-1)</f>
        <v/>
      </c>
      <c r="M447" s="8">
        <f>SUMIFS(df_bloqueios_judiciais!G:G,df_bloqueios_judiciais!D:D,Conciliacao!A447,df_bloqueios_judiciais!G:G,"&lt;0")</f>
        <v/>
      </c>
      <c r="N447" s="10">
        <f>SUMIFS(df_extratos!I:I,df_extratos!F:F,"&gt;="&amp;Conciliacao!BE447,df_extratos!F:F,"&lt;"&amp;Conciliacao!BE447+1,df_extratos!G:G,"DEBITO")
+SUMIFS(df_extratos!I:I,df_extratos!F:F,"&gt;="&amp;Conciliacao!A447, df_extratos!F:F,"&lt;"&amp;Conciliacao!A447+1, df_extratos!G:G,"DEBITO")
+SUMIFS(df_extratos!I:I,df_extratos!F:F,"&gt;="&amp;Conciliacao!BF447,df_extratos!F:F,"&lt;"&amp;Conciliacao!BF447+1,df_extratos!G:G,"DEBITO")
+SUMIFS(df_extratos!I:I,df_extratos!F:F,"&gt;="&amp;Conciliacao!BG447,df_extratos!F:F,"&lt;"&amp;Conciliacao!BG447+1,df_extratos!G:G,"DEBITO")
+SUMIFS(df_extratos!I:I,df_extratos!F:F,"&gt;="&amp;Conciliacao!BH447,df_extratos!F:F,"&lt;"&amp;Conciliacao!BH447+1,df_extratos!G:G,"DEBITO")</f>
        <v/>
      </c>
      <c r="O447" s="11">
        <f>N447-SUM(J447:M447)</f>
        <v/>
      </c>
      <c r="P447" s="25">
        <f>SUMIFS(df_ajustes_conciliaco!D:D,df_ajustes_conciliaco!C:C,Conciliacao!A447)</f>
        <v/>
      </c>
      <c r="Q447" s="22">
        <f>O447+I447-P447</f>
        <v/>
      </c>
    </row>
    <row r="448">
      <c r="A448" s="5">
        <f>A447+1</f>
        <v/>
      </c>
      <c r="B448" s="3">
        <f>-SUMIFS(df_extrato_zig!G:G,df_extrato_zig!E:E,Conciliacao!A448,df_extrato_zig!D:D,"Saque")-SUMIFS(df_extrato_zig!G:G,df_extrato_zig!E:E,Conciliacao!A448,df_extrato_zig!D:D,"Antecipação")</f>
        <v/>
      </c>
      <c r="C448" s="3">
        <f>SUMIFS(df_extrato_zig!E:E,df_extrato_zig!L:L,Conciliacao!A448,df_extrato_zig!F:F,"DINHEIRO")</f>
        <v/>
      </c>
      <c r="D448" s="3">
        <f>SUMIFS(view_parc_agrup!H:H,view_parc_agrup!G:G,Conciliacao!A448)</f>
        <v/>
      </c>
      <c r="E448" s="3">
        <f>SUMIFS(df_eventos!F:F,df_eventos!H:H,Conciliacao!A448)</f>
        <v/>
      </c>
      <c r="F448" s="3">
        <f>SUMIFS(df_mutuos!M:M,df_mutuos!B:B,Conciliacao!A448)</f>
        <v/>
      </c>
      <c r="G448" s="6">
        <f>SUMIFS(df_bloqueios_judiciais!G:G,df_bloqueios_judiciais!D:D,Conciliacao!A448,df_bloqueios_judiciais!G:G,"&gt;0")</f>
        <v/>
      </c>
      <c r="H448" s="7">
        <f>SUMIFS(df_extratos!I:I,df_extratos!F:F,"&gt;="&amp;Conciliacao!BE448,df_extratos!F:F,"&lt;"&amp;Conciliacao!BE448+1,df_extratos!G:G,"CREDITO")
+SUMIFS(df_extratos!I:I,df_extratos!F:F,"&gt;="&amp;Conciliacao!A448, df_extratos!F:F,"&lt;"&amp;Conciliacao!A448+1, df_extratos!G:G,"CREDITO")
+SUMIFS(df_extratos!I:I,df_extratos!F:F,"&gt;="&amp;Conciliacao!BF448,df_extratos!F:F,"&lt;"&amp;Conciliacao!BF448+1,df_extratos!G:G,"CREDITO")
+SUMIFS(df_extratos!I:I,df_extratos!F:F,"&gt;="&amp;Conciliacao!BG448,df_extratos!F:F,"&lt;"&amp;Conciliacao!BG448+1,df_extratos!G:G,"CREDITO")
+SUMIFS(df_extratos!I:I,df_extratos!F:F,"&gt;="&amp;Conciliacao!BH448,df_extratos!F:F,"&lt;"&amp;Conciliacao!BH448+1,df_extratos!G:G,"CREDITO")</f>
        <v/>
      </c>
      <c r="I448" s="9">
        <f>H448-SUM(B448:G448)</f>
        <v/>
      </c>
      <c r="J448" s="4">
        <f>SUMIFS(df_blueme_sem_parcelamento!E:E,df_blueme_sem_parcelamento!H:H,Conciliacao!A448)*(-1)</f>
        <v/>
      </c>
      <c r="K448" s="4">
        <f>SUMIFS(df_blueme_com_parcelamento!J:J,df_blueme_com_parcelamento!M:M,Conciliacao!A448)*(-1)</f>
        <v/>
      </c>
      <c r="L448" s="4">
        <f>SUMIFS(df_mutuos!N:N,df_mutuos!B:B,Conciliacao!A448)*(-1)</f>
        <v/>
      </c>
      <c r="M448" s="8">
        <f>SUMIFS(df_bloqueios_judiciais!G:G,df_bloqueios_judiciais!D:D,Conciliacao!A448,df_bloqueios_judiciais!G:G,"&lt;0")</f>
        <v/>
      </c>
      <c r="N448" s="10">
        <f>SUMIFS(df_extratos!I:I,df_extratos!F:F,"&gt;="&amp;Conciliacao!BE448,df_extratos!F:F,"&lt;"&amp;Conciliacao!BE448+1,df_extratos!G:G,"DEBITO")
+SUMIFS(df_extratos!I:I,df_extratos!F:F,"&gt;="&amp;Conciliacao!A448, df_extratos!F:F,"&lt;"&amp;Conciliacao!A448+1, df_extratos!G:G,"DEBITO")
+SUMIFS(df_extratos!I:I,df_extratos!F:F,"&gt;="&amp;Conciliacao!BF448,df_extratos!F:F,"&lt;"&amp;Conciliacao!BF448+1,df_extratos!G:G,"DEBITO")
+SUMIFS(df_extratos!I:I,df_extratos!F:F,"&gt;="&amp;Conciliacao!BG448,df_extratos!F:F,"&lt;"&amp;Conciliacao!BG448+1,df_extratos!G:G,"DEBITO")
+SUMIFS(df_extratos!I:I,df_extratos!F:F,"&gt;="&amp;Conciliacao!BH448,df_extratos!F:F,"&lt;"&amp;Conciliacao!BH448+1,df_extratos!G:G,"DEBITO")</f>
        <v/>
      </c>
      <c r="O448" s="11">
        <f>N448-SUM(J448:M448)</f>
        <v/>
      </c>
      <c r="P448" s="25">
        <f>SUMIFS(df_ajustes_conciliaco!D:D,df_ajustes_conciliaco!C:C,Conciliacao!A448)</f>
        <v/>
      </c>
      <c r="Q448" s="22">
        <f>O448+I448-P448</f>
        <v/>
      </c>
    </row>
    <row r="449">
      <c r="A449" s="5">
        <f>A448+1</f>
        <v/>
      </c>
      <c r="B449" s="3">
        <f>-SUMIFS(df_extrato_zig!G:G,df_extrato_zig!E:E,Conciliacao!A449,df_extrato_zig!D:D,"Saque")-SUMIFS(df_extrato_zig!G:G,df_extrato_zig!E:E,Conciliacao!A449,df_extrato_zig!D:D,"Antecipação")</f>
        <v/>
      </c>
      <c r="C449" s="3">
        <f>SUMIFS(df_extrato_zig!E:E,df_extrato_zig!L:L,Conciliacao!A449,df_extrato_zig!F:F,"DINHEIRO")</f>
        <v/>
      </c>
      <c r="D449" s="3">
        <f>SUMIFS(view_parc_agrup!H:H,view_parc_agrup!G:G,Conciliacao!A449)</f>
        <v/>
      </c>
      <c r="E449" s="3">
        <f>SUMIFS(df_eventos!F:F,df_eventos!H:H,Conciliacao!A449)</f>
        <v/>
      </c>
      <c r="F449" s="3">
        <f>SUMIFS(df_mutuos!M:M,df_mutuos!B:B,Conciliacao!A449)</f>
        <v/>
      </c>
      <c r="G449" s="6">
        <f>SUMIFS(df_bloqueios_judiciais!G:G,df_bloqueios_judiciais!D:D,Conciliacao!A449,df_bloqueios_judiciais!G:G,"&gt;0")</f>
        <v/>
      </c>
      <c r="H449" s="7">
        <f>SUMIFS(df_extratos!I:I,df_extratos!F:F,"&gt;="&amp;Conciliacao!BE449,df_extratos!F:F,"&lt;"&amp;Conciliacao!BE449+1,df_extratos!G:G,"CREDITO")
+SUMIFS(df_extratos!I:I,df_extratos!F:F,"&gt;="&amp;Conciliacao!A449, df_extratos!F:F,"&lt;"&amp;Conciliacao!A449+1, df_extratos!G:G,"CREDITO")
+SUMIFS(df_extratos!I:I,df_extratos!F:F,"&gt;="&amp;Conciliacao!BF449,df_extratos!F:F,"&lt;"&amp;Conciliacao!BF449+1,df_extratos!G:G,"CREDITO")
+SUMIFS(df_extratos!I:I,df_extratos!F:F,"&gt;="&amp;Conciliacao!BG449,df_extratos!F:F,"&lt;"&amp;Conciliacao!BG449+1,df_extratos!G:G,"CREDITO")
+SUMIFS(df_extratos!I:I,df_extratos!F:F,"&gt;="&amp;Conciliacao!BH449,df_extratos!F:F,"&lt;"&amp;Conciliacao!BH449+1,df_extratos!G:G,"CREDITO")</f>
        <v/>
      </c>
      <c r="I449" s="9">
        <f>H449-SUM(B449:G449)</f>
        <v/>
      </c>
      <c r="J449" s="4">
        <f>SUMIFS(df_blueme_sem_parcelamento!E:E,df_blueme_sem_parcelamento!H:H,Conciliacao!A449)*(-1)</f>
        <v/>
      </c>
      <c r="K449" s="4">
        <f>SUMIFS(df_blueme_com_parcelamento!J:J,df_blueme_com_parcelamento!M:M,Conciliacao!A449)*(-1)</f>
        <v/>
      </c>
      <c r="L449" s="4">
        <f>SUMIFS(df_mutuos!N:N,df_mutuos!B:B,Conciliacao!A449)*(-1)</f>
        <v/>
      </c>
      <c r="M449" s="8">
        <f>SUMIFS(df_bloqueios_judiciais!G:G,df_bloqueios_judiciais!D:D,Conciliacao!A449,df_bloqueios_judiciais!G:G,"&lt;0")</f>
        <v/>
      </c>
      <c r="N449" s="10">
        <f>SUMIFS(df_extratos!I:I,df_extratos!F:F,"&gt;="&amp;Conciliacao!BE449,df_extratos!F:F,"&lt;"&amp;Conciliacao!BE449+1,df_extratos!G:G,"DEBITO")
+SUMIFS(df_extratos!I:I,df_extratos!F:F,"&gt;="&amp;Conciliacao!A449, df_extratos!F:F,"&lt;"&amp;Conciliacao!A449+1, df_extratos!G:G,"DEBITO")
+SUMIFS(df_extratos!I:I,df_extratos!F:F,"&gt;="&amp;Conciliacao!BF449,df_extratos!F:F,"&lt;"&amp;Conciliacao!BF449+1,df_extratos!G:G,"DEBITO")
+SUMIFS(df_extratos!I:I,df_extratos!F:F,"&gt;="&amp;Conciliacao!BG449,df_extratos!F:F,"&lt;"&amp;Conciliacao!BG449+1,df_extratos!G:G,"DEBITO")
+SUMIFS(df_extratos!I:I,df_extratos!F:F,"&gt;="&amp;Conciliacao!BH449,df_extratos!F:F,"&lt;"&amp;Conciliacao!BH449+1,df_extratos!G:G,"DEBITO")</f>
        <v/>
      </c>
      <c r="O449" s="11">
        <f>N449-SUM(J449:M449)</f>
        <v/>
      </c>
      <c r="P449" s="25">
        <f>SUMIFS(df_ajustes_conciliaco!D:D,df_ajustes_conciliaco!C:C,Conciliacao!A449)</f>
        <v/>
      </c>
      <c r="Q449" s="22">
        <f>O449+I449-P449</f>
        <v/>
      </c>
    </row>
    <row r="450">
      <c r="A450" s="5">
        <f>A449+1</f>
        <v/>
      </c>
      <c r="B450" s="3">
        <f>-SUMIFS(df_extrato_zig!G:G,df_extrato_zig!E:E,Conciliacao!A450,df_extrato_zig!D:D,"Saque")-SUMIFS(df_extrato_zig!G:G,df_extrato_zig!E:E,Conciliacao!A450,df_extrato_zig!D:D,"Antecipação")</f>
        <v/>
      </c>
      <c r="C450" s="3">
        <f>SUMIFS(df_extrato_zig!E:E,df_extrato_zig!L:L,Conciliacao!A450,df_extrato_zig!F:F,"DINHEIRO")</f>
        <v/>
      </c>
      <c r="D450" s="3">
        <f>SUMIFS(view_parc_agrup!H:H,view_parc_agrup!G:G,Conciliacao!A450)</f>
        <v/>
      </c>
      <c r="E450" s="3">
        <f>SUMIFS(df_eventos!F:F,df_eventos!H:H,Conciliacao!A450)</f>
        <v/>
      </c>
      <c r="F450" s="3">
        <f>SUMIFS(df_mutuos!M:M,df_mutuos!B:B,Conciliacao!A450)</f>
        <v/>
      </c>
      <c r="G450" s="6">
        <f>SUMIFS(df_bloqueios_judiciais!G:G,df_bloqueios_judiciais!D:D,Conciliacao!A450,df_bloqueios_judiciais!G:G,"&gt;0")</f>
        <v/>
      </c>
      <c r="H450" s="7">
        <f>SUMIFS(df_extratos!I:I,df_extratos!F:F,"&gt;="&amp;Conciliacao!BE450,df_extratos!F:F,"&lt;"&amp;Conciliacao!BE450+1,df_extratos!G:G,"CREDITO")
+SUMIFS(df_extratos!I:I,df_extratos!F:F,"&gt;="&amp;Conciliacao!A450, df_extratos!F:F,"&lt;"&amp;Conciliacao!A450+1, df_extratos!G:G,"CREDITO")
+SUMIFS(df_extratos!I:I,df_extratos!F:F,"&gt;="&amp;Conciliacao!BF450,df_extratos!F:F,"&lt;"&amp;Conciliacao!BF450+1,df_extratos!G:G,"CREDITO")
+SUMIFS(df_extratos!I:I,df_extratos!F:F,"&gt;="&amp;Conciliacao!BG450,df_extratos!F:F,"&lt;"&amp;Conciliacao!BG450+1,df_extratos!G:G,"CREDITO")
+SUMIFS(df_extratos!I:I,df_extratos!F:F,"&gt;="&amp;Conciliacao!BH450,df_extratos!F:F,"&lt;"&amp;Conciliacao!BH450+1,df_extratos!G:G,"CREDITO")</f>
        <v/>
      </c>
      <c r="I450" s="9">
        <f>H450-SUM(B450:G450)</f>
        <v/>
      </c>
      <c r="J450" s="4">
        <f>SUMIFS(df_blueme_sem_parcelamento!E:E,df_blueme_sem_parcelamento!H:H,Conciliacao!A450)*(-1)</f>
        <v/>
      </c>
      <c r="K450" s="4">
        <f>SUMIFS(df_blueme_com_parcelamento!J:J,df_blueme_com_parcelamento!M:M,Conciliacao!A450)*(-1)</f>
        <v/>
      </c>
      <c r="L450" s="4">
        <f>SUMIFS(df_mutuos!N:N,df_mutuos!B:B,Conciliacao!A450)*(-1)</f>
        <v/>
      </c>
      <c r="M450" s="8">
        <f>SUMIFS(df_bloqueios_judiciais!G:G,df_bloqueios_judiciais!D:D,Conciliacao!A450,df_bloqueios_judiciais!G:G,"&lt;0")</f>
        <v/>
      </c>
      <c r="N450" s="10">
        <f>SUMIFS(df_extratos!I:I,df_extratos!F:F,"&gt;="&amp;Conciliacao!BE450,df_extratos!F:F,"&lt;"&amp;Conciliacao!BE450+1,df_extratos!G:G,"DEBITO")
+SUMIFS(df_extratos!I:I,df_extratos!F:F,"&gt;="&amp;Conciliacao!A450, df_extratos!F:F,"&lt;"&amp;Conciliacao!A450+1, df_extratos!G:G,"DEBITO")
+SUMIFS(df_extratos!I:I,df_extratos!F:F,"&gt;="&amp;Conciliacao!BF450,df_extratos!F:F,"&lt;"&amp;Conciliacao!BF450+1,df_extratos!G:G,"DEBITO")
+SUMIFS(df_extratos!I:I,df_extratos!F:F,"&gt;="&amp;Conciliacao!BG450,df_extratos!F:F,"&lt;"&amp;Conciliacao!BG450+1,df_extratos!G:G,"DEBITO")
+SUMIFS(df_extratos!I:I,df_extratos!F:F,"&gt;="&amp;Conciliacao!BH450,df_extratos!F:F,"&lt;"&amp;Conciliacao!BH450+1,df_extratos!G:G,"DEBITO")</f>
        <v/>
      </c>
      <c r="O450" s="11">
        <f>N450-SUM(J450:M450)</f>
        <v/>
      </c>
      <c r="P450" s="25">
        <f>SUMIFS(df_ajustes_conciliaco!D:D,df_ajustes_conciliaco!C:C,Conciliacao!A450)</f>
        <v/>
      </c>
      <c r="Q450" s="22">
        <f>O450+I450-P450</f>
        <v/>
      </c>
    </row>
    <row r="451">
      <c r="A451" s="5">
        <f>A450+1</f>
        <v/>
      </c>
      <c r="B451" s="3">
        <f>-SUMIFS(df_extrato_zig!G:G,df_extrato_zig!E:E,Conciliacao!A451,df_extrato_zig!D:D,"Saque")-SUMIFS(df_extrato_zig!G:G,df_extrato_zig!E:E,Conciliacao!A451,df_extrato_zig!D:D,"Antecipação")</f>
        <v/>
      </c>
      <c r="C451" s="3">
        <f>SUMIFS(df_extrato_zig!E:E,df_extrato_zig!L:L,Conciliacao!A451,df_extrato_zig!F:F,"DINHEIRO")</f>
        <v/>
      </c>
      <c r="D451" s="3">
        <f>SUMIFS(view_parc_agrup!H:H,view_parc_agrup!G:G,Conciliacao!A451)</f>
        <v/>
      </c>
      <c r="E451" s="3">
        <f>SUMIFS(df_eventos!F:F,df_eventos!H:H,Conciliacao!A451)</f>
        <v/>
      </c>
      <c r="F451" s="3">
        <f>SUMIFS(df_mutuos!M:M,df_mutuos!B:B,Conciliacao!A451)</f>
        <v/>
      </c>
      <c r="G451" s="6">
        <f>SUMIFS(df_bloqueios_judiciais!G:G,df_bloqueios_judiciais!D:D,Conciliacao!A451,df_bloqueios_judiciais!G:G,"&gt;0")</f>
        <v/>
      </c>
      <c r="H451" s="7">
        <f>SUMIFS(df_extratos!I:I,df_extratos!F:F,"&gt;="&amp;Conciliacao!BE451,df_extratos!F:F,"&lt;"&amp;Conciliacao!BE451+1,df_extratos!G:G,"CREDITO")
+SUMIFS(df_extratos!I:I,df_extratos!F:F,"&gt;="&amp;Conciliacao!A451, df_extratos!F:F,"&lt;"&amp;Conciliacao!A451+1, df_extratos!G:G,"CREDITO")
+SUMIFS(df_extratos!I:I,df_extratos!F:F,"&gt;="&amp;Conciliacao!BF451,df_extratos!F:F,"&lt;"&amp;Conciliacao!BF451+1,df_extratos!G:G,"CREDITO")
+SUMIFS(df_extratos!I:I,df_extratos!F:F,"&gt;="&amp;Conciliacao!BG451,df_extratos!F:F,"&lt;"&amp;Conciliacao!BG451+1,df_extratos!G:G,"CREDITO")
+SUMIFS(df_extratos!I:I,df_extratos!F:F,"&gt;="&amp;Conciliacao!BH451,df_extratos!F:F,"&lt;"&amp;Conciliacao!BH451+1,df_extratos!G:G,"CREDITO")</f>
        <v/>
      </c>
      <c r="I451" s="9">
        <f>H451-SUM(B451:G451)</f>
        <v/>
      </c>
      <c r="J451" s="4">
        <f>SUMIFS(df_blueme_sem_parcelamento!E:E,df_blueme_sem_parcelamento!H:H,Conciliacao!A451)*(-1)</f>
        <v/>
      </c>
      <c r="K451" s="4">
        <f>SUMIFS(df_blueme_com_parcelamento!J:J,df_blueme_com_parcelamento!M:M,Conciliacao!A451)*(-1)</f>
        <v/>
      </c>
      <c r="L451" s="4">
        <f>SUMIFS(df_mutuos!N:N,df_mutuos!B:B,Conciliacao!A451)*(-1)</f>
        <v/>
      </c>
      <c r="M451" s="8">
        <f>SUMIFS(df_bloqueios_judiciais!G:G,df_bloqueios_judiciais!D:D,Conciliacao!A451,df_bloqueios_judiciais!G:G,"&lt;0")</f>
        <v/>
      </c>
      <c r="N451" s="10">
        <f>SUMIFS(df_extratos!I:I,df_extratos!F:F,"&gt;="&amp;Conciliacao!BE451,df_extratos!F:F,"&lt;"&amp;Conciliacao!BE451+1,df_extratos!G:G,"DEBITO")
+SUMIFS(df_extratos!I:I,df_extratos!F:F,"&gt;="&amp;Conciliacao!A451, df_extratos!F:F,"&lt;"&amp;Conciliacao!A451+1, df_extratos!G:G,"DEBITO")
+SUMIFS(df_extratos!I:I,df_extratos!F:F,"&gt;="&amp;Conciliacao!BF451,df_extratos!F:F,"&lt;"&amp;Conciliacao!BF451+1,df_extratos!G:G,"DEBITO")
+SUMIFS(df_extratos!I:I,df_extratos!F:F,"&gt;="&amp;Conciliacao!BG451,df_extratos!F:F,"&lt;"&amp;Conciliacao!BG451+1,df_extratos!G:G,"DEBITO")
+SUMIFS(df_extratos!I:I,df_extratos!F:F,"&gt;="&amp;Conciliacao!BH451,df_extratos!F:F,"&lt;"&amp;Conciliacao!BH451+1,df_extratos!G:G,"DEBITO")</f>
        <v/>
      </c>
      <c r="O451" s="11">
        <f>N451-SUM(J451:M451)</f>
        <v/>
      </c>
      <c r="P451" s="25">
        <f>SUMIFS(df_ajustes_conciliaco!D:D,df_ajustes_conciliaco!C:C,Conciliacao!A451)</f>
        <v/>
      </c>
      <c r="Q451" s="22">
        <f>O451+I451-P451</f>
        <v/>
      </c>
    </row>
    <row r="452">
      <c r="A452" s="5">
        <f>A451+1</f>
        <v/>
      </c>
      <c r="B452" s="3">
        <f>-SUMIFS(df_extrato_zig!G:G,df_extrato_zig!E:E,Conciliacao!A452,df_extrato_zig!D:D,"Saque")-SUMIFS(df_extrato_zig!G:G,df_extrato_zig!E:E,Conciliacao!A452,df_extrato_zig!D:D,"Antecipação")</f>
        <v/>
      </c>
      <c r="C452" s="3">
        <f>SUMIFS(df_extrato_zig!E:E,df_extrato_zig!L:L,Conciliacao!A452,df_extrato_zig!F:F,"DINHEIRO")</f>
        <v/>
      </c>
      <c r="D452" s="3">
        <f>SUMIFS(view_parc_agrup!H:H,view_parc_agrup!G:G,Conciliacao!A452)</f>
        <v/>
      </c>
      <c r="E452" s="3">
        <f>SUMIFS(df_eventos!F:F,df_eventos!H:H,Conciliacao!A452)</f>
        <v/>
      </c>
      <c r="F452" s="3">
        <f>SUMIFS(df_mutuos!M:M,df_mutuos!B:B,Conciliacao!A452)</f>
        <v/>
      </c>
      <c r="G452" s="6">
        <f>SUMIFS(df_bloqueios_judiciais!G:G,df_bloqueios_judiciais!D:D,Conciliacao!A452,df_bloqueios_judiciais!G:G,"&gt;0")</f>
        <v/>
      </c>
      <c r="H452" s="7">
        <f>SUMIFS(df_extratos!I:I,df_extratos!F:F,"&gt;="&amp;Conciliacao!BE452,df_extratos!F:F,"&lt;"&amp;Conciliacao!BE452+1,df_extratos!G:G,"CREDITO")
+SUMIFS(df_extratos!I:I,df_extratos!F:F,"&gt;="&amp;Conciliacao!A452, df_extratos!F:F,"&lt;"&amp;Conciliacao!A452+1, df_extratos!G:G,"CREDITO")
+SUMIFS(df_extratos!I:I,df_extratos!F:F,"&gt;="&amp;Conciliacao!BF452,df_extratos!F:F,"&lt;"&amp;Conciliacao!BF452+1,df_extratos!G:G,"CREDITO")
+SUMIFS(df_extratos!I:I,df_extratos!F:F,"&gt;="&amp;Conciliacao!BG452,df_extratos!F:F,"&lt;"&amp;Conciliacao!BG452+1,df_extratos!G:G,"CREDITO")
+SUMIFS(df_extratos!I:I,df_extratos!F:F,"&gt;="&amp;Conciliacao!BH452,df_extratos!F:F,"&lt;"&amp;Conciliacao!BH452+1,df_extratos!G:G,"CREDITO")</f>
        <v/>
      </c>
      <c r="I452" s="9">
        <f>H452-SUM(B452:G452)</f>
        <v/>
      </c>
      <c r="J452" s="4">
        <f>SUMIFS(df_blueme_sem_parcelamento!E:E,df_blueme_sem_parcelamento!H:H,Conciliacao!A452)*(-1)</f>
        <v/>
      </c>
      <c r="K452" s="4">
        <f>SUMIFS(df_blueme_com_parcelamento!J:J,df_blueme_com_parcelamento!M:M,Conciliacao!A452)*(-1)</f>
        <v/>
      </c>
      <c r="L452" s="4">
        <f>SUMIFS(df_mutuos!N:N,df_mutuos!B:B,Conciliacao!A452)*(-1)</f>
        <v/>
      </c>
      <c r="M452" s="8">
        <f>SUMIFS(df_bloqueios_judiciais!G:G,df_bloqueios_judiciais!D:D,Conciliacao!A452,df_bloqueios_judiciais!G:G,"&lt;0")</f>
        <v/>
      </c>
      <c r="N452" s="10">
        <f>SUMIFS(df_extratos!I:I,df_extratos!F:F,"&gt;="&amp;Conciliacao!BE452,df_extratos!F:F,"&lt;"&amp;Conciliacao!BE452+1,df_extratos!G:G,"DEBITO")
+SUMIFS(df_extratos!I:I,df_extratos!F:F,"&gt;="&amp;Conciliacao!A452, df_extratos!F:F,"&lt;"&amp;Conciliacao!A452+1, df_extratos!G:G,"DEBITO")
+SUMIFS(df_extratos!I:I,df_extratos!F:F,"&gt;="&amp;Conciliacao!BF452,df_extratos!F:F,"&lt;"&amp;Conciliacao!BF452+1,df_extratos!G:G,"DEBITO")
+SUMIFS(df_extratos!I:I,df_extratos!F:F,"&gt;="&amp;Conciliacao!BG452,df_extratos!F:F,"&lt;"&amp;Conciliacao!BG452+1,df_extratos!G:G,"DEBITO")
+SUMIFS(df_extratos!I:I,df_extratos!F:F,"&gt;="&amp;Conciliacao!BH452,df_extratos!F:F,"&lt;"&amp;Conciliacao!BH452+1,df_extratos!G:G,"DEBITO")</f>
        <v/>
      </c>
      <c r="O452" s="11">
        <f>N452-SUM(J452:M452)</f>
        <v/>
      </c>
      <c r="P452" s="25">
        <f>SUMIFS(df_ajustes_conciliaco!D:D,df_ajustes_conciliaco!C:C,Conciliacao!A452)</f>
        <v/>
      </c>
      <c r="Q452" s="22">
        <f>O452+I452-P452</f>
        <v/>
      </c>
    </row>
    <row r="453">
      <c r="A453" s="5">
        <f>A452+1</f>
        <v/>
      </c>
      <c r="B453" s="3">
        <f>-SUMIFS(df_extrato_zig!G:G,df_extrato_zig!E:E,Conciliacao!A453,df_extrato_zig!D:D,"Saque")-SUMIFS(df_extrato_zig!G:G,df_extrato_zig!E:E,Conciliacao!A453,df_extrato_zig!D:D,"Antecipação")</f>
        <v/>
      </c>
      <c r="C453" s="3">
        <f>SUMIFS(df_extrato_zig!E:E,df_extrato_zig!L:L,Conciliacao!A453,df_extrato_zig!F:F,"DINHEIRO")</f>
        <v/>
      </c>
      <c r="D453" s="3">
        <f>SUMIFS(view_parc_agrup!H:H,view_parc_agrup!G:G,Conciliacao!A453)</f>
        <v/>
      </c>
      <c r="E453" s="3">
        <f>SUMIFS(df_eventos!F:F,df_eventos!H:H,Conciliacao!A453)</f>
        <v/>
      </c>
      <c r="F453" s="3">
        <f>SUMIFS(df_mutuos!M:M,df_mutuos!B:B,Conciliacao!A453)</f>
        <v/>
      </c>
      <c r="G453" s="6">
        <f>SUMIFS(df_bloqueios_judiciais!G:G,df_bloqueios_judiciais!D:D,Conciliacao!A453,df_bloqueios_judiciais!G:G,"&gt;0")</f>
        <v/>
      </c>
      <c r="H453" s="7">
        <f>SUMIFS(df_extratos!I:I,df_extratos!F:F,"&gt;="&amp;Conciliacao!BE453,df_extratos!F:F,"&lt;"&amp;Conciliacao!BE453+1,df_extratos!G:G,"CREDITO")
+SUMIFS(df_extratos!I:I,df_extratos!F:F,"&gt;="&amp;Conciliacao!A453, df_extratos!F:F,"&lt;"&amp;Conciliacao!A453+1, df_extratos!G:G,"CREDITO")
+SUMIFS(df_extratos!I:I,df_extratos!F:F,"&gt;="&amp;Conciliacao!BF453,df_extratos!F:F,"&lt;"&amp;Conciliacao!BF453+1,df_extratos!G:G,"CREDITO")
+SUMIFS(df_extratos!I:I,df_extratos!F:F,"&gt;="&amp;Conciliacao!BG453,df_extratos!F:F,"&lt;"&amp;Conciliacao!BG453+1,df_extratos!G:G,"CREDITO")
+SUMIFS(df_extratos!I:I,df_extratos!F:F,"&gt;="&amp;Conciliacao!BH453,df_extratos!F:F,"&lt;"&amp;Conciliacao!BH453+1,df_extratos!G:G,"CREDITO")</f>
        <v/>
      </c>
      <c r="I453" s="9">
        <f>H453-SUM(B453:G453)</f>
        <v/>
      </c>
      <c r="J453" s="4">
        <f>SUMIFS(df_blueme_sem_parcelamento!E:E,df_blueme_sem_parcelamento!H:H,Conciliacao!A453)*(-1)</f>
        <v/>
      </c>
      <c r="K453" s="4">
        <f>SUMIFS(df_blueme_com_parcelamento!J:J,df_blueme_com_parcelamento!M:M,Conciliacao!A453)*(-1)</f>
        <v/>
      </c>
      <c r="L453" s="4">
        <f>SUMIFS(df_mutuos!N:N,df_mutuos!B:B,Conciliacao!A453)*(-1)</f>
        <v/>
      </c>
      <c r="M453" s="8">
        <f>SUMIFS(df_bloqueios_judiciais!G:G,df_bloqueios_judiciais!D:D,Conciliacao!A453,df_bloqueios_judiciais!G:G,"&lt;0")</f>
        <v/>
      </c>
      <c r="N453" s="10">
        <f>SUMIFS(df_extratos!I:I,df_extratos!F:F,"&gt;="&amp;Conciliacao!BE453,df_extratos!F:F,"&lt;"&amp;Conciliacao!BE453+1,df_extratos!G:G,"DEBITO")
+SUMIFS(df_extratos!I:I,df_extratos!F:F,"&gt;="&amp;Conciliacao!A453, df_extratos!F:F,"&lt;"&amp;Conciliacao!A453+1, df_extratos!G:G,"DEBITO")
+SUMIFS(df_extratos!I:I,df_extratos!F:F,"&gt;="&amp;Conciliacao!BF453,df_extratos!F:F,"&lt;"&amp;Conciliacao!BF453+1,df_extratos!G:G,"DEBITO")
+SUMIFS(df_extratos!I:I,df_extratos!F:F,"&gt;="&amp;Conciliacao!BG453,df_extratos!F:F,"&lt;"&amp;Conciliacao!BG453+1,df_extratos!G:G,"DEBITO")
+SUMIFS(df_extratos!I:I,df_extratos!F:F,"&gt;="&amp;Conciliacao!BH453,df_extratos!F:F,"&lt;"&amp;Conciliacao!BH453+1,df_extratos!G:G,"DEBITO")</f>
        <v/>
      </c>
      <c r="O453" s="11">
        <f>N453-SUM(J453:M453)</f>
        <v/>
      </c>
      <c r="P453" s="25">
        <f>SUMIFS(df_ajustes_conciliaco!D:D,df_ajustes_conciliaco!C:C,Conciliacao!A453)</f>
        <v/>
      </c>
      <c r="Q453" s="22">
        <f>O453+I453-P453</f>
        <v/>
      </c>
    </row>
    <row r="454">
      <c r="A454" s="5">
        <f>A453+1</f>
        <v/>
      </c>
      <c r="B454" s="3">
        <f>-SUMIFS(df_extrato_zig!G:G,df_extrato_zig!E:E,Conciliacao!A454,df_extrato_zig!D:D,"Saque")-SUMIFS(df_extrato_zig!G:G,df_extrato_zig!E:E,Conciliacao!A454,df_extrato_zig!D:D,"Antecipação")</f>
        <v/>
      </c>
      <c r="C454" s="3">
        <f>SUMIFS(df_extrato_zig!E:E,df_extrato_zig!L:L,Conciliacao!A454,df_extrato_zig!F:F,"DINHEIRO")</f>
        <v/>
      </c>
      <c r="D454" s="3">
        <f>SUMIFS(view_parc_agrup!H:H,view_parc_agrup!G:G,Conciliacao!A454)</f>
        <v/>
      </c>
      <c r="E454" s="3">
        <f>SUMIFS(df_eventos!F:F,df_eventos!H:H,Conciliacao!A454)</f>
        <v/>
      </c>
      <c r="F454" s="3">
        <f>SUMIFS(df_mutuos!M:M,df_mutuos!B:B,Conciliacao!A454)</f>
        <v/>
      </c>
      <c r="G454" s="6">
        <f>SUMIFS(df_bloqueios_judiciais!G:G,df_bloqueios_judiciais!D:D,Conciliacao!A454,df_bloqueios_judiciais!G:G,"&gt;0")</f>
        <v/>
      </c>
      <c r="H454" s="7">
        <f>SUMIFS(df_extratos!I:I,df_extratos!F:F,"&gt;="&amp;Conciliacao!BE454,df_extratos!F:F,"&lt;"&amp;Conciliacao!BE454+1,df_extratos!G:G,"CREDITO")
+SUMIFS(df_extratos!I:I,df_extratos!F:F,"&gt;="&amp;Conciliacao!A454, df_extratos!F:F,"&lt;"&amp;Conciliacao!A454+1, df_extratos!G:G,"CREDITO")
+SUMIFS(df_extratos!I:I,df_extratos!F:F,"&gt;="&amp;Conciliacao!BF454,df_extratos!F:F,"&lt;"&amp;Conciliacao!BF454+1,df_extratos!G:G,"CREDITO")
+SUMIFS(df_extratos!I:I,df_extratos!F:F,"&gt;="&amp;Conciliacao!BG454,df_extratos!F:F,"&lt;"&amp;Conciliacao!BG454+1,df_extratos!G:G,"CREDITO")
+SUMIFS(df_extratos!I:I,df_extratos!F:F,"&gt;="&amp;Conciliacao!BH454,df_extratos!F:F,"&lt;"&amp;Conciliacao!BH454+1,df_extratos!G:G,"CREDITO")</f>
        <v/>
      </c>
      <c r="I454" s="9">
        <f>H454-SUM(B454:G454)</f>
        <v/>
      </c>
      <c r="J454" s="4">
        <f>SUMIFS(df_blueme_sem_parcelamento!E:E,df_blueme_sem_parcelamento!H:H,Conciliacao!A454)*(-1)</f>
        <v/>
      </c>
      <c r="K454" s="4">
        <f>SUMIFS(df_blueme_com_parcelamento!J:J,df_blueme_com_parcelamento!M:M,Conciliacao!A454)*(-1)</f>
        <v/>
      </c>
      <c r="L454" s="4">
        <f>SUMIFS(df_mutuos!N:N,df_mutuos!B:B,Conciliacao!A454)*(-1)</f>
        <v/>
      </c>
      <c r="M454" s="8">
        <f>SUMIFS(df_bloqueios_judiciais!G:G,df_bloqueios_judiciais!D:D,Conciliacao!A454,df_bloqueios_judiciais!G:G,"&lt;0")</f>
        <v/>
      </c>
      <c r="N454" s="10">
        <f>SUMIFS(df_extratos!I:I,df_extratos!F:F,"&gt;="&amp;Conciliacao!BE454,df_extratos!F:F,"&lt;"&amp;Conciliacao!BE454+1,df_extratos!G:G,"DEBITO")
+SUMIFS(df_extratos!I:I,df_extratos!F:F,"&gt;="&amp;Conciliacao!A454, df_extratos!F:F,"&lt;"&amp;Conciliacao!A454+1, df_extratos!G:G,"DEBITO")
+SUMIFS(df_extratos!I:I,df_extratos!F:F,"&gt;="&amp;Conciliacao!BF454,df_extratos!F:F,"&lt;"&amp;Conciliacao!BF454+1,df_extratos!G:G,"DEBITO")
+SUMIFS(df_extratos!I:I,df_extratos!F:F,"&gt;="&amp;Conciliacao!BG454,df_extratos!F:F,"&lt;"&amp;Conciliacao!BG454+1,df_extratos!G:G,"DEBITO")
+SUMIFS(df_extratos!I:I,df_extratos!F:F,"&gt;="&amp;Conciliacao!BH454,df_extratos!F:F,"&lt;"&amp;Conciliacao!BH454+1,df_extratos!G:G,"DEBITO")</f>
        <v/>
      </c>
      <c r="O454" s="11">
        <f>N454-SUM(J454:M454)</f>
        <v/>
      </c>
      <c r="P454" s="25">
        <f>SUMIFS(df_ajustes_conciliaco!D:D,df_ajustes_conciliaco!C:C,Conciliacao!A454)</f>
        <v/>
      </c>
      <c r="Q454" s="22">
        <f>O454+I454-P454</f>
        <v/>
      </c>
    </row>
    <row r="455">
      <c r="A455" s="5">
        <f>A454+1</f>
        <v/>
      </c>
      <c r="B455" s="3">
        <f>-SUMIFS(df_extrato_zig!G:G,df_extrato_zig!E:E,Conciliacao!A455,df_extrato_zig!D:D,"Saque")-SUMIFS(df_extrato_zig!G:G,df_extrato_zig!E:E,Conciliacao!A455,df_extrato_zig!D:D,"Antecipação")</f>
        <v/>
      </c>
      <c r="C455" s="3">
        <f>SUMIFS(df_extrato_zig!E:E,df_extrato_zig!L:L,Conciliacao!A455,df_extrato_zig!F:F,"DINHEIRO")</f>
        <v/>
      </c>
      <c r="D455" s="3">
        <f>SUMIFS(view_parc_agrup!H:H,view_parc_agrup!G:G,Conciliacao!A455)</f>
        <v/>
      </c>
      <c r="E455" s="3">
        <f>SUMIFS(df_eventos!F:F,df_eventos!H:H,Conciliacao!A455)</f>
        <v/>
      </c>
      <c r="F455" s="3">
        <f>SUMIFS(df_mutuos!M:M,df_mutuos!B:B,Conciliacao!A455)</f>
        <v/>
      </c>
      <c r="G455" s="6">
        <f>SUMIFS(df_bloqueios_judiciais!G:G,df_bloqueios_judiciais!D:D,Conciliacao!A455,df_bloqueios_judiciais!G:G,"&gt;0")</f>
        <v/>
      </c>
      <c r="H455" s="7">
        <f>SUMIFS(df_extratos!I:I,df_extratos!F:F,"&gt;="&amp;Conciliacao!BE455,df_extratos!F:F,"&lt;"&amp;Conciliacao!BE455+1,df_extratos!G:G,"CREDITO")
+SUMIFS(df_extratos!I:I,df_extratos!F:F,"&gt;="&amp;Conciliacao!A455, df_extratos!F:F,"&lt;"&amp;Conciliacao!A455+1, df_extratos!G:G,"CREDITO")
+SUMIFS(df_extratos!I:I,df_extratos!F:F,"&gt;="&amp;Conciliacao!BF455,df_extratos!F:F,"&lt;"&amp;Conciliacao!BF455+1,df_extratos!G:G,"CREDITO")
+SUMIFS(df_extratos!I:I,df_extratos!F:F,"&gt;="&amp;Conciliacao!BG455,df_extratos!F:F,"&lt;"&amp;Conciliacao!BG455+1,df_extratos!G:G,"CREDITO")
+SUMIFS(df_extratos!I:I,df_extratos!F:F,"&gt;="&amp;Conciliacao!BH455,df_extratos!F:F,"&lt;"&amp;Conciliacao!BH455+1,df_extratos!G:G,"CREDITO")</f>
        <v/>
      </c>
      <c r="I455" s="9">
        <f>H455-SUM(B455:G455)</f>
        <v/>
      </c>
      <c r="J455" s="4">
        <f>SUMIFS(df_blueme_sem_parcelamento!E:E,df_blueme_sem_parcelamento!H:H,Conciliacao!A455)*(-1)</f>
        <v/>
      </c>
      <c r="K455" s="4">
        <f>SUMIFS(df_blueme_com_parcelamento!J:J,df_blueme_com_parcelamento!M:M,Conciliacao!A455)*(-1)</f>
        <v/>
      </c>
      <c r="L455" s="4">
        <f>SUMIFS(df_mutuos!N:N,df_mutuos!B:B,Conciliacao!A455)*(-1)</f>
        <v/>
      </c>
      <c r="M455" s="8">
        <f>SUMIFS(df_bloqueios_judiciais!G:G,df_bloqueios_judiciais!D:D,Conciliacao!A455,df_bloqueios_judiciais!G:G,"&lt;0")</f>
        <v/>
      </c>
      <c r="N455" s="10">
        <f>SUMIFS(df_extratos!I:I,df_extratos!F:F,"&gt;="&amp;Conciliacao!BE455,df_extratos!F:F,"&lt;"&amp;Conciliacao!BE455+1,df_extratos!G:G,"DEBITO")
+SUMIFS(df_extratos!I:I,df_extratos!F:F,"&gt;="&amp;Conciliacao!A455, df_extratos!F:F,"&lt;"&amp;Conciliacao!A455+1, df_extratos!G:G,"DEBITO")
+SUMIFS(df_extratos!I:I,df_extratos!F:F,"&gt;="&amp;Conciliacao!BF455,df_extratos!F:F,"&lt;"&amp;Conciliacao!BF455+1,df_extratos!G:G,"DEBITO")
+SUMIFS(df_extratos!I:I,df_extratos!F:F,"&gt;="&amp;Conciliacao!BG455,df_extratos!F:F,"&lt;"&amp;Conciliacao!BG455+1,df_extratos!G:G,"DEBITO")
+SUMIFS(df_extratos!I:I,df_extratos!F:F,"&gt;="&amp;Conciliacao!BH455,df_extratos!F:F,"&lt;"&amp;Conciliacao!BH455+1,df_extratos!G:G,"DEBITO")</f>
        <v/>
      </c>
      <c r="O455" s="11">
        <f>N455-SUM(J455:M455)</f>
        <v/>
      </c>
      <c r="P455" s="25">
        <f>SUMIFS(df_ajustes_conciliaco!D:D,df_ajustes_conciliaco!C:C,Conciliacao!A455)</f>
        <v/>
      </c>
      <c r="Q455" s="22">
        <f>O455+I455-P455</f>
        <v/>
      </c>
    </row>
    <row r="456">
      <c r="A456" s="5">
        <f>A455+1</f>
        <v/>
      </c>
      <c r="B456" s="3">
        <f>-SUMIFS(df_extrato_zig!G:G,df_extrato_zig!E:E,Conciliacao!A456,df_extrato_zig!D:D,"Saque")-SUMIFS(df_extrato_zig!G:G,df_extrato_zig!E:E,Conciliacao!A456,df_extrato_zig!D:D,"Antecipação")</f>
        <v/>
      </c>
      <c r="C456" s="3">
        <f>SUMIFS(df_extrato_zig!E:E,df_extrato_zig!L:L,Conciliacao!A456,df_extrato_zig!F:F,"DINHEIRO")</f>
        <v/>
      </c>
      <c r="D456" s="3">
        <f>SUMIFS(view_parc_agrup!H:H,view_parc_agrup!G:G,Conciliacao!A456)</f>
        <v/>
      </c>
      <c r="E456" s="3">
        <f>SUMIFS(df_eventos!F:F,df_eventos!H:H,Conciliacao!A456)</f>
        <v/>
      </c>
      <c r="F456" s="3">
        <f>SUMIFS(df_mutuos!M:M,df_mutuos!B:B,Conciliacao!A456)</f>
        <v/>
      </c>
      <c r="G456" s="6">
        <f>SUMIFS(df_bloqueios_judiciais!G:G,df_bloqueios_judiciais!D:D,Conciliacao!A456,df_bloqueios_judiciais!G:G,"&gt;0")</f>
        <v/>
      </c>
      <c r="H456" s="7">
        <f>SUMIFS(df_extratos!I:I,df_extratos!F:F,"&gt;="&amp;Conciliacao!BE456,df_extratos!F:F,"&lt;"&amp;Conciliacao!BE456+1,df_extratos!G:G,"CREDITO")
+SUMIFS(df_extratos!I:I,df_extratos!F:F,"&gt;="&amp;Conciliacao!A456, df_extratos!F:F,"&lt;"&amp;Conciliacao!A456+1, df_extratos!G:G,"CREDITO")
+SUMIFS(df_extratos!I:I,df_extratos!F:F,"&gt;="&amp;Conciliacao!BF456,df_extratos!F:F,"&lt;"&amp;Conciliacao!BF456+1,df_extratos!G:G,"CREDITO")
+SUMIFS(df_extratos!I:I,df_extratos!F:F,"&gt;="&amp;Conciliacao!BG456,df_extratos!F:F,"&lt;"&amp;Conciliacao!BG456+1,df_extratos!G:G,"CREDITO")
+SUMIFS(df_extratos!I:I,df_extratos!F:F,"&gt;="&amp;Conciliacao!BH456,df_extratos!F:F,"&lt;"&amp;Conciliacao!BH456+1,df_extratos!G:G,"CREDITO")</f>
        <v/>
      </c>
      <c r="I456" s="9">
        <f>H456-SUM(B456:G456)</f>
        <v/>
      </c>
      <c r="J456" s="4">
        <f>SUMIFS(df_blueme_sem_parcelamento!E:E,df_blueme_sem_parcelamento!H:H,Conciliacao!A456)*(-1)</f>
        <v/>
      </c>
      <c r="K456" s="4">
        <f>SUMIFS(df_blueme_com_parcelamento!J:J,df_blueme_com_parcelamento!M:M,Conciliacao!A456)*(-1)</f>
        <v/>
      </c>
      <c r="L456" s="4">
        <f>SUMIFS(df_mutuos!N:N,df_mutuos!B:B,Conciliacao!A456)*(-1)</f>
        <v/>
      </c>
      <c r="M456" s="8">
        <f>SUMIFS(df_bloqueios_judiciais!G:G,df_bloqueios_judiciais!D:D,Conciliacao!A456,df_bloqueios_judiciais!G:G,"&lt;0")</f>
        <v/>
      </c>
      <c r="N456" s="10">
        <f>SUMIFS(df_extratos!I:I,df_extratos!F:F,"&gt;="&amp;Conciliacao!BE456,df_extratos!F:F,"&lt;"&amp;Conciliacao!BE456+1,df_extratos!G:G,"DEBITO")
+SUMIFS(df_extratos!I:I,df_extratos!F:F,"&gt;="&amp;Conciliacao!A456, df_extratos!F:F,"&lt;"&amp;Conciliacao!A456+1, df_extratos!G:G,"DEBITO")
+SUMIFS(df_extratos!I:I,df_extratos!F:F,"&gt;="&amp;Conciliacao!BF456,df_extratos!F:F,"&lt;"&amp;Conciliacao!BF456+1,df_extratos!G:G,"DEBITO")
+SUMIFS(df_extratos!I:I,df_extratos!F:F,"&gt;="&amp;Conciliacao!BG456,df_extratos!F:F,"&lt;"&amp;Conciliacao!BG456+1,df_extratos!G:G,"DEBITO")
+SUMIFS(df_extratos!I:I,df_extratos!F:F,"&gt;="&amp;Conciliacao!BH456,df_extratos!F:F,"&lt;"&amp;Conciliacao!BH456+1,df_extratos!G:G,"DEBITO")</f>
        <v/>
      </c>
      <c r="O456" s="11">
        <f>N456-SUM(J456:M456)</f>
        <v/>
      </c>
      <c r="P456" s="25">
        <f>SUMIFS(df_ajustes_conciliaco!D:D,df_ajustes_conciliaco!C:C,Conciliacao!A456)</f>
        <v/>
      </c>
      <c r="Q456" s="22">
        <f>O456+I456-P456</f>
        <v/>
      </c>
    </row>
    <row r="457">
      <c r="A457" s="5">
        <f>A456+1</f>
        <v/>
      </c>
      <c r="B457" s="3">
        <f>-SUMIFS(df_extrato_zig!G:G,df_extrato_zig!E:E,Conciliacao!A457,df_extrato_zig!D:D,"Saque")-SUMIFS(df_extrato_zig!G:G,df_extrato_zig!E:E,Conciliacao!A457,df_extrato_zig!D:D,"Antecipação")</f>
        <v/>
      </c>
      <c r="C457" s="3">
        <f>SUMIFS(df_extrato_zig!E:E,df_extrato_zig!L:L,Conciliacao!A457,df_extrato_zig!F:F,"DINHEIRO")</f>
        <v/>
      </c>
      <c r="D457" s="3">
        <f>SUMIFS(view_parc_agrup!H:H,view_parc_agrup!G:G,Conciliacao!A457)</f>
        <v/>
      </c>
      <c r="E457" s="3">
        <f>SUMIFS(df_eventos!F:F,df_eventos!H:H,Conciliacao!A457)</f>
        <v/>
      </c>
      <c r="F457" s="3">
        <f>SUMIFS(df_mutuos!M:M,df_mutuos!B:B,Conciliacao!A457)</f>
        <v/>
      </c>
      <c r="G457" s="6">
        <f>SUMIFS(df_bloqueios_judiciais!G:G,df_bloqueios_judiciais!D:D,Conciliacao!A457,df_bloqueios_judiciais!G:G,"&gt;0")</f>
        <v/>
      </c>
      <c r="H457" s="7">
        <f>SUMIFS(df_extratos!I:I,df_extratos!F:F,"&gt;="&amp;Conciliacao!BE457,df_extratos!F:F,"&lt;"&amp;Conciliacao!BE457+1,df_extratos!G:G,"CREDITO")
+SUMIFS(df_extratos!I:I,df_extratos!F:F,"&gt;="&amp;Conciliacao!A457, df_extratos!F:F,"&lt;"&amp;Conciliacao!A457+1, df_extratos!G:G,"CREDITO")
+SUMIFS(df_extratos!I:I,df_extratos!F:F,"&gt;="&amp;Conciliacao!BF457,df_extratos!F:F,"&lt;"&amp;Conciliacao!BF457+1,df_extratos!G:G,"CREDITO")
+SUMIFS(df_extratos!I:I,df_extratos!F:F,"&gt;="&amp;Conciliacao!BG457,df_extratos!F:F,"&lt;"&amp;Conciliacao!BG457+1,df_extratos!G:G,"CREDITO")
+SUMIFS(df_extratos!I:I,df_extratos!F:F,"&gt;="&amp;Conciliacao!BH457,df_extratos!F:F,"&lt;"&amp;Conciliacao!BH457+1,df_extratos!G:G,"CREDITO")</f>
        <v/>
      </c>
      <c r="I457" s="9">
        <f>H457-SUM(B457:G457)</f>
        <v/>
      </c>
      <c r="J457" s="4">
        <f>SUMIFS(df_blueme_sem_parcelamento!E:E,df_blueme_sem_parcelamento!H:H,Conciliacao!A457)*(-1)</f>
        <v/>
      </c>
      <c r="K457" s="4">
        <f>SUMIFS(df_blueme_com_parcelamento!J:J,df_blueme_com_parcelamento!M:M,Conciliacao!A457)*(-1)</f>
        <v/>
      </c>
      <c r="L457" s="4">
        <f>SUMIFS(df_mutuos!N:N,df_mutuos!B:B,Conciliacao!A457)*(-1)</f>
        <v/>
      </c>
      <c r="M457" s="8">
        <f>SUMIFS(df_bloqueios_judiciais!G:G,df_bloqueios_judiciais!D:D,Conciliacao!A457,df_bloqueios_judiciais!G:G,"&lt;0")</f>
        <v/>
      </c>
      <c r="N457" s="10">
        <f>SUMIFS(df_extratos!I:I,df_extratos!F:F,"&gt;="&amp;Conciliacao!BE457,df_extratos!F:F,"&lt;"&amp;Conciliacao!BE457+1,df_extratos!G:G,"DEBITO")
+SUMIFS(df_extratos!I:I,df_extratos!F:F,"&gt;="&amp;Conciliacao!A457, df_extratos!F:F,"&lt;"&amp;Conciliacao!A457+1, df_extratos!G:G,"DEBITO")
+SUMIFS(df_extratos!I:I,df_extratos!F:F,"&gt;="&amp;Conciliacao!BF457,df_extratos!F:F,"&lt;"&amp;Conciliacao!BF457+1,df_extratos!G:G,"DEBITO")
+SUMIFS(df_extratos!I:I,df_extratos!F:F,"&gt;="&amp;Conciliacao!BG457,df_extratos!F:F,"&lt;"&amp;Conciliacao!BG457+1,df_extratos!G:G,"DEBITO")
+SUMIFS(df_extratos!I:I,df_extratos!F:F,"&gt;="&amp;Conciliacao!BH457,df_extratos!F:F,"&lt;"&amp;Conciliacao!BH457+1,df_extratos!G:G,"DEBITO")</f>
        <v/>
      </c>
      <c r="O457" s="11">
        <f>N457-SUM(J457:M457)</f>
        <v/>
      </c>
      <c r="P457" s="25">
        <f>SUMIFS(df_ajustes_conciliaco!D:D,df_ajustes_conciliaco!C:C,Conciliacao!A457)</f>
        <v/>
      </c>
      <c r="Q457" s="22">
        <f>O457+I457-P457</f>
        <v/>
      </c>
    </row>
    <row r="458">
      <c r="A458" s="5">
        <f>A457+1</f>
        <v/>
      </c>
      <c r="B458" s="3">
        <f>-SUMIFS(df_extrato_zig!G:G,df_extrato_zig!E:E,Conciliacao!A458,df_extrato_zig!D:D,"Saque")-SUMIFS(df_extrato_zig!G:G,df_extrato_zig!E:E,Conciliacao!A458,df_extrato_zig!D:D,"Antecipação")</f>
        <v/>
      </c>
      <c r="C458" s="3">
        <f>SUMIFS(df_extrato_zig!E:E,df_extrato_zig!L:L,Conciliacao!A458,df_extrato_zig!F:F,"DINHEIRO")</f>
        <v/>
      </c>
      <c r="D458" s="3">
        <f>SUMIFS(view_parc_agrup!H:H,view_parc_agrup!G:G,Conciliacao!A458)</f>
        <v/>
      </c>
      <c r="E458" s="3">
        <f>SUMIFS(df_eventos!F:F,df_eventos!H:H,Conciliacao!A458)</f>
        <v/>
      </c>
      <c r="F458" s="3">
        <f>SUMIFS(df_mutuos!M:M,df_mutuos!B:B,Conciliacao!A458)</f>
        <v/>
      </c>
      <c r="G458" s="6">
        <f>SUMIFS(df_bloqueios_judiciais!G:G,df_bloqueios_judiciais!D:D,Conciliacao!A458,df_bloqueios_judiciais!G:G,"&gt;0")</f>
        <v/>
      </c>
      <c r="H458" s="7">
        <f>SUMIFS(df_extratos!I:I,df_extratos!F:F,"&gt;="&amp;Conciliacao!BE458,df_extratos!F:F,"&lt;"&amp;Conciliacao!BE458+1,df_extratos!G:G,"CREDITO")
+SUMIFS(df_extratos!I:I,df_extratos!F:F,"&gt;="&amp;Conciliacao!A458, df_extratos!F:F,"&lt;"&amp;Conciliacao!A458+1, df_extratos!G:G,"CREDITO")
+SUMIFS(df_extratos!I:I,df_extratos!F:F,"&gt;="&amp;Conciliacao!BF458,df_extratos!F:F,"&lt;"&amp;Conciliacao!BF458+1,df_extratos!G:G,"CREDITO")
+SUMIFS(df_extratos!I:I,df_extratos!F:F,"&gt;="&amp;Conciliacao!BG458,df_extratos!F:F,"&lt;"&amp;Conciliacao!BG458+1,df_extratos!G:G,"CREDITO")
+SUMIFS(df_extratos!I:I,df_extratos!F:F,"&gt;="&amp;Conciliacao!BH458,df_extratos!F:F,"&lt;"&amp;Conciliacao!BH458+1,df_extratos!G:G,"CREDITO")</f>
        <v/>
      </c>
      <c r="I458" s="9">
        <f>H458-SUM(B458:G458)</f>
        <v/>
      </c>
      <c r="J458" s="4">
        <f>SUMIFS(df_blueme_sem_parcelamento!E:E,df_blueme_sem_parcelamento!H:H,Conciliacao!A458)*(-1)</f>
        <v/>
      </c>
      <c r="K458" s="4">
        <f>SUMIFS(df_blueme_com_parcelamento!J:J,df_blueme_com_parcelamento!M:M,Conciliacao!A458)*(-1)</f>
        <v/>
      </c>
      <c r="L458" s="4">
        <f>SUMIFS(df_mutuos!N:N,df_mutuos!B:B,Conciliacao!A458)*(-1)</f>
        <v/>
      </c>
      <c r="M458" s="8">
        <f>SUMIFS(df_bloqueios_judiciais!G:G,df_bloqueios_judiciais!D:D,Conciliacao!A458,df_bloqueios_judiciais!G:G,"&lt;0")</f>
        <v/>
      </c>
      <c r="N458" s="10">
        <f>SUMIFS(df_extratos!I:I,df_extratos!F:F,"&gt;="&amp;Conciliacao!BE458,df_extratos!F:F,"&lt;"&amp;Conciliacao!BE458+1,df_extratos!G:G,"DEBITO")
+SUMIFS(df_extratos!I:I,df_extratos!F:F,"&gt;="&amp;Conciliacao!A458, df_extratos!F:F,"&lt;"&amp;Conciliacao!A458+1, df_extratos!G:G,"DEBITO")
+SUMIFS(df_extratos!I:I,df_extratos!F:F,"&gt;="&amp;Conciliacao!BF458,df_extratos!F:F,"&lt;"&amp;Conciliacao!BF458+1,df_extratos!G:G,"DEBITO")
+SUMIFS(df_extratos!I:I,df_extratos!F:F,"&gt;="&amp;Conciliacao!BG458,df_extratos!F:F,"&lt;"&amp;Conciliacao!BG458+1,df_extratos!G:G,"DEBITO")
+SUMIFS(df_extratos!I:I,df_extratos!F:F,"&gt;="&amp;Conciliacao!BH458,df_extratos!F:F,"&lt;"&amp;Conciliacao!BH458+1,df_extratos!G:G,"DEBITO")</f>
        <v/>
      </c>
      <c r="O458" s="11">
        <f>N458-SUM(J458:M458)</f>
        <v/>
      </c>
      <c r="P458" s="25">
        <f>SUMIFS(df_ajustes_conciliaco!D:D,df_ajustes_conciliaco!C:C,Conciliacao!A458)</f>
        <v/>
      </c>
      <c r="Q458" s="22">
        <f>O458+I458-P458</f>
        <v/>
      </c>
    </row>
    <row r="459">
      <c r="A459" s="5">
        <f>A458+1</f>
        <v/>
      </c>
      <c r="B459" s="3">
        <f>-SUMIFS(df_extrato_zig!G:G,df_extrato_zig!E:E,Conciliacao!A459,df_extrato_zig!D:D,"Saque")-SUMIFS(df_extrato_zig!G:G,df_extrato_zig!E:E,Conciliacao!A459,df_extrato_zig!D:D,"Antecipação")</f>
        <v/>
      </c>
      <c r="C459" s="3">
        <f>SUMIFS(df_extrato_zig!E:E,df_extrato_zig!L:L,Conciliacao!A459,df_extrato_zig!F:F,"DINHEIRO")</f>
        <v/>
      </c>
      <c r="D459" s="3">
        <f>SUMIFS(view_parc_agrup!H:H,view_parc_agrup!G:G,Conciliacao!A459)</f>
        <v/>
      </c>
      <c r="E459" s="3">
        <f>SUMIFS(df_eventos!F:F,df_eventos!H:H,Conciliacao!A459)</f>
        <v/>
      </c>
      <c r="F459" s="3">
        <f>SUMIFS(df_mutuos!M:M,df_mutuos!B:B,Conciliacao!A459)</f>
        <v/>
      </c>
      <c r="G459" s="6">
        <f>SUMIFS(df_bloqueios_judiciais!G:G,df_bloqueios_judiciais!D:D,Conciliacao!A459,df_bloqueios_judiciais!G:G,"&gt;0")</f>
        <v/>
      </c>
      <c r="H459" s="7">
        <f>SUMIFS(df_extratos!I:I,df_extratos!F:F,"&gt;="&amp;Conciliacao!BE459,df_extratos!F:F,"&lt;"&amp;Conciliacao!BE459+1,df_extratos!G:G,"CREDITO")
+SUMIFS(df_extratos!I:I,df_extratos!F:F,"&gt;="&amp;Conciliacao!A459, df_extratos!F:F,"&lt;"&amp;Conciliacao!A459+1, df_extratos!G:G,"CREDITO")
+SUMIFS(df_extratos!I:I,df_extratos!F:F,"&gt;="&amp;Conciliacao!BF459,df_extratos!F:F,"&lt;"&amp;Conciliacao!BF459+1,df_extratos!G:G,"CREDITO")
+SUMIFS(df_extratos!I:I,df_extratos!F:F,"&gt;="&amp;Conciliacao!BG459,df_extratos!F:F,"&lt;"&amp;Conciliacao!BG459+1,df_extratos!G:G,"CREDITO")
+SUMIFS(df_extratos!I:I,df_extratos!F:F,"&gt;="&amp;Conciliacao!BH459,df_extratos!F:F,"&lt;"&amp;Conciliacao!BH459+1,df_extratos!G:G,"CREDITO")</f>
        <v/>
      </c>
      <c r="I459" s="9">
        <f>H459-SUM(B459:G459)</f>
        <v/>
      </c>
      <c r="J459" s="4">
        <f>SUMIFS(df_blueme_sem_parcelamento!E:E,df_blueme_sem_parcelamento!H:H,Conciliacao!A459)*(-1)</f>
        <v/>
      </c>
      <c r="K459" s="4">
        <f>SUMIFS(df_blueme_com_parcelamento!J:J,df_blueme_com_parcelamento!M:M,Conciliacao!A459)*(-1)</f>
        <v/>
      </c>
      <c r="L459" s="4">
        <f>SUMIFS(df_mutuos!N:N,df_mutuos!B:B,Conciliacao!A459)*(-1)</f>
        <v/>
      </c>
      <c r="M459" s="8">
        <f>SUMIFS(df_bloqueios_judiciais!G:G,df_bloqueios_judiciais!D:D,Conciliacao!A459,df_bloqueios_judiciais!G:G,"&lt;0")</f>
        <v/>
      </c>
      <c r="N459" s="10">
        <f>SUMIFS(df_extratos!I:I,df_extratos!F:F,"&gt;="&amp;Conciliacao!BE459,df_extratos!F:F,"&lt;"&amp;Conciliacao!BE459+1,df_extratos!G:G,"DEBITO")
+SUMIFS(df_extratos!I:I,df_extratos!F:F,"&gt;="&amp;Conciliacao!A459, df_extratos!F:F,"&lt;"&amp;Conciliacao!A459+1, df_extratos!G:G,"DEBITO")
+SUMIFS(df_extratos!I:I,df_extratos!F:F,"&gt;="&amp;Conciliacao!BF459,df_extratos!F:F,"&lt;"&amp;Conciliacao!BF459+1,df_extratos!G:G,"DEBITO")
+SUMIFS(df_extratos!I:I,df_extratos!F:F,"&gt;="&amp;Conciliacao!BG459,df_extratos!F:F,"&lt;"&amp;Conciliacao!BG459+1,df_extratos!G:G,"DEBITO")
+SUMIFS(df_extratos!I:I,df_extratos!F:F,"&gt;="&amp;Conciliacao!BH459,df_extratos!F:F,"&lt;"&amp;Conciliacao!BH459+1,df_extratos!G:G,"DEBITO")</f>
        <v/>
      </c>
      <c r="O459" s="11">
        <f>N459-SUM(J459:M459)</f>
        <v/>
      </c>
      <c r="P459" s="25">
        <f>SUMIFS(df_ajustes_conciliaco!D:D,df_ajustes_conciliaco!C:C,Conciliacao!A459)</f>
        <v/>
      </c>
      <c r="Q459" s="22">
        <f>O459+I459-P459</f>
        <v/>
      </c>
    </row>
    <row r="460">
      <c r="A460" s="5">
        <f>A459+1</f>
        <v/>
      </c>
      <c r="B460" s="3">
        <f>-SUMIFS(df_extrato_zig!G:G,df_extrato_zig!E:E,Conciliacao!A460,df_extrato_zig!D:D,"Saque")-SUMIFS(df_extrato_zig!G:G,df_extrato_zig!E:E,Conciliacao!A460,df_extrato_zig!D:D,"Antecipação")</f>
        <v/>
      </c>
      <c r="C460" s="3">
        <f>SUMIFS(df_extrato_zig!E:E,df_extrato_zig!L:L,Conciliacao!A460,df_extrato_zig!F:F,"DINHEIRO")</f>
        <v/>
      </c>
      <c r="D460" s="3">
        <f>SUMIFS(view_parc_agrup!H:H,view_parc_agrup!G:G,Conciliacao!A460)</f>
        <v/>
      </c>
      <c r="E460" s="3">
        <f>SUMIFS(df_eventos!F:F,df_eventos!H:H,Conciliacao!A460)</f>
        <v/>
      </c>
      <c r="F460" s="3">
        <f>SUMIFS(df_mutuos!M:M,df_mutuos!B:B,Conciliacao!A460)</f>
        <v/>
      </c>
      <c r="G460" s="6">
        <f>SUMIFS(df_bloqueios_judiciais!G:G,df_bloqueios_judiciais!D:D,Conciliacao!A460,df_bloqueios_judiciais!G:G,"&gt;0")</f>
        <v/>
      </c>
      <c r="H460" s="7">
        <f>SUMIFS(df_extratos!I:I,df_extratos!F:F,"&gt;="&amp;Conciliacao!BE460,df_extratos!F:F,"&lt;"&amp;Conciliacao!BE460+1,df_extratos!G:G,"CREDITO")
+SUMIFS(df_extratos!I:I,df_extratos!F:F,"&gt;="&amp;Conciliacao!A460, df_extratos!F:F,"&lt;"&amp;Conciliacao!A460+1, df_extratos!G:G,"CREDITO")
+SUMIFS(df_extratos!I:I,df_extratos!F:F,"&gt;="&amp;Conciliacao!BF460,df_extratos!F:F,"&lt;"&amp;Conciliacao!BF460+1,df_extratos!G:G,"CREDITO")
+SUMIFS(df_extratos!I:I,df_extratos!F:F,"&gt;="&amp;Conciliacao!BG460,df_extratos!F:F,"&lt;"&amp;Conciliacao!BG460+1,df_extratos!G:G,"CREDITO")
+SUMIFS(df_extratos!I:I,df_extratos!F:F,"&gt;="&amp;Conciliacao!BH460,df_extratos!F:F,"&lt;"&amp;Conciliacao!BH460+1,df_extratos!G:G,"CREDITO")</f>
        <v/>
      </c>
      <c r="I460" s="9">
        <f>H460-SUM(B460:G460)</f>
        <v/>
      </c>
      <c r="J460" s="4">
        <f>SUMIFS(df_blueme_sem_parcelamento!E:E,df_blueme_sem_parcelamento!H:H,Conciliacao!A460)*(-1)</f>
        <v/>
      </c>
      <c r="K460" s="4">
        <f>SUMIFS(df_blueme_com_parcelamento!J:J,df_blueme_com_parcelamento!M:M,Conciliacao!A460)*(-1)</f>
        <v/>
      </c>
      <c r="L460" s="4">
        <f>SUMIFS(df_mutuos!N:N,df_mutuos!B:B,Conciliacao!A460)*(-1)</f>
        <v/>
      </c>
      <c r="M460" s="8">
        <f>SUMIFS(df_bloqueios_judiciais!G:G,df_bloqueios_judiciais!D:D,Conciliacao!A460,df_bloqueios_judiciais!G:G,"&lt;0")</f>
        <v/>
      </c>
      <c r="N460" s="10">
        <f>SUMIFS(df_extratos!I:I,df_extratos!F:F,"&gt;="&amp;Conciliacao!BE460,df_extratos!F:F,"&lt;"&amp;Conciliacao!BE460+1,df_extratos!G:G,"DEBITO")
+SUMIFS(df_extratos!I:I,df_extratos!F:F,"&gt;="&amp;Conciliacao!A460, df_extratos!F:F,"&lt;"&amp;Conciliacao!A460+1, df_extratos!G:G,"DEBITO")
+SUMIFS(df_extratos!I:I,df_extratos!F:F,"&gt;="&amp;Conciliacao!BF460,df_extratos!F:F,"&lt;"&amp;Conciliacao!BF460+1,df_extratos!G:G,"DEBITO")
+SUMIFS(df_extratos!I:I,df_extratos!F:F,"&gt;="&amp;Conciliacao!BG460,df_extratos!F:F,"&lt;"&amp;Conciliacao!BG460+1,df_extratos!G:G,"DEBITO")
+SUMIFS(df_extratos!I:I,df_extratos!F:F,"&gt;="&amp;Conciliacao!BH460,df_extratos!F:F,"&lt;"&amp;Conciliacao!BH460+1,df_extratos!G:G,"DEBITO")</f>
        <v/>
      </c>
      <c r="O460" s="11">
        <f>N460-SUM(J460:M460)</f>
        <v/>
      </c>
      <c r="P460" s="25">
        <f>SUMIFS(df_ajustes_conciliaco!D:D,df_ajustes_conciliaco!C:C,Conciliacao!A460)</f>
        <v/>
      </c>
      <c r="Q460" s="22">
        <f>O460+I460-P460</f>
        <v/>
      </c>
    </row>
    <row r="461">
      <c r="A461" s="5">
        <f>A460+1</f>
        <v/>
      </c>
      <c r="B461" s="3">
        <f>-SUMIFS(df_extrato_zig!G:G,df_extrato_zig!E:E,Conciliacao!A461,df_extrato_zig!D:D,"Saque")-SUMIFS(df_extrato_zig!G:G,df_extrato_zig!E:E,Conciliacao!A461,df_extrato_zig!D:D,"Antecipação")</f>
        <v/>
      </c>
      <c r="C461" s="3">
        <f>SUMIFS(df_extrato_zig!E:E,df_extrato_zig!L:L,Conciliacao!A461,df_extrato_zig!F:F,"DINHEIRO")</f>
        <v/>
      </c>
      <c r="D461" s="3">
        <f>SUMIFS(view_parc_agrup!H:H,view_parc_agrup!G:G,Conciliacao!A461)</f>
        <v/>
      </c>
      <c r="E461" s="3">
        <f>SUMIFS(df_eventos!F:F,df_eventos!H:H,Conciliacao!A461)</f>
        <v/>
      </c>
      <c r="F461" s="3">
        <f>SUMIFS(df_mutuos!M:M,df_mutuos!B:B,Conciliacao!A461)</f>
        <v/>
      </c>
      <c r="G461" s="6">
        <f>SUMIFS(df_bloqueios_judiciais!G:G,df_bloqueios_judiciais!D:D,Conciliacao!A461,df_bloqueios_judiciais!G:G,"&gt;0")</f>
        <v/>
      </c>
      <c r="H461" s="7">
        <f>SUMIFS(df_extratos!I:I,df_extratos!F:F,"&gt;="&amp;Conciliacao!BE461,df_extratos!F:F,"&lt;"&amp;Conciliacao!BE461+1,df_extratos!G:G,"CREDITO")
+SUMIFS(df_extratos!I:I,df_extratos!F:F,"&gt;="&amp;Conciliacao!A461, df_extratos!F:F,"&lt;"&amp;Conciliacao!A461+1, df_extratos!G:G,"CREDITO")
+SUMIFS(df_extratos!I:I,df_extratos!F:F,"&gt;="&amp;Conciliacao!BF461,df_extratos!F:F,"&lt;"&amp;Conciliacao!BF461+1,df_extratos!G:G,"CREDITO")
+SUMIFS(df_extratos!I:I,df_extratos!F:F,"&gt;="&amp;Conciliacao!BG461,df_extratos!F:F,"&lt;"&amp;Conciliacao!BG461+1,df_extratos!G:G,"CREDITO")
+SUMIFS(df_extratos!I:I,df_extratos!F:F,"&gt;="&amp;Conciliacao!BH461,df_extratos!F:F,"&lt;"&amp;Conciliacao!BH461+1,df_extratos!G:G,"CREDITO")</f>
        <v/>
      </c>
      <c r="I461" s="9">
        <f>H461-SUM(B461:G461)</f>
        <v/>
      </c>
      <c r="J461" s="4">
        <f>SUMIFS(df_blueme_sem_parcelamento!E:E,df_blueme_sem_parcelamento!H:H,Conciliacao!A461)*(-1)</f>
        <v/>
      </c>
      <c r="K461" s="4">
        <f>SUMIFS(df_blueme_com_parcelamento!J:J,df_blueme_com_parcelamento!M:M,Conciliacao!A461)*(-1)</f>
        <v/>
      </c>
      <c r="L461" s="4">
        <f>SUMIFS(df_mutuos!N:N,df_mutuos!B:B,Conciliacao!A461)*(-1)</f>
        <v/>
      </c>
      <c r="M461" s="8">
        <f>SUMIFS(df_bloqueios_judiciais!G:G,df_bloqueios_judiciais!D:D,Conciliacao!A461,df_bloqueios_judiciais!G:G,"&lt;0")</f>
        <v/>
      </c>
      <c r="N461" s="10">
        <f>SUMIFS(df_extratos!I:I,df_extratos!F:F,"&gt;="&amp;Conciliacao!BE461,df_extratos!F:F,"&lt;"&amp;Conciliacao!BE461+1,df_extratos!G:G,"DEBITO")
+SUMIFS(df_extratos!I:I,df_extratos!F:F,"&gt;="&amp;Conciliacao!A461, df_extratos!F:F,"&lt;"&amp;Conciliacao!A461+1, df_extratos!G:G,"DEBITO")
+SUMIFS(df_extratos!I:I,df_extratos!F:F,"&gt;="&amp;Conciliacao!BF461,df_extratos!F:F,"&lt;"&amp;Conciliacao!BF461+1,df_extratos!G:G,"DEBITO")
+SUMIFS(df_extratos!I:I,df_extratos!F:F,"&gt;="&amp;Conciliacao!BG461,df_extratos!F:F,"&lt;"&amp;Conciliacao!BG461+1,df_extratos!G:G,"DEBITO")
+SUMIFS(df_extratos!I:I,df_extratos!F:F,"&gt;="&amp;Conciliacao!BH461,df_extratos!F:F,"&lt;"&amp;Conciliacao!BH461+1,df_extratos!G:G,"DEBITO")</f>
        <v/>
      </c>
      <c r="O461" s="11">
        <f>N461-SUM(J461:M461)</f>
        <v/>
      </c>
      <c r="P461" s="25">
        <f>SUMIFS(df_ajustes_conciliaco!D:D,df_ajustes_conciliaco!C:C,Conciliacao!A461)</f>
        <v/>
      </c>
      <c r="Q461" s="22">
        <f>O461+I461-P461</f>
        <v/>
      </c>
    </row>
    <row r="462">
      <c r="A462" s="5">
        <f>A461+1</f>
        <v/>
      </c>
      <c r="B462" s="3">
        <f>-SUMIFS(df_extrato_zig!G:G,df_extrato_zig!E:E,Conciliacao!A462,df_extrato_zig!D:D,"Saque")-SUMIFS(df_extrato_zig!G:G,df_extrato_zig!E:E,Conciliacao!A462,df_extrato_zig!D:D,"Antecipação")</f>
        <v/>
      </c>
      <c r="C462" s="3">
        <f>SUMIFS(df_extrato_zig!E:E,df_extrato_zig!L:L,Conciliacao!A462,df_extrato_zig!F:F,"DINHEIRO")</f>
        <v/>
      </c>
      <c r="D462" s="3">
        <f>SUMIFS(view_parc_agrup!H:H,view_parc_agrup!G:G,Conciliacao!A462)</f>
        <v/>
      </c>
      <c r="E462" s="3">
        <f>SUMIFS(df_eventos!F:F,df_eventos!H:H,Conciliacao!A462)</f>
        <v/>
      </c>
      <c r="F462" s="3">
        <f>SUMIFS(df_mutuos!M:M,df_mutuos!B:B,Conciliacao!A462)</f>
        <v/>
      </c>
      <c r="G462" s="6">
        <f>SUMIFS(df_bloqueios_judiciais!G:G,df_bloqueios_judiciais!D:D,Conciliacao!A462,df_bloqueios_judiciais!G:G,"&gt;0")</f>
        <v/>
      </c>
      <c r="H462" s="7">
        <f>SUMIFS(df_extratos!I:I,df_extratos!F:F,"&gt;="&amp;Conciliacao!BE462,df_extratos!F:F,"&lt;"&amp;Conciliacao!BE462+1,df_extratos!G:G,"CREDITO")
+SUMIFS(df_extratos!I:I,df_extratos!F:F,"&gt;="&amp;Conciliacao!A462, df_extratos!F:F,"&lt;"&amp;Conciliacao!A462+1, df_extratos!G:G,"CREDITO")
+SUMIFS(df_extratos!I:I,df_extratos!F:F,"&gt;="&amp;Conciliacao!BF462,df_extratos!F:F,"&lt;"&amp;Conciliacao!BF462+1,df_extratos!G:G,"CREDITO")
+SUMIFS(df_extratos!I:I,df_extratos!F:F,"&gt;="&amp;Conciliacao!BG462,df_extratos!F:F,"&lt;"&amp;Conciliacao!BG462+1,df_extratos!G:G,"CREDITO")
+SUMIFS(df_extratos!I:I,df_extratos!F:F,"&gt;="&amp;Conciliacao!BH462,df_extratos!F:F,"&lt;"&amp;Conciliacao!BH462+1,df_extratos!G:G,"CREDITO")</f>
        <v/>
      </c>
      <c r="I462" s="9">
        <f>H462-SUM(B462:G462)</f>
        <v/>
      </c>
      <c r="J462" s="4">
        <f>SUMIFS(df_blueme_sem_parcelamento!E:E,df_blueme_sem_parcelamento!H:H,Conciliacao!A462)*(-1)</f>
        <v/>
      </c>
      <c r="K462" s="4">
        <f>SUMIFS(df_blueme_com_parcelamento!J:J,df_blueme_com_parcelamento!M:M,Conciliacao!A462)*(-1)</f>
        <v/>
      </c>
      <c r="L462" s="4">
        <f>SUMIFS(df_mutuos!N:N,df_mutuos!B:B,Conciliacao!A462)*(-1)</f>
        <v/>
      </c>
      <c r="M462" s="8">
        <f>SUMIFS(df_bloqueios_judiciais!G:G,df_bloqueios_judiciais!D:D,Conciliacao!A462,df_bloqueios_judiciais!G:G,"&lt;0")</f>
        <v/>
      </c>
      <c r="N462" s="10">
        <f>SUMIFS(df_extratos!I:I,df_extratos!F:F,"&gt;="&amp;Conciliacao!BE462,df_extratos!F:F,"&lt;"&amp;Conciliacao!BE462+1,df_extratos!G:G,"DEBITO")
+SUMIFS(df_extratos!I:I,df_extratos!F:F,"&gt;="&amp;Conciliacao!A462, df_extratos!F:F,"&lt;"&amp;Conciliacao!A462+1, df_extratos!G:G,"DEBITO")
+SUMIFS(df_extratos!I:I,df_extratos!F:F,"&gt;="&amp;Conciliacao!BF462,df_extratos!F:F,"&lt;"&amp;Conciliacao!BF462+1,df_extratos!G:G,"DEBITO")
+SUMIFS(df_extratos!I:I,df_extratos!F:F,"&gt;="&amp;Conciliacao!BG462,df_extratos!F:F,"&lt;"&amp;Conciliacao!BG462+1,df_extratos!G:G,"DEBITO")
+SUMIFS(df_extratos!I:I,df_extratos!F:F,"&gt;="&amp;Conciliacao!BH462,df_extratos!F:F,"&lt;"&amp;Conciliacao!BH462+1,df_extratos!G:G,"DEBITO")</f>
        <v/>
      </c>
      <c r="O462" s="11">
        <f>N462-SUM(J462:M462)</f>
        <v/>
      </c>
      <c r="P462" s="25">
        <f>SUMIFS(df_ajustes_conciliaco!D:D,df_ajustes_conciliaco!C:C,Conciliacao!A462)</f>
        <v/>
      </c>
      <c r="Q462" s="22">
        <f>O462+I462-P462</f>
        <v/>
      </c>
    </row>
    <row r="463">
      <c r="A463" s="5">
        <f>A462+1</f>
        <v/>
      </c>
      <c r="B463" s="3">
        <f>-SUMIFS(df_extrato_zig!G:G,df_extrato_zig!E:E,Conciliacao!A463,df_extrato_zig!D:D,"Saque")-SUMIFS(df_extrato_zig!G:G,df_extrato_zig!E:E,Conciliacao!A463,df_extrato_zig!D:D,"Antecipação")</f>
        <v/>
      </c>
      <c r="C463" s="3">
        <f>SUMIFS(df_extrato_zig!E:E,df_extrato_zig!L:L,Conciliacao!A463,df_extrato_zig!F:F,"DINHEIRO")</f>
        <v/>
      </c>
      <c r="D463" s="3">
        <f>SUMIFS(view_parc_agrup!H:H,view_parc_agrup!G:G,Conciliacao!A463)</f>
        <v/>
      </c>
      <c r="E463" s="3">
        <f>SUMIFS(df_eventos!F:F,df_eventos!H:H,Conciliacao!A463)</f>
        <v/>
      </c>
      <c r="F463" s="3">
        <f>SUMIFS(df_mutuos!M:M,df_mutuos!B:B,Conciliacao!A463)</f>
        <v/>
      </c>
      <c r="G463" s="6">
        <f>SUMIFS(df_bloqueios_judiciais!G:G,df_bloqueios_judiciais!D:D,Conciliacao!A463,df_bloqueios_judiciais!G:G,"&gt;0")</f>
        <v/>
      </c>
      <c r="H463" s="7">
        <f>SUMIFS(df_extratos!I:I,df_extratos!F:F,"&gt;="&amp;Conciliacao!BE463,df_extratos!F:F,"&lt;"&amp;Conciliacao!BE463+1,df_extratos!G:G,"CREDITO")
+SUMIFS(df_extratos!I:I,df_extratos!F:F,"&gt;="&amp;Conciliacao!A463, df_extratos!F:F,"&lt;"&amp;Conciliacao!A463+1, df_extratos!G:G,"CREDITO")
+SUMIFS(df_extratos!I:I,df_extratos!F:F,"&gt;="&amp;Conciliacao!BF463,df_extratos!F:F,"&lt;"&amp;Conciliacao!BF463+1,df_extratos!G:G,"CREDITO")
+SUMIFS(df_extratos!I:I,df_extratos!F:F,"&gt;="&amp;Conciliacao!BG463,df_extratos!F:F,"&lt;"&amp;Conciliacao!BG463+1,df_extratos!G:G,"CREDITO")
+SUMIFS(df_extratos!I:I,df_extratos!F:F,"&gt;="&amp;Conciliacao!BH463,df_extratos!F:F,"&lt;"&amp;Conciliacao!BH463+1,df_extratos!G:G,"CREDITO")</f>
        <v/>
      </c>
      <c r="I463" s="9">
        <f>H463-SUM(B463:G463)</f>
        <v/>
      </c>
      <c r="J463" s="4">
        <f>SUMIFS(df_blueme_sem_parcelamento!E:E,df_blueme_sem_parcelamento!H:H,Conciliacao!A463)*(-1)</f>
        <v/>
      </c>
      <c r="K463" s="4">
        <f>SUMIFS(df_blueme_com_parcelamento!J:J,df_blueme_com_parcelamento!M:M,Conciliacao!A463)*(-1)</f>
        <v/>
      </c>
      <c r="L463" s="4">
        <f>SUMIFS(df_mutuos!N:N,df_mutuos!B:B,Conciliacao!A463)*(-1)</f>
        <v/>
      </c>
      <c r="M463" s="8">
        <f>SUMIFS(df_bloqueios_judiciais!G:G,df_bloqueios_judiciais!D:D,Conciliacao!A463,df_bloqueios_judiciais!G:G,"&lt;0")</f>
        <v/>
      </c>
      <c r="N463" s="10">
        <f>SUMIFS(df_extratos!I:I,df_extratos!F:F,"&gt;="&amp;Conciliacao!BE463,df_extratos!F:F,"&lt;"&amp;Conciliacao!BE463+1,df_extratos!G:G,"DEBITO")
+SUMIFS(df_extratos!I:I,df_extratos!F:F,"&gt;="&amp;Conciliacao!A463, df_extratos!F:F,"&lt;"&amp;Conciliacao!A463+1, df_extratos!G:G,"DEBITO")
+SUMIFS(df_extratos!I:I,df_extratos!F:F,"&gt;="&amp;Conciliacao!BF463,df_extratos!F:F,"&lt;"&amp;Conciliacao!BF463+1,df_extratos!G:G,"DEBITO")
+SUMIFS(df_extratos!I:I,df_extratos!F:F,"&gt;="&amp;Conciliacao!BG463,df_extratos!F:F,"&lt;"&amp;Conciliacao!BG463+1,df_extratos!G:G,"DEBITO")
+SUMIFS(df_extratos!I:I,df_extratos!F:F,"&gt;="&amp;Conciliacao!BH463,df_extratos!F:F,"&lt;"&amp;Conciliacao!BH463+1,df_extratos!G:G,"DEBITO")</f>
        <v/>
      </c>
      <c r="O463" s="11">
        <f>N463-SUM(J463:M463)</f>
        <v/>
      </c>
      <c r="P463" s="25">
        <f>SUMIFS(df_ajustes_conciliaco!D:D,df_ajustes_conciliaco!C:C,Conciliacao!A463)</f>
        <v/>
      </c>
      <c r="Q463" s="22">
        <f>O463+I463-P463</f>
        <v/>
      </c>
    </row>
    <row r="464">
      <c r="A464" s="5">
        <f>A463+1</f>
        <v/>
      </c>
      <c r="B464" s="3">
        <f>-SUMIFS(df_extrato_zig!G:G,df_extrato_zig!E:E,Conciliacao!A464,df_extrato_zig!D:D,"Saque")-SUMIFS(df_extrato_zig!G:G,df_extrato_zig!E:E,Conciliacao!A464,df_extrato_zig!D:D,"Antecipação")</f>
        <v/>
      </c>
      <c r="C464" s="3">
        <f>SUMIFS(df_extrato_zig!E:E,df_extrato_zig!L:L,Conciliacao!A464,df_extrato_zig!F:F,"DINHEIRO")</f>
        <v/>
      </c>
      <c r="D464" s="3">
        <f>SUMIFS(view_parc_agrup!H:H,view_parc_agrup!G:G,Conciliacao!A464)</f>
        <v/>
      </c>
      <c r="E464" s="3">
        <f>SUMIFS(df_eventos!F:F,df_eventos!H:H,Conciliacao!A464)</f>
        <v/>
      </c>
      <c r="F464" s="3">
        <f>SUMIFS(df_mutuos!M:M,df_mutuos!B:B,Conciliacao!A464)</f>
        <v/>
      </c>
      <c r="G464" s="6">
        <f>SUMIFS(df_bloqueios_judiciais!G:G,df_bloqueios_judiciais!D:D,Conciliacao!A464,df_bloqueios_judiciais!G:G,"&gt;0")</f>
        <v/>
      </c>
      <c r="H464" s="7">
        <f>SUMIFS(df_extratos!I:I,df_extratos!F:F,"&gt;="&amp;Conciliacao!BE464,df_extratos!F:F,"&lt;"&amp;Conciliacao!BE464+1,df_extratos!G:G,"CREDITO")
+SUMIFS(df_extratos!I:I,df_extratos!F:F,"&gt;="&amp;Conciliacao!A464, df_extratos!F:F,"&lt;"&amp;Conciliacao!A464+1, df_extratos!G:G,"CREDITO")
+SUMIFS(df_extratos!I:I,df_extratos!F:F,"&gt;="&amp;Conciliacao!BF464,df_extratos!F:F,"&lt;"&amp;Conciliacao!BF464+1,df_extratos!G:G,"CREDITO")
+SUMIFS(df_extratos!I:I,df_extratos!F:F,"&gt;="&amp;Conciliacao!BG464,df_extratos!F:F,"&lt;"&amp;Conciliacao!BG464+1,df_extratos!G:G,"CREDITO")
+SUMIFS(df_extratos!I:I,df_extratos!F:F,"&gt;="&amp;Conciliacao!BH464,df_extratos!F:F,"&lt;"&amp;Conciliacao!BH464+1,df_extratos!G:G,"CREDITO")</f>
        <v/>
      </c>
      <c r="I464" s="9">
        <f>H464-SUM(B464:G464)</f>
        <v/>
      </c>
      <c r="J464" s="4">
        <f>SUMIFS(df_blueme_sem_parcelamento!E:E,df_blueme_sem_parcelamento!H:H,Conciliacao!A464)*(-1)</f>
        <v/>
      </c>
      <c r="K464" s="4">
        <f>SUMIFS(df_blueme_com_parcelamento!J:J,df_blueme_com_parcelamento!M:M,Conciliacao!A464)*(-1)</f>
        <v/>
      </c>
      <c r="L464" s="4">
        <f>SUMIFS(df_mutuos!N:N,df_mutuos!B:B,Conciliacao!A464)*(-1)</f>
        <v/>
      </c>
      <c r="M464" s="8">
        <f>SUMIFS(df_bloqueios_judiciais!G:G,df_bloqueios_judiciais!D:D,Conciliacao!A464,df_bloqueios_judiciais!G:G,"&lt;0")</f>
        <v/>
      </c>
      <c r="N464" s="10">
        <f>SUMIFS(df_extratos!I:I,df_extratos!F:F,"&gt;="&amp;Conciliacao!BE464,df_extratos!F:F,"&lt;"&amp;Conciliacao!BE464+1,df_extratos!G:G,"DEBITO")
+SUMIFS(df_extratos!I:I,df_extratos!F:F,"&gt;="&amp;Conciliacao!A464, df_extratos!F:F,"&lt;"&amp;Conciliacao!A464+1, df_extratos!G:G,"DEBITO")
+SUMIFS(df_extratos!I:I,df_extratos!F:F,"&gt;="&amp;Conciliacao!BF464,df_extratos!F:F,"&lt;"&amp;Conciliacao!BF464+1,df_extratos!G:G,"DEBITO")
+SUMIFS(df_extratos!I:I,df_extratos!F:F,"&gt;="&amp;Conciliacao!BG464,df_extratos!F:F,"&lt;"&amp;Conciliacao!BG464+1,df_extratos!G:G,"DEBITO")
+SUMIFS(df_extratos!I:I,df_extratos!F:F,"&gt;="&amp;Conciliacao!BH464,df_extratos!F:F,"&lt;"&amp;Conciliacao!BH464+1,df_extratos!G:G,"DEBITO")</f>
        <v/>
      </c>
      <c r="O464" s="11">
        <f>N464-SUM(J464:M464)</f>
        <v/>
      </c>
      <c r="P464" s="25">
        <f>SUMIFS(df_ajustes_conciliaco!D:D,df_ajustes_conciliaco!C:C,Conciliacao!A464)</f>
        <v/>
      </c>
      <c r="Q464" s="22">
        <f>O464+I464-P464</f>
        <v/>
      </c>
    </row>
    <row r="465">
      <c r="A465" s="5">
        <f>A464+1</f>
        <v/>
      </c>
      <c r="B465" s="3">
        <f>-SUMIFS(df_extrato_zig!G:G,df_extrato_zig!E:E,Conciliacao!A465,df_extrato_zig!D:D,"Saque")-SUMIFS(df_extrato_zig!G:G,df_extrato_zig!E:E,Conciliacao!A465,df_extrato_zig!D:D,"Antecipação")</f>
        <v/>
      </c>
      <c r="C465" s="3">
        <f>SUMIFS(df_extrato_zig!E:E,df_extrato_zig!L:L,Conciliacao!A465,df_extrato_zig!F:F,"DINHEIRO")</f>
        <v/>
      </c>
      <c r="D465" s="3">
        <f>SUMIFS(view_parc_agrup!H:H,view_parc_agrup!G:G,Conciliacao!A465)</f>
        <v/>
      </c>
      <c r="E465" s="3">
        <f>SUMIFS(df_eventos!F:F,df_eventos!H:H,Conciliacao!A465)</f>
        <v/>
      </c>
      <c r="F465" s="3">
        <f>SUMIFS(df_mutuos!M:M,df_mutuos!B:B,Conciliacao!A465)</f>
        <v/>
      </c>
      <c r="G465" s="6">
        <f>SUMIFS(df_bloqueios_judiciais!G:G,df_bloqueios_judiciais!D:D,Conciliacao!A465,df_bloqueios_judiciais!G:G,"&gt;0")</f>
        <v/>
      </c>
      <c r="H465" s="7">
        <f>SUMIFS(df_extratos!I:I,df_extratos!F:F,"&gt;="&amp;Conciliacao!BE465,df_extratos!F:F,"&lt;"&amp;Conciliacao!BE465+1,df_extratos!G:G,"CREDITO")
+SUMIFS(df_extratos!I:I,df_extratos!F:F,"&gt;="&amp;Conciliacao!A465, df_extratos!F:F,"&lt;"&amp;Conciliacao!A465+1, df_extratos!G:G,"CREDITO")
+SUMIFS(df_extratos!I:I,df_extratos!F:F,"&gt;="&amp;Conciliacao!BF465,df_extratos!F:F,"&lt;"&amp;Conciliacao!BF465+1,df_extratos!G:G,"CREDITO")
+SUMIFS(df_extratos!I:I,df_extratos!F:F,"&gt;="&amp;Conciliacao!BG465,df_extratos!F:F,"&lt;"&amp;Conciliacao!BG465+1,df_extratos!G:G,"CREDITO")
+SUMIFS(df_extratos!I:I,df_extratos!F:F,"&gt;="&amp;Conciliacao!BH465,df_extratos!F:F,"&lt;"&amp;Conciliacao!BH465+1,df_extratos!G:G,"CREDITO")</f>
        <v/>
      </c>
      <c r="I465" s="9">
        <f>H465-SUM(B465:G465)</f>
        <v/>
      </c>
      <c r="J465" s="4">
        <f>SUMIFS(df_blueme_sem_parcelamento!E:E,df_blueme_sem_parcelamento!H:H,Conciliacao!A465)*(-1)</f>
        <v/>
      </c>
      <c r="K465" s="4">
        <f>SUMIFS(df_blueme_com_parcelamento!J:J,df_blueme_com_parcelamento!M:M,Conciliacao!A465)*(-1)</f>
        <v/>
      </c>
      <c r="L465" s="4">
        <f>SUMIFS(df_mutuos!N:N,df_mutuos!B:B,Conciliacao!A465)*(-1)</f>
        <v/>
      </c>
      <c r="M465" s="8">
        <f>SUMIFS(df_bloqueios_judiciais!G:G,df_bloqueios_judiciais!D:D,Conciliacao!A465,df_bloqueios_judiciais!G:G,"&lt;0")</f>
        <v/>
      </c>
      <c r="N465" s="10">
        <f>SUMIFS(df_extratos!I:I,df_extratos!F:F,"&gt;="&amp;Conciliacao!BE465,df_extratos!F:F,"&lt;"&amp;Conciliacao!BE465+1,df_extratos!G:G,"DEBITO")
+SUMIFS(df_extratos!I:I,df_extratos!F:F,"&gt;="&amp;Conciliacao!A465, df_extratos!F:F,"&lt;"&amp;Conciliacao!A465+1, df_extratos!G:G,"DEBITO")
+SUMIFS(df_extratos!I:I,df_extratos!F:F,"&gt;="&amp;Conciliacao!BF465,df_extratos!F:F,"&lt;"&amp;Conciliacao!BF465+1,df_extratos!G:G,"DEBITO")
+SUMIFS(df_extratos!I:I,df_extratos!F:F,"&gt;="&amp;Conciliacao!BG465,df_extratos!F:F,"&lt;"&amp;Conciliacao!BG465+1,df_extratos!G:G,"DEBITO")
+SUMIFS(df_extratos!I:I,df_extratos!F:F,"&gt;="&amp;Conciliacao!BH465,df_extratos!F:F,"&lt;"&amp;Conciliacao!BH465+1,df_extratos!G:G,"DEBITO")</f>
        <v/>
      </c>
      <c r="O465" s="11">
        <f>N465-SUM(J465:M465)</f>
        <v/>
      </c>
      <c r="P465" s="25">
        <f>SUMIFS(df_ajustes_conciliaco!D:D,df_ajustes_conciliaco!C:C,Conciliacao!A465)</f>
        <v/>
      </c>
      <c r="Q465" s="22">
        <f>O465+I465-P465</f>
        <v/>
      </c>
    </row>
    <row r="466">
      <c r="A466" s="5">
        <f>A465+1</f>
        <v/>
      </c>
      <c r="B466" s="3">
        <f>-SUMIFS(df_extrato_zig!G:G,df_extrato_zig!E:E,Conciliacao!A466,df_extrato_zig!D:D,"Saque")-SUMIFS(df_extrato_zig!G:G,df_extrato_zig!E:E,Conciliacao!A466,df_extrato_zig!D:D,"Antecipação")</f>
        <v/>
      </c>
      <c r="C466" s="3">
        <f>SUMIFS(df_extrato_zig!E:E,df_extrato_zig!L:L,Conciliacao!A466,df_extrato_zig!F:F,"DINHEIRO")</f>
        <v/>
      </c>
      <c r="D466" s="3">
        <f>SUMIFS(view_parc_agrup!H:H,view_parc_agrup!G:G,Conciliacao!A466)</f>
        <v/>
      </c>
      <c r="E466" s="3">
        <f>SUMIFS(df_eventos!F:F,df_eventos!H:H,Conciliacao!A466)</f>
        <v/>
      </c>
      <c r="F466" s="3">
        <f>SUMIFS(df_mutuos!M:M,df_mutuos!B:B,Conciliacao!A466)</f>
        <v/>
      </c>
      <c r="G466" s="6">
        <f>SUMIFS(df_bloqueios_judiciais!G:G,df_bloqueios_judiciais!D:D,Conciliacao!A466,df_bloqueios_judiciais!G:G,"&gt;0")</f>
        <v/>
      </c>
      <c r="H466" s="7">
        <f>SUMIFS(df_extratos!I:I,df_extratos!F:F,"&gt;="&amp;Conciliacao!BE466,df_extratos!F:F,"&lt;"&amp;Conciliacao!BE466+1,df_extratos!G:G,"CREDITO")
+SUMIFS(df_extratos!I:I,df_extratos!F:F,"&gt;="&amp;Conciliacao!A466, df_extratos!F:F,"&lt;"&amp;Conciliacao!A466+1, df_extratos!G:G,"CREDITO")
+SUMIFS(df_extratos!I:I,df_extratos!F:F,"&gt;="&amp;Conciliacao!BF466,df_extratos!F:F,"&lt;"&amp;Conciliacao!BF466+1,df_extratos!G:G,"CREDITO")
+SUMIFS(df_extratos!I:I,df_extratos!F:F,"&gt;="&amp;Conciliacao!BG466,df_extratos!F:F,"&lt;"&amp;Conciliacao!BG466+1,df_extratos!G:G,"CREDITO")
+SUMIFS(df_extratos!I:I,df_extratos!F:F,"&gt;="&amp;Conciliacao!BH466,df_extratos!F:F,"&lt;"&amp;Conciliacao!BH466+1,df_extratos!G:G,"CREDITO")</f>
        <v/>
      </c>
      <c r="I466" s="9">
        <f>H466-SUM(B466:G466)</f>
        <v/>
      </c>
      <c r="J466" s="4">
        <f>SUMIFS(df_blueme_sem_parcelamento!E:E,df_blueme_sem_parcelamento!H:H,Conciliacao!A466)*(-1)</f>
        <v/>
      </c>
      <c r="K466" s="4">
        <f>SUMIFS(df_blueme_com_parcelamento!J:J,df_blueme_com_parcelamento!M:M,Conciliacao!A466)*(-1)</f>
        <v/>
      </c>
      <c r="L466" s="4">
        <f>SUMIFS(df_mutuos!N:N,df_mutuos!B:B,Conciliacao!A466)*(-1)</f>
        <v/>
      </c>
      <c r="M466" s="8">
        <f>SUMIFS(df_bloqueios_judiciais!G:G,df_bloqueios_judiciais!D:D,Conciliacao!A466,df_bloqueios_judiciais!G:G,"&lt;0")</f>
        <v/>
      </c>
      <c r="N466" s="10">
        <f>SUMIFS(df_extratos!I:I,df_extratos!F:F,"&gt;="&amp;Conciliacao!BE466,df_extratos!F:F,"&lt;"&amp;Conciliacao!BE466+1,df_extratos!G:G,"DEBITO")
+SUMIFS(df_extratos!I:I,df_extratos!F:F,"&gt;="&amp;Conciliacao!A466, df_extratos!F:F,"&lt;"&amp;Conciliacao!A466+1, df_extratos!G:G,"DEBITO")
+SUMIFS(df_extratos!I:I,df_extratos!F:F,"&gt;="&amp;Conciliacao!BF466,df_extratos!F:F,"&lt;"&amp;Conciliacao!BF466+1,df_extratos!G:G,"DEBITO")
+SUMIFS(df_extratos!I:I,df_extratos!F:F,"&gt;="&amp;Conciliacao!BG466,df_extratos!F:F,"&lt;"&amp;Conciliacao!BG466+1,df_extratos!G:G,"DEBITO")
+SUMIFS(df_extratos!I:I,df_extratos!F:F,"&gt;="&amp;Conciliacao!BH466,df_extratos!F:F,"&lt;"&amp;Conciliacao!BH466+1,df_extratos!G:G,"DEBITO")</f>
        <v/>
      </c>
      <c r="O466" s="11">
        <f>N466-SUM(J466:M466)</f>
        <v/>
      </c>
      <c r="P466" s="25">
        <f>SUMIFS(df_ajustes_conciliaco!D:D,df_ajustes_conciliaco!C:C,Conciliacao!A466)</f>
        <v/>
      </c>
      <c r="Q466" s="22">
        <f>O466+I466-P466</f>
        <v/>
      </c>
    </row>
    <row r="467">
      <c r="A467" s="5">
        <f>A466+1</f>
        <v/>
      </c>
      <c r="B467" s="3">
        <f>-SUMIFS(df_extrato_zig!G:G,df_extrato_zig!E:E,Conciliacao!A467,df_extrato_zig!D:D,"Saque")-SUMIFS(df_extrato_zig!G:G,df_extrato_zig!E:E,Conciliacao!A467,df_extrato_zig!D:D,"Antecipação")</f>
        <v/>
      </c>
      <c r="C467" s="3">
        <f>SUMIFS(df_extrato_zig!E:E,df_extrato_zig!L:L,Conciliacao!A467,df_extrato_zig!F:F,"DINHEIRO")</f>
        <v/>
      </c>
      <c r="D467" s="3">
        <f>SUMIFS(view_parc_agrup!H:H,view_parc_agrup!G:G,Conciliacao!A467)</f>
        <v/>
      </c>
      <c r="E467" s="3">
        <f>SUMIFS(df_eventos!F:F,df_eventos!H:H,Conciliacao!A467)</f>
        <v/>
      </c>
      <c r="F467" s="3">
        <f>SUMIFS(df_mutuos!M:M,df_mutuos!B:B,Conciliacao!A467)</f>
        <v/>
      </c>
      <c r="G467" s="6">
        <f>SUMIFS(df_bloqueios_judiciais!G:G,df_bloqueios_judiciais!D:D,Conciliacao!A467,df_bloqueios_judiciais!G:G,"&gt;0")</f>
        <v/>
      </c>
      <c r="H467" s="7">
        <f>SUMIFS(df_extratos!I:I,df_extratos!F:F,"&gt;="&amp;Conciliacao!BE467,df_extratos!F:F,"&lt;"&amp;Conciliacao!BE467+1,df_extratos!G:G,"CREDITO")
+SUMIFS(df_extratos!I:I,df_extratos!F:F,"&gt;="&amp;Conciliacao!A467, df_extratos!F:F,"&lt;"&amp;Conciliacao!A467+1, df_extratos!G:G,"CREDITO")
+SUMIFS(df_extratos!I:I,df_extratos!F:F,"&gt;="&amp;Conciliacao!BF467,df_extratos!F:F,"&lt;"&amp;Conciliacao!BF467+1,df_extratos!G:G,"CREDITO")
+SUMIFS(df_extratos!I:I,df_extratos!F:F,"&gt;="&amp;Conciliacao!BG467,df_extratos!F:F,"&lt;"&amp;Conciliacao!BG467+1,df_extratos!G:G,"CREDITO")
+SUMIFS(df_extratos!I:I,df_extratos!F:F,"&gt;="&amp;Conciliacao!BH467,df_extratos!F:F,"&lt;"&amp;Conciliacao!BH467+1,df_extratos!G:G,"CREDITO")</f>
        <v/>
      </c>
      <c r="I467" s="9">
        <f>H467-SUM(B467:G467)</f>
        <v/>
      </c>
      <c r="J467" s="4">
        <f>SUMIFS(df_blueme_sem_parcelamento!E:E,df_blueme_sem_parcelamento!H:H,Conciliacao!A467)*(-1)</f>
        <v/>
      </c>
      <c r="K467" s="4">
        <f>SUMIFS(df_blueme_com_parcelamento!J:J,df_blueme_com_parcelamento!M:M,Conciliacao!A467)*(-1)</f>
        <v/>
      </c>
      <c r="L467" s="4">
        <f>SUMIFS(df_mutuos!N:N,df_mutuos!B:B,Conciliacao!A467)*(-1)</f>
        <v/>
      </c>
      <c r="M467" s="8">
        <f>SUMIFS(df_bloqueios_judiciais!G:G,df_bloqueios_judiciais!D:D,Conciliacao!A467,df_bloqueios_judiciais!G:G,"&lt;0")</f>
        <v/>
      </c>
      <c r="N467" s="10">
        <f>SUMIFS(df_extratos!I:I,df_extratos!F:F,"&gt;="&amp;Conciliacao!BE467,df_extratos!F:F,"&lt;"&amp;Conciliacao!BE467+1,df_extratos!G:G,"DEBITO")
+SUMIFS(df_extratos!I:I,df_extratos!F:F,"&gt;="&amp;Conciliacao!A467, df_extratos!F:F,"&lt;"&amp;Conciliacao!A467+1, df_extratos!G:G,"DEBITO")
+SUMIFS(df_extratos!I:I,df_extratos!F:F,"&gt;="&amp;Conciliacao!BF467,df_extratos!F:F,"&lt;"&amp;Conciliacao!BF467+1,df_extratos!G:G,"DEBITO")
+SUMIFS(df_extratos!I:I,df_extratos!F:F,"&gt;="&amp;Conciliacao!BG467,df_extratos!F:F,"&lt;"&amp;Conciliacao!BG467+1,df_extratos!G:G,"DEBITO")
+SUMIFS(df_extratos!I:I,df_extratos!F:F,"&gt;="&amp;Conciliacao!BH467,df_extratos!F:F,"&lt;"&amp;Conciliacao!BH467+1,df_extratos!G:G,"DEBITO")</f>
        <v/>
      </c>
      <c r="O467" s="11">
        <f>N467-SUM(J467:M467)</f>
        <v/>
      </c>
      <c r="P467" s="25">
        <f>SUMIFS(df_ajustes_conciliaco!D:D,df_ajustes_conciliaco!C:C,Conciliacao!A467)</f>
        <v/>
      </c>
      <c r="Q467" s="22">
        <f>O467+I467-P467</f>
        <v/>
      </c>
    </row>
    <row r="468">
      <c r="A468" s="5">
        <f>A467+1</f>
        <v/>
      </c>
      <c r="B468" s="3">
        <f>-SUMIFS(df_extrato_zig!G:G,df_extrato_zig!E:E,Conciliacao!A468,df_extrato_zig!D:D,"Saque")-SUMIFS(df_extrato_zig!G:G,df_extrato_zig!E:E,Conciliacao!A468,df_extrato_zig!D:D,"Antecipação")</f>
        <v/>
      </c>
      <c r="C468" s="3">
        <f>SUMIFS(df_extrato_zig!E:E,df_extrato_zig!L:L,Conciliacao!A468,df_extrato_zig!F:F,"DINHEIRO")</f>
        <v/>
      </c>
      <c r="D468" s="3">
        <f>SUMIFS(view_parc_agrup!H:H,view_parc_agrup!G:G,Conciliacao!A468)</f>
        <v/>
      </c>
      <c r="E468" s="3">
        <f>SUMIFS(df_eventos!F:F,df_eventos!H:H,Conciliacao!A468)</f>
        <v/>
      </c>
      <c r="F468" s="3">
        <f>SUMIFS(df_mutuos!M:M,df_mutuos!B:B,Conciliacao!A468)</f>
        <v/>
      </c>
      <c r="G468" s="6">
        <f>SUMIFS(df_bloqueios_judiciais!G:G,df_bloqueios_judiciais!D:D,Conciliacao!A468,df_bloqueios_judiciais!G:G,"&gt;0")</f>
        <v/>
      </c>
      <c r="H468" s="7">
        <f>SUMIFS(df_extratos!I:I,df_extratos!F:F,"&gt;="&amp;Conciliacao!BE468,df_extratos!F:F,"&lt;"&amp;Conciliacao!BE468+1,df_extratos!G:G,"CREDITO")
+SUMIFS(df_extratos!I:I,df_extratos!F:F,"&gt;="&amp;Conciliacao!A468, df_extratos!F:F,"&lt;"&amp;Conciliacao!A468+1, df_extratos!G:G,"CREDITO")
+SUMIFS(df_extratos!I:I,df_extratos!F:F,"&gt;="&amp;Conciliacao!BF468,df_extratos!F:F,"&lt;"&amp;Conciliacao!BF468+1,df_extratos!G:G,"CREDITO")
+SUMIFS(df_extratos!I:I,df_extratos!F:F,"&gt;="&amp;Conciliacao!BG468,df_extratos!F:F,"&lt;"&amp;Conciliacao!BG468+1,df_extratos!G:G,"CREDITO")
+SUMIFS(df_extratos!I:I,df_extratos!F:F,"&gt;="&amp;Conciliacao!BH468,df_extratos!F:F,"&lt;"&amp;Conciliacao!BH468+1,df_extratos!G:G,"CREDITO")</f>
        <v/>
      </c>
      <c r="I468" s="9">
        <f>H468-SUM(B468:G468)</f>
        <v/>
      </c>
      <c r="J468" s="4">
        <f>SUMIFS(df_blueme_sem_parcelamento!E:E,df_blueme_sem_parcelamento!H:H,Conciliacao!A468)*(-1)</f>
        <v/>
      </c>
      <c r="K468" s="4">
        <f>SUMIFS(df_blueme_com_parcelamento!J:J,df_blueme_com_parcelamento!M:M,Conciliacao!A468)*(-1)</f>
        <v/>
      </c>
      <c r="L468" s="4">
        <f>SUMIFS(df_mutuos!N:N,df_mutuos!B:B,Conciliacao!A468)*(-1)</f>
        <v/>
      </c>
      <c r="M468" s="8">
        <f>SUMIFS(df_bloqueios_judiciais!G:G,df_bloqueios_judiciais!D:D,Conciliacao!A468,df_bloqueios_judiciais!G:G,"&lt;0")</f>
        <v/>
      </c>
      <c r="N468" s="10">
        <f>SUMIFS(df_extratos!I:I,df_extratos!F:F,"&gt;="&amp;Conciliacao!BE468,df_extratos!F:F,"&lt;"&amp;Conciliacao!BE468+1,df_extratos!G:G,"DEBITO")
+SUMIFS(df_extratos!I:I,df_extratos!F:F,"&gt;="&amp;Conciliacao!A468, df_extratos!F:F,"&lt;"&amp;Conciliacao!A468+1, df_extratos!G:G,"DEBITO")
+SUMIFS(df_extratos!I:I,df_extratos!F:F,"&gt;="&amp;Conciliacao!BF468,df_extratos!F:F,"&lt;"&amp;Conciliacao!BF468+1,df_extratos!G:G,"DEBITO")
+SUMIFS(df_extratos!I:I,df_extratos!F:F,"&gt;="&amp;Conciliacao!BG468,df_extratos!F:F,"&lt;"&amp;Conciliacao!BG468+1,df_extratos!G:G,"DEBITO")
+SUMIFS(df_extratos!I:I,df_extratos!F:F,"&gt;="&amp;Conciliacao!BH468,df_extratos!F:F,"&lt;"&amp;Conciliacao!BH468+1,df_extratos!G:G,"DEBITO")</f>
        <v/>
      </c>
      <c r="O468" s="11">
        <f>N468-SUM(J468:M468)</f>
        <v/>
      </c>
      <c r="P468" s="25">
        <f>SUMIFS(df_ajustes_conciliaco!D:D,df_ajustes_conciliaco!C:C,Conciliacao!A468)</f>
        <v/>
      </c>
      <c r="Q468" s="22">
        <f>O468+I468-P468</f>
        <v/>
      </c>
    </row>
    <row r="469">
      <c r="A469" s="5">
        <f>A468+1</f>
        <v/>
      </c>
      <c r="B469" s="3">
        <f>-SUMIFS(df_extrato_zig!G:G,df_extrato_zig!E:E,Conciliacao!A469,df_extrato_zig!D:D,"Saque")-SUMIFS(df_extrato_zig!G:G,df_extrato_zig!E:E,Conciliacao!A469,df_extrato_zig!D:D,"Antecipação")</f>
        <v/>
      </c>
      <c r="C469" s="3">
        <f>SUMIFS(df_extrato_zig!E:E,df_extrato_zig!L:L,Conciliacao!A469,df_extrato_zig!F:F,"DINHEIRO")</f>
        <v/>
      </c>
      <c r="D469" s="3">
        <f>SUMIFS(view_parc_agrup!H:H,view_parc_agrup!G:G,Conciliacao!A469)</f>
        <v/>
      </c>
      <c r="E469" s="3">
        <f>SUMIFS(df_eventos!F:F,df_eventos!H:H,Conciliacao!A469)</f>
        <v/>
      </c>
      <c r="F469" s="3">
        <f>SUMIFS(df_mutuos!M:M,df_mutuos!B:B,Conciliacao!A469)</f>
        <v/>
      </c>
      <c r="G469" s="6">
        <f>SUMIFS(df_bloqueios_judiciais!G:G,df_bloqueios_judiciais!D:D,Conciliacao!A469,df_bloqueios_judiciais!G:G,"&gt;0")</f>
        <v/>
      </c>
      <c r="H469" s="7">
        <f>SUMIFS(df_extratos!I:I,df_extratos!F:F,"&gt;="&amp;Conciliacao!BE469,df_extratos!F:F,"&lt;"&amp;Conciliacao!BE469+1,df_extratos!G:G,"CREDITO")
+SUMIFS(df_extratos!I:I,df_extratos!F:F,"&gt;="&amp;Conciliacao!A469, df_extratos!F:F,"&lt;"&amp;Conciliacao!A469+1, df_extratos!G:G,"CREDITO")
+SUMIFS(df_extratos!I:I,df_extratos!F:F,"&gt;="&amp;Conciliacao!BF469,df_extratos!F:F,"&lt;"&amp;Conciliacao!BF469+1,df_extratos!G:G,"CREDITO")
+SUMIFS(df_extratos!I:I,df_extratos!F:F,"&gt;="&amp;Conciliacao!BG469,df_extratos!F:F,"&lt;"&amp;Conciliacao!BG469+1,df_extratos!G:G,"CREDITO")
+SUMIFS(df_extratos!I:I,df_extratos!F:F,"&gt;="&amp;Conciliacao!BH469,df_extratos!F:F,"&lt;"&amp;Conciliacao!BH469+1,df_extratos!G:G,"CREDITO")</f>
        <v/>
      </c>
      <c r="I469" s="9">
        <f>H469-SUM(B469:G469)</f>
        <v/>
      </c>
      <c r="J469" s="4">
        <f>SUMIFS(df_blueme_sem_parcelamento!E:E,df_blueme_sem_parcelamento!H:H,Conciliacao!A469)*(-1)</f>
        <v/>
      </c>
      <c r="K469" s="4">
        <f>SUMIFS(df_blueme_com_parcelamento!J:J,df_blueme_com_parcelamento!M:M,Conciliacao!A469)*(-1)</f>
        <v/>
      </c>
      <c r="L469" s="4">
        <f>SUMIFS(df_mutuos!N:N,df_mutuos!B:B,Conciliacao!A469)*(-1)</f>
        <v/>
      </c>
      <c r="M469" s="8">
        <f>SUMIFS(df_bloqueios_judiciais!G:G,df_bloqueios_judiciais!D:D,Conciliacao!A469,df_bloqueios_judiciais!G:G,"&lt;0")</f>
        <v/>
      </c>
      <c r="N469" s="10">
        <f>SUMIFS(df_extratos!I:I,df_extratos!F:F,"&gt;="&amp;Conciliacao!BE469,df_extratos!F:F,"&lt;"&amp;Conciliacao!BE469+1,df_extratos!G:G,"DEBITO")
+SUMIFS(df_extratos!I:I,df_extratos!F:F,"&gt;="&amp;Conciliacao!A469, df_extratos!F:F,"&lt;"&amp;Conciliacao!A469+1, df_extratos!G:G,"DEBITO")
+SUMIFS(df_extratos!I:I,df_extratos!F:F,"&gt;="&amp;Conciliacao!BF469,df_extratos!F:F,"&lt;"&amp;Conciliacao!BF469+1,df_extratos!G:G,"DEBITO")
+SUMIFS(df_extratos!I:I,df_extratos!F:F,"&gt;="&amp;Conciliacao!BG469,df_extratos!F:F,"&lt;"&amp;Conciliacao!BG469+1,df_extratos!G:G,"DEBITO")
+SUMIFS(df_extratos!I:I,df_extratos!F:F,"&gt;="&amp;Conciliacao!BH469,df_extratos!F:F,"&lt;"&amp;Conciliacao!BH469+1,df_extratos!G:G,"DEBITO")</f>
        <v/>
      </c>
      <c r="O469" s="11">
        <f>N469-SUM(J469:M469)</f>
        <v/>
      </c>
      <c r="P469" s="25">
        <f>SUMIFS(df_ajustes_conciliaco!D:D,df_ajustes_conciliaco!C:C,Conciliacao!A469)</f>
        <v/>
      </c>
      <c r="Q469" s="22">
        <f>O469+I469-P469</f>
        <v/>
      </c>
    </row>
    <row r="470">
      <c r="A470" s="5">
        <f>A469+1</f>
        <v/>
      </c>
      <c r="B470" s="3">
        <f>-SUMIFS(df_extrato_zig!G:G,df_extrato_zig!E:E,Conciliacao!A470,df_extrato_zig!D:D,"Saque")-SUMIFS(df_extrato_zig!G:G,df_extrato_zig!E:E,Conciliacao!A470,df_extrato_zig!D:D,"Antecipação")</f>
        <v/>
      </c>
      <c r="C470" s="3">
        <f>SUMIFS(df_extrato_zig!E:E,df_extrato_zig!L:L,Conciliacao!A470,df_extrato_zig!F:F,"DINHEIRO")</f>
        <v/>
      </c>
      <c r="D470" s="3">
        <f>SUMIFS(view_parc_agrup!H:H,view_parc_agrup!G:G,Conciliacao!A470)</f>
        <v/>
      </c>
      <c r="E470" s="3">
        <f>SUMIFS(df_eventos!F:F,df_eventos!H:H,Conciliacao!A470)</f>
        <v/>
      </c>
      <c r="F470" s="3">
        <f>SUMIFS(df_mutuos!M:M,df_mutuos!B:B,Conciliacao!A470)</f>
        <v/>
      </c>
      <c r="G470" s="6">
        <f>SUMIFS(df_bloqueios_judiciais!G:G,df_bloqueios_judiciais!D:D,Conciliacao!A470,df_bloqueios_judiciais!G:G,"&gt;0")</f>
        <v/>
      </c>
      <c r="H470" s="7">
        <f>SUMIFS(df_extratos!I:I,df_extratos!F:F,"&gt;="&amp;Conciliacao!BE470,df_extratos!F:F,"&lt;"&amp;Conciliacao!BE470+1,df_extratos!G:G,"CREDITO")
+SUMIFS(df_extratos!I:I,df_extratos!F:F,"&gt;="&amp;Conciliacao!A470, df_extratos!F:F,"&lt;"&amp;Conciliacao!A470+1, df_extratos!G:G,"CREDITO")
+SUMIFS(df_extratos!I:I,df_extratos!F:F,"&gt;="&amp;Conciliacao!BF470,df_extratos!F:F,"&lt;"&amp;Conciliacao!BF470+1,df_extratos!G:G,"CREDITO")
+SUMIFS(df_extratos!I:I,df_extratos!F:F,"&gt;="&amp;Conciliacao!BG470,df_extratos!F:F,"&lt;"&amp;Conciliacao!BG470+1,df_extratos!G:G,"CREDITO")
+SUMIFS(df_extratos!I:I,df_extratos!F:F,"&gt;="&amp;Conciliacao!BH470,df_extratos!F:F,"&lt;"&amp;Conciliacao!BH470+1,df_extratos!G:G,"CREDITO")</f>
        <v/>
      </c>
      <c r="I470" s="9">
        <f>H470-SUM(B470:G470)</f>
        <v/>
      </c>
      <c r="J470" s="4">
        <f>SUMIFS(df_blueme_sem_parcelamento!E:E,df_blueme_sem_parcelamento!H:H,Conciliacao!A470)*(-1)</f>
        <v/>
      </c>
      <c r="K470" s="4">
        <f>SUMIFS(df_blueme_com_parcelamento!J:J,df_blueme_com_parcelamento!M:M,Conciliacao!A470)*(-1)</f>
        <v/>
      </c>
      <c r="L470" s="4">
        <f>SUMIFS(df_mutuos!N:N,df_mutuos!B:B,Conciliacao!A470)*(-1)</f>
        <v/>
      </c>
      <c r="M470" s="8">
        <f>SUMIFS(df_bloqueios_judiciais!G:G,df_bloqueios_judiciais!D:D,Conciliacao!A470,df_bloqueios_judiciais!G:G,"&lt;0")</f>
        <v/>
      </c>
      <c r="N470" s="10">
        <f>SUMIFS(df_extratos!I:I,df_extratos!F:F,"&gt;="&amp;Conciliacao!BE470,df_extratos!F:F,"&lt;"&amp;Conciliacao!BE470+1,df_extratos!G:G,"DEBITO")
+SUMIFS(df_extratos!I:I,df_extratos!F:F,"&gt;="&amp;Conciliacao!A470, df_extratos!F:F,"&lt;"&amp;Conciliacao!A470+1, df_extratos!G:G,"DEBITO")
+SUMIFS(df_extratos!I:I,df_extratos!F:F,"&gt;="&amp;Conciliacao!BF470,df_extratos!F:F,"&lt;"&amp;Conciliacao!BF470+1,df_extratos!G:G,"DEBITO")
+SUMIFS(df_extratos!I:I,df_extratos!F:F,"&gt;="&amp;Conciliacao!BG470,df_extratos!F:F,"&lt;"&amp;Conciliacao!BG470+1,df_extratos!G:G,"DEBITO")
+SUMIFS(df_extratos!I:I,df_extratos!F:F,"&gt;="&amp;Conciliacao!BH470,df_extratos!F:F,"&lt;"&amp;Conciliacao!BH470+1,df_extratos!G:G,"DEBITO")</f>
        <v/>
      </c>
      <c r="O470" s="11">
        <f>N470-SUM(J470:M470)</f>
        <v/>
      </c>
      <c r="P470" s="25">
        <f>SUMIFS(df_ajustes_conciliaco!D:D,df_ajustes_conciliaco!C:C,Conciliacao!A470)</f>
        <v/>
      </c>
      <c r="Q470" s="22">
        <f>O470+I470-P470</f>
        <v/>
      </c>
    </row>
    <row r="471">
      <c r="A471" s="5">
        <f>A470+1</f>
        <v/>
      </c>
      <c r="B471" s="3">
        <f>-SUMIFS(df_extrato_zig!G:G,df_extrato_zig!E:E,Conciliacao!A471,df_extrato_zig!D:D,"Saque")-SUMIFS(df_extrato_zig!G:G,df_extrato_zig!E:E,Conciliacao!A471,df_extrato_zig!D:D,"Antecipação")</f>
        <v/>
      </c>
      <c r="C471" s="3">
        <f>SUMIFS(df_extrato_zig!E:E,df_extrato_zig!L:L,Conciliacao!A471,df_extrato_zig!F:F,"DINHEIRO")</f>
        <v/>
      </c>
      <c r="D471" s="3">
        <f>SUMIFS(view_parc_agrup!H:H,view_parc_agrup!G:G,Conciliacao!A471)</f>
        <v/>
      </c>
      <c r="E471" s="3">
        <f>SUMIFS(df_eventos!F:F,df_eventos!H:H,Conciliacao!A471)</f>
        <v/>
      </c>
      <c r="F471" s="3">
        <f>SUMIFS(df_mutuos!M:M,df_mutuos!B:B,Conciliacao!A471)</f>
        <v/>
      </c>
      <c r="G471" s="6">
        <f>SUMIFS(df_bloqueios_judiciais!G:G,df_bloqueios_judiciais!D:D,Conciliacao!A471,df_bloqueios_judiciais!G:G,"&gt;0")</f>
        <v/>
      </c>
      <c r="H471" s="7">
        <f>SUMIFS(df_extratos!I:I,df_extratos!F:F,"&gt;="&amp;Conciliacao!BE471,df_extratos!F:F,"&lt;"&amp;Conciliacao!BE471+1,df_extratos!G:G,"CREDITO")
+SUMIFS(df_extratos!I:I,df_extratos!F:F,"&gt;="&amp;Conciliacao!A471, df_extratos!F:F,"&lt;"&amp;Conciliacao!A471+1, df_extratos!G:G,"CREDITO")
+SUMIFS(df_extratos!I:I,df_extratos!F:F,"&gt;="&amp;Conciliacao!BF471,df_extratos!F:F,"&lt;"&amp;Conciliacao!BF471+1,df_extratos!G:G,"CREDITO")
+SUMIFS(df_extratos!I:I,df_extratos!F:F,"&gt;="&amp;Conciliacao!BG471,df_extratos!F:F,"&lt;"&amp;Conciliacao!BG471+1,df_extratos!G:G,"CREDITO")
+SUMIFS(df_extratos!I:I,df_extratos!F:F,"&gt;="&amp;Conciliacao!BH471,df_extratos!F:F,"&lt;"&amp;Conciliacao!BH471+1,df_extratos!G:G,"CREDITO")</f>
        <v/>
      </c>
      <c r="I471" s="9">
        <f>H471-SUM(B471:G471)</f>
        <v/>
      </c>
      <c r="J471" s="4">
        <f>SUMIFS(df_blueme_sem_parcelamento!E:E,df_blueme_sem_parcelamento!H:H,Conciliacao!A471)*(-1)</f>
        <v/>
      </c>
      <c r="K471" s="4">
        <f>SUMIFS(df_blueme_com_parcelamento!J:J,df_blueme_com_parcelamento!M:M,Conciliacao!A471)*(-1)</f>
        <v/>
      </c>
      <c r="L471" s="4">
        <f>SUMIFS(df_mutuos!N:N,df_mutuos!B:B,Conciliacao!A471)*(-1)</f>
        <v/>
      </c>
      <c r="M471" s="8">
        <f>SUMIFS(df_bloqueios_judiciais!G:G,df_bloqueios_judiciais!D:D,Conciliacao!A471,df_bloqueios_judiciais!G:G,"&lt;0")</f>
        <v/>
      </c>
      <c r="N471" s="10">
        <f>SUMIFS(df_extratos!I:I,df_extratos!F:F,"&gt;="&amp;Conciliacao!BE471,df_extratos!F:F,"&lt;"&amp;Conciliacao!BE471+1,df_extratos!G:G,"DEBITO")
+SUMIFS(df_extratos!I:I,df_extratos!F:F,"&gt;="&amp;Conciliacao!A471, df_extratos!F:F,"&lt;"&amp;Conciliacao!A471+1, df_extratos!G:G,"DEBITO")
+SUMIFS(df_extratos!I:I,df_extratos!F:F,"&gt;="&amp;Conciliacao!BF471,df_extratos!F:F,"&lt;"&amp;Conciliacao!BF471+1,df_extratos!G:G,"DEBITO")
+SUMIFS(df_extratos!I:I,df_extratos!F:F,"&gt;="&amp;Conciliacao!BG471,df_extratos!F:F,"&lt;"&amp;Conciliacao!BG471+1,df_extratos!G:G,"DEBITO")
+SUMIFS(df_extratos!I:I,df_extratos!F:F,"&gt;="&amp;Conciliacao!BH471,df_extratos!F:F,"&lt;"&amp;Conciliacao!BH471+1,df_extratos!G:G,"DEBITO")</f>
        <v/>
      </c>
      <c r="O471" s="11">
        <f>N471-SUM(J471:M471)</f>
        <v/>
      </c>
      <c r="P471" s="25">
        <f>SUMIFS(df_ajustes_conciliaco!D:D,df_ajustes_conciliaco!C:C,Conciliacao!A471)</f>
        <v/>
      </c>
      <c r="Q471" s="22">
        <f>O471+I471-P471</f>
        <v/>
      </c>
    </row>
    <row r="472">
      <c r="A472" s="5">
        <f>A471+1</f>
        <v/>
      </c>
      <c r="B472" s="3">
        <f>-SUMIFS(df_extrato_zig!G:G,df_extrato_zig!E:E,Conciliacao!A472,df_extrato_zig!D:D,"Saque")-SUMIFS(df_extrato_zig!G:G,df_extrato_zig!E:E,Conciliacao!A472,df_extrato_zig!D:D,"Antecipação")</f>
        <v/>
      </c>
      <c r="C472" s="3">
        <f>SUMIFS(df_extrato_zig!E:E,df_extrato_zig!L:L,Conciliacao!A472,df_extrato_zig!F:F,"DINHEIRO")</f>
        <v/>
      </c>
      <c r="D472" s="3">
        <f>SUMIFS(view_parc_agrup!H:H,view_parc_agrup!G:G,Conciliacao!A472)</f>
        <v/>
      </c>
      <c r="E472" s="3">
        <f>SUMIFS(df_eventos!F:F,df_eventos!H:H,Conciliacao!A472)</f>
        <v/>
      </c>
      <c r="F472" s="3">
        <f>SUMIFS(df_mutuos!M:M,df_mutuos!B:B,Conciliacao!A472)</f>
        <v/>
      </c>
      <c r="G472" s="6">
        <f>SUMIFS(df_bloqueios_judiciais!G:G,df_bloqueios_judiciais!D:D,Conciliacao!A472,df_bloqueios_judiciais!G:G,"&gt;0")</f>
        <v/>
      </c>
      <c r="H472" s="7">
        <f>SUMIFS(df_extratos!I:I,df_extratos!F:F,"&gt;="&amp;Conciliacao!BE472,df_extratos!F:F,"&lt;"&amp;Conciliacao!BE472+1,df_extratos!G:G,"CREDITO")
+SUMIFS(df_extratos!I:I,df_extratos!F:F,"&gt;="&amp;Conciliacao!A472, df_extratos!F:F,"&lt;"&amp;Conciliacao!A472+1, df_extratos!G:G,"CREDITO")
+SUMIFS(df_extratos!I:I,df_extratos!F:F,"&gt;="&amp;Conciliacao!BF472,df_extratos!F:F,"&lt;"&amp;Conciliacao!BF472+1,df_extratos!G:G,"CREDITO")
+SUMIFS(df_extratos!I:I,df_extratos!F:F,"&gt;="&amp;Conciliacao!BG472,df_extratos!F:F,"&lt;"&amp;Conciliacao!BG472+1,df_extratos!G:G,"CREDITO")
+SUMIFS(df_extratos!I:I,df_extratos!F:F,"&gt;="&amp;Conciliacao!BH472,df_extratos!F:F,"&lt;"&amp;Conciliacao!BH472+1,df_extratos!G:G,"CREDITO")</f>
        <v/>
      </c>
      <c r="I472" s="9">
        <f>H472-SUM(B472:G472)</f>
        <v/>
      </c>
      <c r="J472" s="4">
        <f>SUMIFS(df_blueme_sem_parcelamento!E:E,df_blueme_sem_parcelamento!H:H,Conciliacao!A472)*(-1)</f>
        <v/>
      </c>
      <c r="K472" s="4">
        <f>SUMIFS(df_blueme_com_parcelamento!J:J,df_blueme_com_parcelamento!M:M,Conciliacao!A472)*(-1)</f>
        <v/>
      </c>
      <c r="L472" s="4">
        <f>SUMIFS(df_mutuos!N:N,df_mutuos!B:B,Conciliacao!A472)*(-1)</f>
        <v/>
      </c>
      <c r="M472" s="8">
        <f>SUMIFS(df_bloqueios_judiciais!G:G,df_bloqueios_judiciais!D:D,Conciliacao!A472,df_bloqueios_judiciais!G:G,"&lt;0")</f>
        <v/>
      </c>
      <c r="N472" s="10">
        <f>SUMIFS(df_extratos!I:I,df_extratos!F:F,"&gt;="&amp;Conciliacao!BE472,df_extratos!F:F,"&lt;"&amp;Conciliacao!BE472+1,df_extratos!G:G,"DEBITO")
+SUMIFS(df_extratos!I:I,df_extratos!F:F,"&gt;="&amp;Conciliacao!A472, df_extratos!F:F,"&lt;"&amp;Conciliacao!A472+1, df_extratos!G:G,"DEBITO")
+SUMIFS(df_extratos!I:I,df_extratos!F:F,"&gt;="&amp;Conciliacao!BF472,df_extratos!F:F,"&lt;"&amp;Conciliacao!BF472+1,df_extratos!G:G,"DEBITO")
+SUMIFS(df_extratos!I:I,df_extratos!F:F,"&gt;="&amp;Conciliacao!BG472,df_extratos!F:F,"&lt;"&amp;Conciliacao!BG472+1,df_extratos!G:G,"DEBITO")
+SUMIFS(df_extratos!I:I,df_extratos!F:F,"&gt;="&amp;Conciliacao!BH472,df_extratos!F:F,"&lt;"&amp;Conciliacao!BH472+1,df_extratos!G:G,"DEBITO")</f>
        <v/>
      </c>
      <c r="O472" s="11">
        <f>N472-SUM(J472:M472)</f>
        <v/>
      </c>
      <c r="P472" s="25">
        <f>SUMIFS(df_ajustes_conciliaco!D:D,df_ajustes_conciliaco!C:C,Conciliacao!A472)</f>
        <v/>
      </c>
      <c r="Q472" s="22">
        <f>O472+I472-P472</f>
        <v/>
      </c>
    </row>
    <row r="473">
      <c r="A473" s="5">
        <f>A472+1</f>
        <v/>
      </c>
      <c r="B473" s="3">
        <f>-SUMIFS(df_extrato_zig!G:G,df_extrato_zig!E:E,Conciliacao!A473,df_extrato_zig!D:D,"Saque")-SUMIFS(df_extrato_zig!G:G,df_extrato_zig!E:E,Conciliacao!A473,df_extrato_zig!D:D,"Antecipação")</f>
        <v/>
      </c>
      <c r="C473" s="3">
        <f>SUMIFS(df_extrato_zig!E:E,df_extrato_zig!L:L,Conciliacao!A473,df_extrato_zig!F:F,"DINHEIRO")</f>
        <v/>
      </c>
      <c r="D473" s="3">
        <f>SUMIFS(view_parc_agrup!H:H,view_parc_agrup!G:G,Conciliacao!A473)</f>
        <v/>
      </c>
      <c r="E473" s="3">
        <f>SUMIFS(df_eventos!F:F,df_eventos!H:H,Conciliacao!A473)</f>
        <v/>
      </c>
      <c r="F473" s="3">
        <f>SUMIFS(df_mutuos!M:M,df_mutuos!B:B,Conciliacao!A473)</f>
        <v/>
      </c>
      <c r="G473" s="6">
        <f>SUMIFS(df_bloqueios_judiciais!G:G,df_bloqueios_judiciais!D:D,Conciliacao!A473,df_bloqueios_judiciais!G:G,"&gt;0")</f>
        <v/>
      </c>
      <c r="H473" s="7">
        <f>SUMIFS(df_extratos!I:I,df_extratos!F:F,"&gt;="&amp;Conciliacao!BE473,df_extratos!F:F,"&lt;"&amp;Conciliacao!BE473+1,df_extratos!G:G,"CREDITO")
+SUMIFS(df_extratos!I:I,df_extratos!F:F,"&gt;="&amp;Conciliacao!A473, df_extratos!F:F,"&lt;"&amp;Conciliacao!A473+1, df_extratos!G:G,"CREDITO")
+SUMIFS(df_extratos!I:I,df_extratos!F:F,"&gt;="&amp;Conciliacao!BF473,df_extratos!F:F,"&lt;"&amp;Conciliacao!BF473+1,df_extratos!G:G,"CREDITO")
+SUMIFS(df_extratos!I:I,df_extratos!F:F,"&gt;="&amp;Conciliacao!BG473,df_extratos!F:F,"&lt;"&amp;Conciliacao!BG473+1,df_extratos!G:G,"CREDITO")
+SUMIFS(df_extratos!I:I,df_extratos!F:F,"&gt;="&amp;Conciliacao!BH473,df_extratos!F:F,"&lt;"&amp;Conciliacao!BH473+1,df_extratos!G:G,"CREDITO")</f>
        <v/>
      </c>
      <c r="I473" s="9">
        <f>H473-SUM(B473:G473)</f>
        <v/>
      </c>
      <c r="J473" s="4">
        <f>SUMIFS(df_blueme_sem_parcelamento!E:E,df_blueme_sem_parcelamento!H:H,Conciliacao!A473)*(-1)</f>
        <v/>
      </c>
      <c r="K473" s="4">
        <f>SUMIFS(df_blueme_com_parcelamento!J:J,df_blueme_com_parcelamento!M:M,Conciliacao!A473)*(-1)</f>
        <v/>
      </c>
      <c r="L473" s="4">
        <f>SUMIFS(df_mutuos!N:N,df_mutuos!B:B,Conciliacao!A473)*(-1)</f>
        <v/>
      </c>
      <c r="M473" s="8">
        <f>SUMIFS(df_bloqueios_judiciais!G:G,df_bloqueios_judiciais!D:D,Conciliacao!A473,df_bloqueios_judiciais!G:G,"&lt;0")</f>
        <v/>
      </c>
      <c r="N473" s="10">
        <f>SUMIFS(df_extratos!I:I,df_extratos!F:F,"&gt;="&amp;Conciliacao!BE473,df_extratos!F:F,"&lt;"&amp;Conciliacao!BE473+1,df_extratos!G:G,"DEBITO")
+SUMIFS(df_extratos!I:I,df_extratos!F:F,"&gt;="&amp;Conciliacao!A473, df_extratos!F:F,"&lt;"&amp;Conciliacao!A473+1, df_extratos!G:G,"DEBITO")
+SUMIFS(df_extratos!I:I,df_extratos!F:F,"&gt;="&amp;Conciliacao!BF473,df_extratos!F:F,"&lt;"&amp;Conciliacao!BF473+1,df_extratos!G:G,"DEBITO")
+SUMIFS(df_extratos!I:I,df_extratos!F:F,"&gt;="&amp;Conciliacao!BG473,df_extratos!F:F,"&lt;"&amp;Conciliacao!BG473+1,df_extratos!G:G,"DEBITO")
+SUMIFS(df_extratos!I:I,df_extratos!F:F,"&gt;="&amp;Conciliacao!BH473,df_extratos!F:F,"&lt;"&amp;Conciliacao!BH473+1,df_extratos!G:G,"DEBITO")</f>
        <v/>
      </c>
      <c r="O473" s="11">
        <f>N473-SUM(J473:M473)</f>
        <v/>
      </c>
      <c r="P473" s="25">
        <f>SUMIFS(df_ajustes_conciliaco!D:D,df_ajustes_conciliaco!C:C,Conciliacao!A473)</f>
        <v/>
      </c>
      <c r="Q473" s="22">
        <f>O473+I473-P473</f>
        <v/>
      </c>
    </row>
    <row r="474">
      <c r="A474" s="5">
        <f>A473+1</f>
        <v/>
      </c>
      <c r="B474" s="3">
        <f>-SUMIFS(df_extrato_zig!G:G,df_extrato_zig!E:E,Conciliacao!A474,df_extrato_zig!D:D,"Saque")-SUMIFS(df_extrato_zig!G:G,df_extrato_zig!E:E,Conciliacao!A474,df_extrato_zig!D:D,"Antecipação")</f>
        <v/>
      </c>
      <c r="C474" s="3">
        <f>SUMIFS(df_extrato_zig!E:E,df_extrato_zig!L:L,Conciliacao!A474,df_extrato_zig!F:F,"DINHEIRO")</f>
        <v/>
      </c>
      <c r="D474" s="3">
        <f>SUMIFS(view_parc_agrup!H:H,view_parc_agrup!G:G,Conciliacao!A474)</f>
        <v/>
      </c>
      <c r="E474" s="3">
        <f>SUMIFS(df_eventos!F:F,df_eventos!H:H,Conciliacao!A474)</f>
        <v/>
      </c>
      <c r="F474" s="3">
        <f>SUMIFS(df_mutuos!M:M,df_mutuos!B:B,Conciliacao!A474)</f>
        <v/>
      </c>
      <c r="G474" s="6">
        <f>SUMIFS(df_bloqueios_judiciais!G:G,df_bloqueios_judiciais!D:D,Conciliacao!A474,df_bloqueios_judiciais!G:G,"&gt;0")</f>
        <v/>
      </c>
      <c r="H474" s="7">
        <f>SUMIFS(df_extratos!I:I,df_extratos!F:F,"&gt;="&amp;Conciliacao!BE474,df_extratos!F:F,"&lt;"&amp;Conciliacao!BE474+1,df_extratos!G:G,"CREDITO")
+SUMIFS(df_extratos!I:I,df_extratos!F:F,"&gt;="&amp;Conciliacao!A474, df_extratos!F:F,"&lt;"&amp;Conciliacao!A474+1, df_extratos!G:G,"CREDITO")
+SUMIFS(df_extratos!I:I,df_extratos!F:F,"&gt;="&amp;Conciliacao!BF474,df_extratos!F:F,"&lt;"&amp;Conciliacao!BF474+1,df_extratos!G:G,"CREDITO")
+SUMIFS(df_extratos!I:I,df_extratos!F:F,"&gt;="&amp;Conciliacao!BG474,df_extratos!F:F,"&lt;"&amp;Conciliacao!BG474+1,df_extratos!G:G,"CREDITO")
+SUMIFS(df_extratos!I:I,df_extratos!F:F,"&gt;="&amp;Conciliacao!BH474,df_extratos!F:F,"&lt;"&amp;Conciliacao!BH474+1,df_extratos!G:G,"CREDITO")</f>
        <v/>
      </c>
      <c r="I474" s="9">
        <f>H474-SUM(B474:G474)</f>
        <v/>
      </c>
      <c r="J474" s="4">
        <f>SUMIFS(df_blueme_sem_parcelamento!E:E,df_blueme_sem_parcelamento!H:H,Conciliacao!A474)*(-1)</f>
        <v/>
      </c>
      <c r="K474" s="4">
        <f>SUMIFS(df_blueme_com_parcelamento!J:J,df_blueme_com_parcelamento!M:M,Conciliacao!A474)*(-1)</f>
        <v/>
      </c>
      <c r="L474" s="4">
        <f>SUMIFS(df_mutuos!N:N,df_mutuos!B:B,Conciliacao!A474)*(-1)</f>
        <v/>
      </c>
      <c r="M474" s="8">
        <f>SUMIFS(df_bloqueios_judiciais!G:G,df_bloqueios_judiciais!D:D,Conciliacao!A474,df_bloqueios_judiciais!G:G,"&lt;0")</f>
        <v/>
      </c>
      <c r="N474" s="10">
        <f>SUMIFS(df_extratos!I:I,df_extratos!F:F,"&gt;="&amp;Conciliacao!BE474,df_extratos!F:F,"&lt;"&amp;Conciliacao!BE474+1,df_extratos!G:G,"DEBITO")
+SUMIFS(df_extratos!I:I,df_extratos!F:F,"&gt;="&amp;Conciliacao!A474, df_extratos!F:F,"&lt;"&amp;Conciliacao!A474+1, df_extratos!G:G,"DEBITO")
+SUMIFS(df_extratos!I:I,df_extratos!F:F,"&gt;="&amp;Conciliacao!BF474,df_extratos!F:F,"&lt;"&amp;Conciliacao!BF474+1,df_extratos!G:G,"DEBITO")
+SUMIFS(df_extratos!I:I,df_extratos!F:F,"&gt;="&amp;Conciliacao!BG474,df_extratos!F:F,"&lt;"&amp;Conciliacao!BG474+1,df_extratos!G:G,"DEBITO")
+SUMIFS(df_extratos!I:I,df_extratos!F:F,"&gt;="&amp;Conciliacao!BH474,df_extratos!F:F,"&lt;"&amp;Conciliacao!BH474+1,df_extratos!G:G,"DEBITO")</f>
        <v/>
      </c>
      <c r="O474" s="11">
        <f>N474-SUM(J474:M474)</f>
        <v/>
      </c>
      <c r="P474" s="25">
        <f>SUMIFS(df_ajustes_conciliaco!D:D,df_ajustes_conciliaco!C:C,Conciliacao!A474)</f>
        <v/>
      </c>
      <c r="Q474" s="22">
        <f>O474+I474-P474</f>
        <v/>
      </c>
    </row>
    <row r="475">
      <c r="A475" s="5">
        <f>A474+1</f>
        <v/>
      </c>
      <c r="B475" s="3">
        <f>-SUMIFS(df_extrato_zig!G:G,df_extrato_zig!E:E,Conciliacao!A475,df_extrato_zig!D:D,"Saque")-SUMIFS(df_extrato_zig!G:G,df_extrato_zig!E:E,Conciliacao!A475,df_extrato_zig!D:D,"Antecipação")</f>
        <v/>
      </c>
      <c r="C475" s="3">
        <f>SUMIFS(df_extrato_zig!E:E,df_extrato_zig!L:L,Conciliacao!A475,df_extrato_zig!F:F,"DINHEIRO")</f>
        <v/>
      </c>
      <c r="D475" s="3">
        <f>SUMIFS(view_parc_agrup!H:H,view_parc_agrup!G:G,Conciliacao!A475)</f>
        <v/>
      </c>
      <c r="E475" s="3">
        <f>SUMIFS(df_eventos!F:F,df_eventos!H:H,Conciliacao!A475)</f>
        <v/>
      </c>
      <c r="F475" s="3">
        <f>SUMIFS(df_mutuos!M:M,df_mutuos!B:B,Conciliacao!A475)</f>
        <v/>
      </c>
      <c r="G475" s="6">
        <f>SUMIFS(df_bloqueios_judiciais!G:G,df_bloqueios_judiciais!D:D,Conciliacao!A475,df_bloqueios_judiciais!G:G,"&gt;0")</f>
        <v/>
      </c>
      <c r="H475" s="7">
        <f>SUMIFS(df_extratos!I:I,df_extratos!F:F,"&gt;="&amp;Conciliacao!BE475,df_extratos!F:F,"&lt;"&amp;Conciliacao!BE475+1,df_extratos!G:G,"CREDITO")
+SUMIFS(df_extratos!I:I,df_extratos!F:F,"&gt;="&amp;Conciliacao!A475, df_extratos!F:F,"&lt;"&amp;Conciliacao!A475+1, df_extratos!G:G,"CREDITO")
+SUMIFS(df_extratos!I:I,df_extratos!F:F,"&gt;="&amp;Conciliacao!BF475,df_extratos!F:F,"&lt;"&amp;Conciliacao!BF475+1,df_extratos!G:G,"CREDITO")
+SUMIFS(df_extratos!I:I,df_extratos!F:F,"&gt;="&amp;Conciliacao!BG475,df_extratos!F:F,"&lt;"&amp;Conciliacao!BG475+1,df_extratos!G:G,"CREDITO")
+SUMIFS(df_extratos!I:I,df_extratos!F:F,"&gt;="&amp;Conciliacao!BH475,df_extratos!F:F,"&lt;"&amp;Conciliacao!BH475+1,df_extratos!G:G,"CREDITO")</f>
        <v/>
      </c>
      <c r="I475" s="9">
        <f>H475-SUM(B475:G475)</f>
        <v/>
      </c>
      <c r="J475" s="4">
        <f>SUMIFS(df_blueme_sem_parcelamento!E:E,df_blueme_sem_parcelamento!H:H,Conciliacao!A475)*(-1)</f>
        <v/>
      </c>
      <c r="K475" s="4">
        <f>SUMIFS(df_blueme_com_parcelamento!J:J,df_blueme_com_parcelamento!M:M,Conciliacao!A475)*(-1)</f>
        <v/>
      </c>
      <c r="L475" s="4">
        <f>SUMIFS(df_mutuos!N:N,df_mutuos!B:B,Conciliacao!A475)*(-1)</f>
        <v/>
      </c>
      <c r="M475" s="8">
        <f>SUMIFS(df_bloqueios_judiciais!G:G,df_bloqueios_judiciais!D:D,Conciliacao!A475,df_bloqueios_judiciais!G:G,"&lt;0")</f>
        <v/>
      </c>
      <c r="N475" s="10">
        <f>SUMIFS(df_extratos!I:I,df_extratos!F:F,"&gt;="&amp;Conciliacao!BE475,df_extratos!F:F,"&lt;"&amp;Conciliacao!BE475+1,df_extratos!G:G,"DEBITO")
+SUMIFS(df_extratos!I:I,df_extratos!F:F,"&gt;="&amp;Conciliacao!A475, df_extratos!F:F,"&lt;"&amp;Conciliacao!A475+1, df_extratos!G:G,"DEBITO")
+SUMIFS(df_extratos!I:I,df_extratos!F:F,"&gt;="&amp;Conciliacao!BF475,df_extratos!F:F,"&lt;"&amp;Conciliacao!BF475+1,df_extratos!G:G,"DEBITO")
+SUMIFS(df_extratos!I:I,df_extratos!F:F,"&gt;="&amp;Conciliacao!BG475,df_extratos!F:F,"&lt;"&amp;Conciliacao!BG475+1,df_extratos!G:G,"DEBITO")
+SUMIFS(df_extratos!I:I,df_extratos!F:F,"&gt;="&amp;Conciliacao!BH475,df_extratos!F:F,"&lt;"&amp;Conciliacao!BH475+1,df_extratos!G:G,"DEBITO")</f>
        <v/>
      </c>
      <c r="O475" s="11">
        <f>N475-SUM(J475:M475)</f>
        <v/>
      </c>
      <c r="P475" s="25">
        <f>SUMIFS(df_ajustes_conciliaco!D:D,df_ajustes_conciliaco!C:C,Conciliacao!A475)</f>
        <v/>
      </c>
      <c r="Q475" s="22">
        <f>O475+I475-P475</f>
        <v/>
      </c>
    </row>
    <row r="476">
      <c r="A476" s="5">
        <f>A475+1</f>
        <v/>
      </c>
      <c r="B476" s="3">
        <f>-SUMIFS(df_extrato_zig!G:G,df_extrato_zig!E:E,Conciliacao!A476,df_extrato_zig!D:D,"Saque")-SUMIFS(df_extrato_zig!G:G,df_extrato_zig!E:E,Conciliacao!A476,df_extrato_zig!D:D,"Antecipação")</f>
        <v/>
      </c>
      <c r="C476" s="3">
        <f>SUMIFS(df_extrato_zig!E:E,df_extrato_zig!L:L,Conciliacao!A476,df_extrato_zig!F:F,"DINHEIRO")</f>
        <v/>
      </c>
      <c r="D476" s="3">
        <f>SUMIFS(view_parc_agrup!H:H,view_parc_agrup!G:G,Conciliacao!A476)</f>
        <v/>
      </c>
      <c r="E476" s="3">
        <f>SUMIFS(df_eventos!F:F,df_eventos!H:H,Conciliacao!A476)</f>
        <v/>
      </c>
      <c r="F476" s="3">
        <f>SUMIFS(df_mutuos!M:M,df_mutuos!B:B,Conciliacao!A476)</f>
        <v/>
      </c>
      <c r="G476" s="6">
        <f>SUMIFS(df_bloqueios_judiciais!G:G,df_bloqueios_judiciais!D:D,Conciliacao!A476,df_bloqueios_judiciais!G:G,"&gt;0")</f>
        <v/>
      </c>
      <c r="H476" s="7">
        <f>SUMIFS(df_extratos!I:I,df_extratos!F:F,"&gt;="&amp;Conciliacao!BE476,df_extratos!F:F,"&lt;"&amp;Conciliacao!BE476+1,df_extratos!G:G,"CREDITO")
+SUMIFS(df_extratos!I:I,df_extratos!F:F,"&gt;="&amp;Conciliacao!A476, df_extratos!F:F,"&lt;"&amp;Conciliacao!A476+1, df_extratos!G:G,"CREDITO")
+SUMIFS(df_extratos!I:I,df_extratos!F:F,"&gt;="&amp;Conciliacao!BF476,df_extratos!F:F,"&lt;"&amp;Conciliacao!BF476+1,df_extratos!G:G,"CREDITO")
+SUMIFS(df_extratos!I:I,df_extratos!F:F,"&gt;="&amp;Conciliacao!BG476,df_extratos!F:F,"&lt;"&amp;Conciliacao!BG476+1,df_extratos!G:G,"CREDITO")
+SUMIFS(df_extratos!I:I,df_extratos!F:F,"&gt;="&amp;Conciliacao!BH476,df_extratos!F:F,"&lt;"&amp;Conciliacao!BH476+1,df_extratos!G:G,"CREDITO")</f>
        <v/>
      </c>
      <c r="I476" s="9">
        <f>H476-SUM(B476:G476)</f>
        <v/>
      </c>
      <c r="J476" s="4">
        <f>SUMIFS(df_blueme_sem_parcelamento!E:E,df_blueme_sem_parcelamento!H:H,Conciliacao!A476)*(-1)</f>
        <v/>
      </c>
      <c r="K476" s="4">
        <f>SUMIFS(df_blueme_com_parcelamento!J:J,df_blueme_com_parcelamento!M:M,Conciliacao!A476)*(-1)</f>
        <v/>
      </c>
      <c r="L476" s="4">
        <f>SUMIFS(df_mutuos!N:N,df_mutuos!B:B,Conciliacao!A476)*(-1)</f>
        <v/>
      </c>
      <c r="M476" s="8">
        <f>SUMIFS(df_bloqueios_judiciais!G:G,df_bloqueios_judiciais!D:D,Conciliacao!A476,df_bloqueios_judiciais!G:G,"&lt;0")</f>
        <v/>
      </c>
      <c r="N476" s="10">
        <f>SUMIFS(df_extratos!I:I,df_extratos!F:F,"&gt;="&amp;Conciliacao!BE476,df_extratos!F:F,"&lt;"&amp;Conciliacao!BE476+1,df_extratos!G:G,"DEBITO")
+SUMIFS(df_extratos!I:I,df_extratos!F:F,"&gt;="&amp;Conciliacao!A476, df_extratos!F:F,"&lt;"&amp;Conciliacao!A476+1, df_extratos!G:G,"DEBITO")
+SUMIFS(df_extratos!I:I,df_extratos!F:F,"&gt;="&amp;Conciliacao!BF476,df_extratos!F:F,"&lt;"&amp;Conciliacao!BF476+1,df_extratos!G:G,"DEBITO")
+SUMIFS(df_extratos!I:I,df_extratos!F:F,"&gt;="&amp;Conciliacao!BG476,df_extratos!F:F,"&lt;"&amp;Conciliacao!BG476+1,df_extratos!G:G,"DEBITO")
+SUMIFS(df_extratos!I:I,df_extratos!F:F,"&gt;="&amp;Conciliacao!BH476,df_extratos!F:F,"&lt;"&amp;Conciliacao!BH476+1,df_extratos!G:G,"DEBITO")</f>
        <v/>
      </c>
      <c r="O476" s="11">
        <f>N476-SUM(J476:M476)</f>
        <v/>
      </c>
      <c r="P476" s="25">
        <f>SUMIFS(df_ajustes_conciliaco!D:D,df_ajustes_conciliaco!C:C,Conciliacao!A476)</f>
        <v/>
      </c>
      <c r="Q476" s="22">
        <f>O476+I476-P476</f>
        <v/>
      </c>
    </row>
    <row r="477">
      <c r="A477" s="5">
        <f>A476+1</f>
        <v/>
      </c>
      <c r="B477" s="3">
        <f>-SUMIFS(df_extrato_zig!G:G,df_extrato_zig!E:E,Conciliacao!A477,df_extrato_zig!D:D,"Saque")-SUMIFS(df_extrato_zig!G:G,df_extrato_zig!E:E,Conciliacao!A477,df_extrato_zig!D:D,"Antecipação")</f>
        <v/>
      </c>
      <c r="C477" s="3">
        <f>SUMIFS(df_extrato_zig!E:E,df_extrato_zig!L:L,Conciliacao!A477,df_extrato_zig!F:F,"DINHEIRO")</f>
        <v/>
      </c>
      <c r="D477" s="3">
        <f>SUMIFS(view_parc_agrup!H:H,view_parc_agrup!G:G,Conciliacao!A477)</f>
        <v/>
      </c>
      <c r="E477" s="3">
        <f>SUMIFS(df_eventos!F:F,df_eventos!H:H,Conciliacao!A477)</f>
        <v/>
      </c>
      <c r="F477" s="3">
        <f>SUMIFS(df_mutuos!M:M,df_mutuos!B:B,Conciliacao!A477)</f>
        <v/>
      </c>
      <c r="G477" s="6">
        <f>SUMIFS(df_bloqueios_judiciais!G:G,df_bloqueios_judiciais!D:D,Conciliacao!A477,df_bloqueios_judiciais!G:G,"&gt;0")</f>
        <v/>
      </c>
      <c r="H477" s="7">
        <f>SUMIFS(df_extratos!I:I,df_extratos!F:F,"&gt;="&amp;Conciliacao!BE477,df_extratos!F:F,"&lt;"&amp;Conciliacao!BE477+1,df_extratos!G:G,"CREDITO")
+SUMIFS(df_extratos!I:I,df_extratos!F:F,"&gt;="&amp;Conciliacao!A477, df_extratos!F:F,"&lt;"&amp;Conciliacao!A477+1, df_extratos!G:G,"CREDITO")
+SUMIFS(df_extratos!I:I,df_extratos!F:F,"&gt;="&amp;Conciliacao!BF477,df_extratos!F:F,"&lt;"&amp;Conciliacao!BF477+1,df_extratos!G:G,"CREDITO")
+SUMIFS(df_extratos!I:I,df_extratos!F:F,"&gt;="&amp;Conciliacao!BG477,df_extratos!F:F,"&lt;"&amp;Conciliacao!BG477+1,df_extratos!G:G,"CREDITO")
+SUMIFS(df_extratos!I:I,df_extratos!F:F,"&gt;="&amp;Conciliacao!BH477,df_extratos!F:F,"&lt;"&amp;Conciliacao!BH477+1,df_extratos!G:G,"CREDITO")</f>
        <v/>
      </c>
      <c r="I477" s="9">
        <f>H477-SUM(B477:G477)</f>
        <v/>
      </c>
      <c r="J477" s="4">
        <f>SUMIFS(df_blueme_sem_parcelamento!E:E,df_blueme_sem_parcelamento!H:H,Conciliacao!A477)*(-1)</f>
        <v/>
      </c>
      <c r="K477" s="4">
        <f>SUMIFS(df_blueme_com_parcelamento!J:J,df_blueme_com_parcelamento!M:M,Conciliacao!A477)*(-1)</f>
        <v/>
      </c>
      <c r="L477" s="4">
        <f>SUMIFS(df_mutuos!N:N,df_mutuos!B:B,Conciliacao!A477)*(-1)</f>
        <v/>
      </c>
      <c r="M477" s="8">
        <f>SUMIFS(df_bloqueios_judiciais!G:G,df_bloqueios_judiciais!D:D,Conciliacao!A477,df_bloqueios_judiciais!G:G,"&lt;0")</f>
        <v/>
      </c>
      <c r="N477" s="10">
        <f>SUMIFS(df_extratos!I:I,df_extratos!F:F,"&gt;="&amp;Conciliacao!BE477,df_extratos!F:F,"&lt;"&amp;Conciliacao!BE477+1,df_extratos!G:G,"DEBITO")
+SUMIFS(df_extratos!I:I,df_extratos!F:F,"&gt;="&amp;Conciliacao!A477, df_extratos!F:F,"&lt;"&amp;Conciliacao!A477+1, df_extratos!G:G,"DEBITO")
+SUMIFS(df_extratos!I:I,df_extratos!F:F,"&gt;="&amp;Conciliacao!BF477,df_extratos!F:F,"&lt;"&amp;Conciliacao!BF477+1,df_extratos!G:G,"DEBITO")
+SUMIFS(df_extratos!I:I,df_extratos!F:F,"&gt;="&amp;Conciliacao!BG477,df_extratos!F:F,"&lt;"&amp;Conciliacao!BG477+1,df_extratos!G:G,"DEBITO")
+SUMIFS(df_extratos!I:I,df_extratos!F:F,"&gt;="&amp;Conciliacao!BH477,df_extratos!F:F,"&lt;"&amp;Conciliacao!BH477+1,df_extratos!G:G,"DEBITO")</f>
        <v/>
      </c>
      <c r="O477" s="11">
        <f>N477-SUM(J477:M477)</f>
        <v/>
      </c>
      <c r="P477" s="25">
        <f>SUMIFS(df_ajustes_conciliaco!D:D,df_ajustes_conciliaco!C:C,Conciliacao!A477)</f>
        <v/>
      </c>
      <c r="Q477" s="22">
        <f>O477+I477-P477</f>
        <v/>
      </c>
    </row>
    <row r="478">
      <c r="A478" s="5">
        <f>A477+1</f>
        <v/>
      </c>
      <c r="B478" s="3">
        <f>-SUMIFS(df_extrato_zig!G:G,df_extrato_zig!E:E,Conciliacao!A478,df_extrato_zig!D:D,"Saque")-SUMIFS(df_extrato_zig!G:G,df_extrato_zig!E:E,Conciliacao!A478,df_extrato_zig!D:D,"Antecipação")</f>
        <v/>
      </c>
      <c r="C478" s="3">
        <f>SUMIFS(df_extrato_zig!E:E,df_extrato_zig!L:L,Conciliacao!A478,df_extrato_zig!F:F,"DINHEIRO")</f>
        <v/>
      </c>
      <c r="D478" s="3">
        <f>SUMIFS(view_parc_agrup!H:H,view_parc_agrup!G:G,Conciliacao!A478)</f>
        <v/>
      </c>
      <c r="E478" s="3">
        <f>SUMIFS(df_eventos!F:F,df_eventos!H:H,Conciliacao!A478)</f>
        <v/>
      </c>
      <c r="F478" s="3">
        <f>SUMIFS(df_mutuos!M:M,df_mutuos!B:B,Conciliacao!A478)</f>
        <v/>
      </c>
      <c r="G478" s="6">
        <f>SUMIFS(df_bloqueios_judiciais!G:G,df_bloqueios_judiciais!D:D,Conciliacao!A478,df_bloqueios_judiciais!G:G,"&gt;0")</f>
        <v/>
      </c>
      <c r="H478" s="7">
        <f>SUMIFS(df_extratos!I:I,df_extratos!F:F,"&gt;="&amp;Conciliacao!BE478,df_extratos!F:F,"&lt;"&amp;Conciliacao!BE478+1,df_extratos!G:G,"CREDITO")
+SUMIFS(df_extratos!I:I,df_extratos!F:F,"&gt;="&amp;Conciliacao!A478, df_extratos!F:F,"&lt;"&amp;Conciliacao!A478+1, df_extratos!G:G,"CREDITO")
+SUMIFS(df_extratos!I:I,df_extratos!F:F,"&gt;="&amp;Conciliacao!BF478,df_extratos!F:F,"&lt;"&amp;Conciliacao!BF478+1,df_extratos!G:G,"CREDITO")
+SUMIFS(df_extratos!I:I,df_extratos!F:F,"&gt;="&amp;Conciliacao!BG478,df_extratos!F:F,"&lt;"&amp;Conciliacao!BG478+1,df_extratos!G:G,"CREDITO")
+SUMIFS(df_extratos!I:I,df_extratos!F:F,"&gt;="&amp;Conciliacao!BH478,df_extratos!F:F,"&lt;"&amp;Conciliacao!BH478+1,df_extratos!G:G,"CREDITO")</f>
        <v/>
      </c>
      <c r="I478" s="9">
        <f>H478-SUM(B478:G478)</f>
        <v/>
      </c>
      <c r="J478" s="4">
        <f>SUMIFS(df_blueme_sem_parcelamento!E:E,df_blueme_sem_parcelamento!H:H,Conciliacao!A478)*(-1)</f>
        <v/>
      </c>
      <c r="K478" s="4">
        <f>SUMIFS(df_blueme_com_parcelamento!J:J,df_blueme_com_parcelamento!M:M,Conciliacao!A478)*(-1)</f>
        <v/>
      </c>
      <c r="L478" s="4">
        <f>SUMIFS(df_mutuos!N:N,df_mutuos!B:B,Conciliacao!A478)*(-1)</f>
        <v/>
      </c>
      <c r="M478" s="8">
        <f>SUMIFS(df_bloqueios_judiciais!G:G,df_bloqueios_judiciais!D:D,Conciliacao!A478,df_bloqueios_judiciais!G:G,"&lt;0")</f>
        <v/>
      </c>
      <c r="N478" s="10">
        <f>SUMIFS(df_extratos!I:I,df_extratos!F:F,"&gt;="&amp;Conciliacao!BE478,df_extratos!F:F,"&lt;"&amp;Conciliacao!BE478+1,df_extratos!G:G,"DEBITO")
+SUMIFS(df_extratos!I:I,df_extratos!F:F,"&gt;="&amp;Conciliacao!A478, df_extratos!F:F,"&lt;"&amp;Conciliacao!A478+1, df_extratos!G:G,"DEBITO")
+SUMIFS(df_extratos!I:I,df_extratos!F:F,"&gt;="&amp;Conciliacao!BF478,df_extratos!F:F,"&lt;"&amp;Conciliacao!BF478+1,df_extratos!G:G,"DEBITO")
+SUMIFS(df_extratos!I:I,df_extratos!F:F,"&gt;="&amp;Conciliacao!BG478,df_extratos!F:F,"&lt;"&amp;Conciliacao!BG478+1,df_extratos!G:G,"DEBITO")
+SUMIFS(df_extratos!I:I,df_extratos!F:F,"&gt;="&amp;Conciliacao!BH478,df_extratos!F:F,"&lt;"&amp;Conciliacao!BH478+1,df_extratos!G:G,"DEBITO")</f>
        <v/>
      </c>
      <c r="O478" s="11">
        <f>N478-SUM(J478:M478)</f>
        <v/>
      </c>
      <c r="P478" s="25">
        <f>SUMIFS(df_ajustes_conciliaco!D:D,df_ajustes_conciliaco!C:C,Conciliacao!A478)</f>
        <v/>
      </c>
      <c r="Q478" s="22">
        <f>O478+I478-P478</f>
        <v/>
      </c>
    </row>
    <row r="479">
      <c r="A479" s="5">
        <f>A478+1</f>
        <v/>
      </c>
      <c r="B479" s="3">
        <f>-SUMIFS(df_extrato_zig!G:G,df_extrato_zig!E:E,Conciliacao!A479,df_extrato_zig!D:D,"Saque")-SUMIFS(df_extrato_zig!G:G,df_extrato_zig!E:E,Conciliacao!A479,df_extrato_zig!D:D,"Antecipação")</f>
        <v/>
      </c>
      <c r="C479" s="3">
        <f>SUMIFS(df_extrato_zig!E:E,df_extrato_zig!L:L,Conciliacao!A479,df_extrato_zig!F:F,"DINHEIRO")</f>
        <v/>
      </c>
      <c r="D479" s="3">
        <f>SUMIFS(view_parc_agrup!H:H,view_parc_agrup!G:G,Conciliacao!A479)</f>
        <v/>
      </c>
      <c r="E479" s="3">
        <f>SUMIFS(df_eventos!F:F,df_eventos!H:H,Conciliacao!A479)</f>
        <v/>
      </c>
      <c r="F479" s="3">
        <f>SUMIFS(df_mutuos!M:M,df_mutuos!B:B,Conciliacao!A479)</f>
        <v/>
      </c>
      <c r="G479" s="6">
        <f>SUMIFS(df_bloqueios_judiciais!G:G,df_bloqueios_judiciais!D:D,Conciliacao!A479,df_bloqueios_judiciais!G:G,"&gt;0")</f>
        <v/>
      </c>
      <c r="H479" s="7">
        <f>SUMIFS(df_extratos!I:I,df_extratos!F:F,"&gt;="&amp;Conciliacao!BE479,df_extratos!F:F,"&lt;"&amp;Conciliacao!BE479+1,df_extratos!G:G,"CREDITO")
+SUMIFS(df_extratos!I:I,df_extratos!F:F,"&gt;="&amp;Conciliacao!A479, df_extratos!F:F,"&lt;"&amp;Conciliacao!A479+1, df_extratos!G:G,"CREDITO")
+SUMIFS(df_extratos!I:I,df_extratos!F:F,"&gt;="&amp;Conciliacao!BF479,df_extratos!F:F,"&lt;"&amp;Conciliacao!BF479+1,df_extratos!G:G,"CREDITO")
+SUMIFS(df_extratos!I:I,df_extratos!F:F,"&gt;="&amp;Conciliacao!BG479,df_extratos!F:F,"&lt;"&amp;Conciliacao!BG479+1,df_extratos!G:G,"CREDITO")
+SUMIFS(df_extratos!I:I,df_extratos!F:F,"&gt;="&amp;Conciliacao!BH479,df_extratos!F:F,"&lt;"&amp;Conciliacao!BH479+1,df_extratos!G:G,"CREDITO")</f>
        <v/>
      </c>
      <c r="I479" s="9">
        <f>H479-SUM(B479:G479)</f>
        <v/>
      </c>
      <c r="J479" s="4">
        <f>SUMIFS(df_blueme_sem_parcelamento!E:E,df_blueme_sem_parcelamento!H:H,Conciliacao!A479)*(-1)</f>
        <v/>
      </c>
      <c r="K479" s="4">
        <f>SUMIFS(df_blueme_com_parcelamento!J:J,df_blueme_com_parcelamento!M:M,Conciliacao!A479)*(-1)</f>
        <v/>
      </c>
      <c r="L479" s="4">
        <f>SUMIFS(df_mutuos!N:N,df_mutuos!B:B,Conciliacao!A479)*(-1)</f>
        <v/>
      </c>
      <c r="M479" s="8">
        <f>SUMIFS(df_bloqueios_judiciais!G:G,df_bloqueios_judiciais!D:D,Conciliacao!A479,df_bloqueios_judiciais!G:G,"&lt;0")</f>
        <v/>
      </c>
      <c r="N479" s="10">
        <f>SUMIFS(df_extratos!I:I,df_extratos!F:F,"&gt;="&amp;Conciliacao!BE479,df_extratos!F:F,"&lt;"&amp;Conciliacao!BE479+1,df_extratos!G:G,"DEBITO")
+SUMIFS(df_extratos!I:I,df_extratos!F:F,"&gt;="&amp;Conciliacao!A479, df_extratos!F:F,"&lt;"&amp;Conciliacao!A479+1, df_extratos!G:G,"DEBITO")
+SUMIFS(df_extratos!I:I,df_extratos!F:F,"&gt;="&amp;Conciliacao!BF479,df_extratos!F:F,"&lt;"&amp;Conciliacao!BF479+1,df_extratos!G:G,"DEBITO")
+SUMIFS(df_extratos!I:I,df_extratos!F:F,"&gt;="&amp;Conciliacao!BG479,df_extratos!F:F,"&lt;"&amp;Conciliacao!BG479+1,df_extratos!G:G,"DEBITO")
+SUMIFS(df_extratos!I:I,df_extratos!F:F,"&gt;="&amp;Conciliacao!BH479,df_extratos!F:F,"&lt;"&amp;Conciliacao!BH479+1,df_extratos!G:G,"DEBITO")</f>
        <v/>
      </c>
      <c r="O479" s="11">
        <f>N479-SUM(J479:M479)</f>
        <v/>
      </c>
      <c r="P479" s="25">
        <f>SUMIFS(df_ajustes_conciliaco!D:D,df_ajustes_conciliaco!C:C,Conciliacao!A479)</f>
        <v/>
      </c>
      <c r="Q479" s="22">
        <f>O479+I479-P479</f>
        <v/>
      </c>
    </row>
    <row r="480">
      <c r="A480" s="5">
        <f>A479+1</f>
        <v/>
      </c>
      <c r="B480" s="3">
        <f>-SUMIFS(df_extrato_zig!G:G,df_extrato_zig!E:E,Conciliacao!A480,df_extrato_zig!D:D,"Saque")-SUMIFS(df_extrato_zig!G:G,df_extrato_zig!E:E,Conciliacao!A480,df_extrato_zig!D:D,"Antecipação")</f>
        <v/>
      </c>
      <c r="C480" s="3">
        <f>SUMIFS(df_extrato_zig!E:E,df_extrato_zig!L:L,Conciliacao!A480,df_extrato_zig!F:F,"DINHEIRO")</f>
        <v/>
      </c>
      <c r="D480" s="3">
        <f>SUMIFS(view_parc_agrup!H:H,view_parc_agrup!G:G,Conciliacao!A480)</f>
        <v/>
      </c>
      <c r="E480" s="3">
        <f>SUMIFS(df_eventos!F:F,df_eventos!H:H,Conciliacao!A480)</f>
        <v/>
      </c>
      <c r="F480" s="3">
        <f>SUMIFS(df_mutuos!M:M,df_mutuos!B:B,Conciliacao!A480)</f>
        <v/>
      </c>
      <c r="G480" s="6">
        <f>SUMIFS(df_bloqueios_judiciais!G:G,df_bloqueios_judiciais!D:D,Conciliacao!A480,df_bloqueios_judiciais!G:G,"&gt;0")</f>
        <v/>
      </c>
      <c r="H480" s="7">
        <f>SUMIFS(df_extratos!I:I,df_extratos!F:F,"&gt;="&amp;Conciliacao!BE480,df_extratos!F:F,"&lt;"&amp;Conciliacao!BE480+1,df_extratos!G:G,"CREDITO")
+SUMIFS(df_extratos!I:I,df_extratos!F:F,"&gt;="&amp;Conciliacao!A480, df_extratos!F:F,"&lt;"&amp;Conciliacao!A480+1, df_extratos!G:G,"CREDITO")
+SUMIFS(df_extratos!I:I,df_extratos!F:F,"&gt;="&amp;Conciliacao!BF480,df_extratos!F:F,"&lt;"&amp;Conciliacao!BF480+1,df_extratos!G:G,"CREDITO")
+SUMIFS(df_extratos!I:I,df_extratos!F:F,"&gt;="&amp;Conciliacao!BG480,df_extratos!F:F,"&lt;"&amp;Conciliacao!BG480+1,df_extratos!G:G,"CREDITO")
+SUMIFS(df_extratos!I:I,df_extratos!F:F,"&gt;="&amp;Conciliacao!BH480,df_extratos!F:F,"&lt;"&amp;Conciliacao!BH480+1,df_extratos!G:G,"CREDITO")</f>
        <v/>
      </c>
      <c r="I480" s="9">
        <f>H480-SUM(B480:G480)</f>
        <v/>
      </c>
      <c r="J480" s="4">
        <f>SUMIFS(df_blueme_sem_parcelamento!E:E,df_blueme_sem_parcelamento!H:H,Conciliacao!A480)*(-1)</f>
        <v/>
      </c>
      <c r="K480" s="4">
        <f>SUMIFS(df_blueme_com_parcelamento!J:J,df_blueme_com_parcelamento!M:M,Conciliacao!A480)*(-1)</f>
        <v/>
      </c>
      <c r="L480" s="4">
        <f>SUMIFS(df_mutuos!N:N,df_mutuos!B:B,Conciliacao!A480)*(-1)</f>
        <v/>
      </c>
      <c r="M480" s="8">
        <f>SUMIFS(df_bloqueios_judiciais!G:G,df_bloqueios_judiciais!D:D,Conciliacao!A480,df_bloqueios_judiciais!G:G,"&lt;0")</f>
        <v/>
      </c>
      <c r="N480" s="10">
        <f>SUMIFS(df_extratos!I:I,df_extratos!F:F,"&gt;="&amp;Conciliacao!BE480,df_extratos!F:F,"&lt;"&amp;Conciliacao!BE480+1,df_extratos!G:G,"DEBITO")
+SUMIFS(df_extratos!I:I,df_extratos!F:F,"&gt;="&amp;Conciliacao!A480, df_extratos!F:F,"&lt;"&amp;Conciliacao!A480+1, df_extratos!G:G,"DEBITO")
+SUMIFS(df_extratos!I:I,df_extratos!F:F,"&gt;="&amp;Conciliacao!BF480,df_extratos!F:F,"&lt;"&amp;Conciliacao!BF480+1,df_extratos!G:G,"DEBITO")
+SUMIFS(df_extratos!I:I,df_extratos!F:F,"&gt;="&amp;Conciliacao!BG480,df_extratos!F:F,"&lt;"&amp;Conciliacao!BG480+1,df_extratos!G:G,"DEBITO")
+SUMIFS(df_extratos!I:I,df_extratos!F:F,"&gt;="&amp;Conciliacao!BH480,df_extratos!F:F,"&lt;"&amp;Conciliacao!BH480+1,df_extratos!G:G,"DEBITO")</f>
        <v/>
      </c>
      <c r="O480" s="11">
        <f>N480-SUM(J480:M480)</f>
        <v/>
      </c>
      <c r="P480" s="25">
        <f>SUMIFS(df_ajustes_conciliaco!D:D,df_ajustes_conciliaco!C:C,Conciliacao!A480)</f>
        <v/>
      </c>
      <c r="Q480" s="22">
        <f>O480+I480-P480</f>
        <v/>
      </c>
    </row>
    <row r="481">
      <c r="A481" s="5">
        <f>A480+1</f>
        <v/>
      </c>
      <c r="B481" s="3">
        <f>-SUMIFS(df_extrato_zig!G:G,df_extrato_zig!E:E,Conciliacao!A481,df_extrato_zig!D:D,"Saque")-SUMIFS(df_extrato_zig!G:G,df_extrato_zig!E:E,Conciliacao!A481,df_extrato_zig!D:D,"Antecipação")</f>
        <v/>
      </c>
      <c r="C481" s="3">
        <f>SUMIFS(df_extrato_zig!E:E,df_extrato_zig!L:L,Conciliacao!A481,df_extrato_zig!F:F,"DINHEIRO")</f>
        <v/>
      </c>
      <c r="D481" s="3">
        <f>SUMIFS(view_parc_agrup!H:H,view_parc_agrup!G:G,Conciliacao!A481)</f>
        <v/>
      </c>
      <c r="E481" s="3">
        <f>SUMIFS(df_eventos!F:F,df_eventos!H:H,Conciliacao!A481)</f>
        <v/>
      </c>
      <c r="F481" s="3">
        <f>SUMIFS(df_mutuos!M:M,df_mutuos!B:B,Conciliacao!A481)</f>
        <v/>
      </c>
      <c r="G481" s="6">
        <f>SUMIFS(df_bloqueios_judiciais!G:G,df_bloqueios_judiciais!D:D,Conciliacao!A481,df_bloqueios_judiciais!G:G,"&gt;0")</f>
        <v/>
      </c>
      <c r="H481" s="7">
        <f>SUMIFS(df_extratos!I:I,df_extratos!F:F,"&gt;="&amp;Conciliacao!BE481,df_extratos!F:F,"&lt;"&amp;Conciliacao!BE481+1,df_extratos!G:G,"CREDITO")
+SUMIFS(df_extratos!I:I,df_extratos!F:F,"&gt;="&amp;Conciliacao!A481, df_extratos!F:F,"&lt;"&amp;Conciliacao!A481+1, df_extratos!G:G,"CREDITO")
+SUMIFS(df_extratos!I:I,df_extratos!F:F,"&gt;="&amp;Conciliacao!BF481,df_extratos!F:F,"&lt;"&amp;Conciliacao!BF481+1,df_extratos!G:G,"CREDITO")
+SUMIFS(df_extratos!I:I,df_extratos!F:F,"&gt;="&amp;Conciliacao!BG481,df_extratos!F:F,"&lt;"&amp;Conciliacao!BG481+1,df_extratos!G:G,"CREDITO")
+SUMIFS(df_extratos!I:I,df_extratos!F:F,"&gt;="&amp;Conciliacao!BH481,df_extratos!F:F,"&lt;"&amp;Conciliacao!BH481+1,df_extratos!G:G,"CREDITO")</f>
        <v/>
      </c>
      <c r="I481" s="9">
        <f>H481-SUM(B481:G481)</f>
        <v/>
      </c>
      <c r="J481" s="4">
        <f>SUMIFS(df_blueme_sem_parcelamento!E:E,df_blueme_sem_parcelamento!H:H,Conciliacao!A481)*(-1)</f>
        <v/>
      </c>
      <c r="K481" s="4">
        <f>SUMIFS(df_blueme_com_parcelamento!J:J,df_blueme_com_parcelamento!M:M,Conciliacao!A481)*(-1)</f>
        <v/>
      </c>
      <c r="L481" s="4">
        <f>SUMIFS(df_mutuos!N:N,df_mutuos!B:B,Conciliacao!A481)*(-1)</f>
        <v/>
      </c>
      <c r="M481" s="8">
        <f>SUMIFS(df_bloqueios_judiciais!G:G,df_bloqueios_judiciais!D:D,Conciliacao!A481,df_bloqueios_judiciais!G:G,"&lt;0")</f>
        <v/>
      </c>
      <c r="N481" s="10">
        <f>SUMIFS(df_extratos!I:I,df_extratos!F:F,"&gt;="&amp;Conciliacao!BE481,df_extratos!F:F,"&lt;"&amp;Conciliacao!BE481+1,df_extratos!G:G,"DEBITO")
+SUMIFS(df_extratos!I:I,df_extratos!F:F,"&gt;="&amp;Conciliacao!A481, df_extratos!F:F,"&lt;"&amp;Conciliacao!A481+1, df_extratos!G:G,"DEBITO")
+SUMIFS(df_extratos!I:I,df_extratos!F:F,"&gt;="&amp;Conciliacao!BF481,df_extratos!F:F,"&lt;"&amp;Conciliacao!BF481+1,df_extratos!G:G,"DEBITO")
+SUMIFS(df_extratos!I:I,df_extratos!F:F,"&gt;="&amp;Conciliacao!BG481,df_extratos!F:F,"&lt;"&amp;Conciliacao!BG481+1,df_extratos!G:G,"DEBITO")
+SUMIFS(df_extratos!I:I,df_extratos!F:F,"&gt;="&amp;Conciliacao!BH481,df_extratos!F:F,"&lt;"&amp;Conciliacao!BH481+1,df_extratos!G:G,"DEBITO")</f>
        <v/>
      </c>
      <c r="O481" s="11">
        <f>N481-SUM(J481:M481)</f>
        <v/>
      </c>
      <c r="P481" s="25">
        <f>SUMIFS(df_ajustes_conciliaco!D:D,df_ajustes_conciliaco!C:C,Conciliacao!A481)</f>
        <v/>
      </c>
      <c r="Q481" s="22">
        <f>O481+I481-P481</f>
        <v/>
      </c>
    </row>
    <row r="482">
      <c r="A482" s="5">
        <f>A481+1</f>
        <v/>
      </c>
      <c r="B482" s="3">
        <f>-SUMIFS(df_extrato_zig!G:G,df_extrato_zig!E:E,Conciliacao!A482,df_extrato_zig!D:D,"Saque")-SUMIFS(df_extrato_zig!G:G,df_extrato_zig!E:E,Conciliacao!A482,df_extrato_zig!D:D,"Antecipação")</f>
        <v/>
      </c>
      <c r="C482" s="3">
        <f>SUMIFS(df_extrato_zig!E:E,df_extrato_zig!L:L,Conciliacao!A482,df_extrato_zig!F:F,"DINHEIRO")</f>
        <v/>
      </c>
      <c r="D482" s="3">
        <f>SUMIFS(view_parc_agrup!H:H,view_parc_agrup!G:G,Conciliacao!A482)</f>
        <v/>
      </c>
      <c r="E482" s="3">
        <f>SUMIFS(df_eventos!F:F,df_eventos!H:H,Conciliacao!A482)</f>
        <v/>
      </c>
      <c r="F482" s="3">
        <f>SUMIFS(df_mutuos!M:M,df_mutuos!B:B,Conciliacao!A482)</f>
        <v/>
      </c>
      <c r="G482" s="6">
        <f>SUMIFS(df_bloqueios_judiciais!G:G,df_bloqueios_judiciais!D:D,Conciliacao!A482,df_bloqueios_judiciais!G:G,"&gt;0")</f>
        <v/>
      </c>
      <c r="H482" s="7">
        <f>SUMIFS(df_extratos!I:I,df_extratos!F:F,"&gt;="&amp;Conciliacao!BE482,df_extratos!F:F,"&lt;"&amp;Conciliacao!BE482+1,df_extratos!G:G,"CREDITO")
+SUMIFS(df_extratos!I:I,df_extratos!F:F,"&gt;="&amp;Conciliacao!A482, df_extratos!F:F,"&lt;"&amp;Conciliacao!A482+1, df_extratos!G:G,"CREDITO")
+SUMIFS(df_extratos!I:I,df_extratos!F:F,"&gt;="&amp;Conciliacao!BF482,df_extratos!F:F,"&lt;"&amp;Conciliacao!BF482+1,df_extratos!G:G,"CREDITO")
+SUMIFS(df_extratos!I:I,df_extratos!F:F,"&gt;="&amp;Conciliacao!BG482,df_extratos!F:F,"&lt;"&amp;Conciliacao!BG482+1,df_extratos!G:G,"CREDITO")
+SUMIFS(df_extratos!I:I,df_extratos!F:F,"&gt;="&amp;Conciliacao!BH482,df_extratos!F:F,"&lt;"&amp;Conciliacao!BH482+1,df_extratos!G:G,"CREDITO")</f>
        <v/>
      </c>
      <c r="I482" s="9">
        <f>H482-SUM(B482:G482)</f>
        <v/>
      </c>
      <c r="J482" s="4">
        <f>SUMIFS(df_blueme_sem_parcelamento!E:E,df_blueme_sem_parcelamento!H:H,Conciliacao!A482)*(-1)</f>
        <v/>
      </c>
      <c r="K482" s="4">
        <f>SUMIFS(df_blueme_com_parcelamento!J:J,df_blueme_com_parcelamento!M:M,Conciliacao!A482)*(-1)</f>
        <v/>
      </c>
      <c r="L482" s="4">
        <f>SUMIFS(df_mutuos!N:N,df_mutuos!B:B,Conciliacao!A482)*(-1)</f>
        <v/>
      </c>
      <c r="M482" s="8">
        <f>SUMIFS(df_bloqueios_judiciais!G:G,df_bloqueios_judiciais!D:D,Conciliacao!A482,df_bloqueios_judiciais!G:G,"&lt;0")</f>
        <v/>
      </c>
      <c r="N482" s="10">
        <f>SUMIFS(df_extratos!I:I,df_extratos!F:F,"&gt;="&amp;Conciliacao!BE482,df_extratos!F:F,"&lt;"&amp;Conciliacao!BE482+1,df_extratos!G:G,"DEBITO")
+SUMIFS(df_extratos!I:I,df_extratos!F:F,"&gt;="&amp;Conciliacao!A482, df_extratos!F:F,"&lt;"&amp;Conciliacao!A482+1, df_extratos!G:G,"DEBITO")
+SUMIFS(df_extratos!I:I,df_extratos!F:F,"&gt;="&amp;Conciliacao!BF482,df_extratos!F:F,"&lt;"&amp;Conciliacao!BF482+1,df_extratos!G:G,"DEBITO")
+SUMIFS(df_extratos!I:I,df_extratos!F:F,"&gt;="&amp;Conciliacao!BG482,df_extratos!F:F,"&lt;"&amp;Conciliacao!BG482+1,df_extratos!G:G,"DEBITO")
+SUMIFS(df_extratos!I:I,df_extratos!F:F,"&gt;="&amp;Conciliacao!BH482,df_extratos!F:F,"&lt;"&amp;Conciliacao!BH482+1,df_extratos!G:G,"DEBITO")</f>
        <v/>
      </c>
      <c r="O482" s="11">
        <f>N482-SUM(J482:M482)</f>
        <v/>
      </c>
      <c r="P482" s="25">
        <f>SUMIFS(df_ajustes_conciliaco!D:D,df_ajustes_conciliaco!C:C,Conciliacao!A482)</f>
        <v/>
      </c>
      <c r="Q482" s="22">
        <f>O482+I482-P482</f>
        <v/>
      </c>
    </row>
    <row r="483">
      <c r="A483" s="5">
        <f>A482+1</f>
        <v/>
      </c>
      <c r="B483" s="3">
        <f>-SUMIFS(df_extrato_zig!G:G,df_extrato_zig!E:E,Conciliacao!A483,df_extrato_zig!D:D,"Saque")-SUMIFS(df_extrato_zig!G:G,df_extrato_zig!E:E,Conciliacao!A483,df_extrato_zig!D:D,"Antecipação")</f>
        <v/>
      </c>
      <c r="C483" s="3">
        <f>SUMIFS(df_extrato_zig!E:E,df_extrato_zig!L:L,Conciliacao!A483,df_extrato_zig!F:F,"DINHEIRO")</f>
        <v/>
      </c>
      <c r="D483" s="3">
        <f>SUMIFS(view_parc_agrup!H:H,view_parc_agrup!G:G,Conciliacao!A483)</f>
        <v/>
      </c>
      <c r="E483" s="3">
        <f>SUMIFS(df_eventos!F:F,df_eventos!H:H,Conciliacao!A483)</f>
        <v/>
      </c>
      <c r="F483" s="3">
        <f>SUMIFS(df_mutuos!M:M,df_mutuos!B:B,Conciliacao!A483)</f>
        <v/>
      </c>
      <c r="G483" s="6">
        <f>SUMIFS(df_bloqueios_judiciais!G:G,df_bloqueios_judiciais!D:D,Conciliacao!A483,df_bloqueios_judiciais!G:G,"&gt;0")</f>
        <v/>
      </c>
      <c r="H483" s="7">
        <f>SUMIFS(df_extratos!I:I,df_extratos!F:F,"&gt;="&amp;Conciliacao!BE483,df_extratos!F:F,"&lt;"&amp;Conciliacao!BE483+1,df_extratos!G:G,"CREDITO")
+SUMIFS(df_extratos!I:I,df_extratos!F:F,"&gt;="&amp;Conciliacao!A483, df_extratos!F:F,"&lt;"&amp;Conciliacao!A483+1, df_extratos!G:G,"CREDITO")
+SUMIFS(df_extratos!I:I,df_extratos!F:F,"&gt;="&amp;Conciliacao!BF483,df_extratos!F:F,"&lt;"&amp;Conciliacao!BF483+1,df_extratos!G:G,"CREDITO")
+SUMIFS(df_extratos!I:I,df_extratos!F:F,"&gt;="&amp;Conciliacao!BG483,df_extratos!F:F,"&lt;"&amp;Conciliacao!BG483+1,df_extratos!G:G,"CREDITO")
+SUMIFS(df_extratos!I:I,df_extratos!F:F,"&gt;="&amp;Conciliacao!BH483,df_extratos!F:F,"&lt;"&amp;Conciliacao!BH483+1,df_extratos!G:G,"CREDITO")</f>
        <v/>
      </c>
      <c r="I483" s="9">
        <f>H483-SUM(B483:G483)</f>
        <v/>
      </c>
      <c r="J483" s="4">
        <f>SUMIFS(df_blueme_sem_parcelamento!E:E,df_blueme_sem_parcelamento!H:H,Conciliacao!A483)*(-1)</f>
        <v/>
      </c>
      <c r="K483" s="4">
        <f>SUMIFS(df_blueme_com_parcelamento!J:J,df_blueme_com_parcelamento!M:M,Conciliacao!A483)*(-1)</f>
        <v/>
      </c>
      <c r="L483" s="4">
        <f>SUMIFS(df_mutuos!N:N,df_mutuos!B:B,Conciliacao!A483)*(-1)</f>
        <v/>
      </c>
      <c r="M483" s="8">
        <f>SUMIFS(df_bloqueios_judiciais!G:G,df_bloqueios_judiciais!D:D,Conciliacao!A483,df_bloqueios_judiciais!G:G,"&lt;0")</f>
        <v/>
      </c>
      <c r="N483" s="10">
        <f>SUMIFS(df_extratos!I:I,df_extratos!F:F,"&gt;="&amp;Conciliacao!BE483,df_extratos!F:F,"&lt;"&amp;Conciliacao!BE483+1,df_extratos!G:G,"DEBITO")
+SUMIFS(df_extratos!I:I,df_extratos!F:F,"&gt;="&amp;Conciliacao!A483, df_extratos!F:F,"&lt;"&amp;Conciliacao!A483+1, df_extratos!G:G,"DEBITO")
+SUMIFS(df_extratos!I:I,df_extratos!F:F,"&gt;="&amp;Conciliacao!BF483,df_extratos!F:F,"&lt;"&amp;Conciliacao!BF483+1,df_extratos!G:G,"DEBITO")
+SUMIFS(df_extratos!I:I,df_extratos!F:F,"&gt;="&amp;Conciliacao!BG483,df_extratos!F:F,"&lt;"&amp;Conciliacao!BG483+1,df_extratos!G:G,"DEBITO")
+SUMIFS(df_extratos!I:I,df_extratos!F:F,"&gt;="&amp;Conciliacao!BH483,df_extratos!F:F,"&lt;"&amp;Conciliacao!BH483+1,df_extratos!G:G,"DEBITO")</f>
        <v/>
      </c>
      <c r="O483" s="11">
        <f>N483-SUM(J483:M483)</f>
        <v/>
      </c>
      <c r="P483" s="25">
        <f>SUMIFS(df_ajustes_conciliaco!D:D,df_ajustes_conciliaco!C:C,Conciliacao!A483)</f>
        <v/>
      </c>
      <c r="Q483" s="22">
        <f>O483+I483-P483</f>
        <v/>
      </c>
    </row>
    <row r="484">
      <c r="A484" s="5">
        <f>A483+1</f>
        <v/>
      </c>
      <c r="B484" s="3">
        <f>-SUMIFS(df_extrato_zig!G:G,df_extrato_zig!E:E,Conciliacao!A484,df_extrato_zig!D:D,"Saque")-SUMIFS(df_extrato_zig!G:G,df_extrato_zig!E:E,Conciliacao!A484,df_extrato_zig!D:D,"Antecipação")</f>
        <v/>
      </c>
      <c r="C484" s="3">
        <f>SUMIFS(df_extrato_zig!E:E,df_extrato_zig!L:L,Conciliacao!A484,df_extrato_zig!F:F,"DINHEIRO")</f>
        <v/>
      </c>
      <c r="D484" s="3">
        <f>SUMIFS(view_parc_agrup!H:H,view_parc_agrup!G:G,Conciliacao!A484)</f>
        <v/>
      </c>
      <c r="E484" s="3">
        <f>SUMIFS(df_eventos!F:F,df_eventos!H:H,Conciliacao!A484)</f>
        <v/>
      </c>
      <c r="F484" s="3">
        <f>SUMIFS(df_mutuos!M:M,df_mutuos!B:B,Conciliacao!A484)</f>
        <v/>
      </c>
      <c r="G484" s="6">
        <f>SUMIFS(df_bloqueios_judiciais!G:G,df_bloqueios_judiciais!D:D,Conciliacao!A484,df_bloqueios_judiciais!G:G,"&gt;0")</f>
        <v/>
      </c>
      <c r="H484" s="7">
        <f>SUMIFS(df_extratos!I:I,df_extratos!F:F,"&gt;="&amp;Conciliacao!BE484,df_extratos!F:F,"&lt;"&amp;Conciliacao!BE484+1,df_extratos!G:G,"CREDITO")
+SUMIFS(df_extratos!I:I,df_extratos!F:F,"&gt;="&amp;Conciliacao!A484, df_extratos!F:F,"&lt;"&amp;Conciliacao!A484+1, df_extratos!G:G,"CREDITO")
+SUMIFS(df_extratos!I:I,df_extratos!F:F,"&gt;="&amp;Conciliacao!BF484,df_extratos!F:F,"&lt;"&amp;Conciliacao!BF484+1,df_extratos!G:G,"CREDITO")
+SUMIFS(df_extratos!I:I,df_extratos!F:F,"&gt;="&amp;Conciliacao!BG484,df_extratos!F:F,"&lt;"&amp;Conciliacao!BG484+1,df_extratos!G:G,"CREDITO")
+SUMIFS(df_extratos!I:I,df_extratos!F:F,"&gt;="&amp;Conciliacao!BH484,df_extratos!F:F,"&lt;"&amp;Conciliacao!BH484+1,df_extratos!G:G,"CREDITO")</f>
        <v/>
      </c>
      <c r="I484" s="9">
        <f>H484-SUM(B484:G484)</f>
        <v/>
      </c>
      <c r="J484" s="4">
        <f>SUMIFS(df_blueme_sem_parcelamento!E:E,df_blueme_sem_parcelamento!H:H,Conciliacao!A484)*(-1)</f>
        <v/>
      </c>
      <c r="K484" s="4">
        <f>SUMIFS(df_blueme_com_parcelamento!J:J,df_blueme_com_parcelamento!M:M,Conciliacao!A484)*(-1)</f>
        <v/>
      </c>
      <c r="L484" s="4">
        <f>SUMIFS(df_mutuos!N:N,df_mutuos!B:B,Conciliacao!A484)*(-1)</f>
        <v/>
      </c>
      <c r="M484" s="8">
        <f>SUMIFS(df_bloqueios_judiciais!G:G,df_bloqueios_judiciais!D:D,Conciliacao!A484,df_bloqueios_judiciais!G:G,"&lt;0")</f>
        <v/>
      </c>
      <c r="N484" s="10">
        <f>SUMIFS(df_extratos!I:I,df_extratos!F:F,"&gt;="&amp;Conciliacao!BE484,df_extratos!F:F,"&lt;"&amp;Conciliacao!BE484+1,df_extratos!G:G,"DEBITO")
+SUMIFS(df_extratos!I:I,df_extratos!F:F,"&gt;="&amp;Conciliacao!A484, df_extratos!F:F,"&lt;"&amp;Conciliacao!A484+1, df_extratos!G:G,"DEBITO")
+SUMIFS(df_extratos!I:I,df_extratos!F:F,"&gt;="&amp;Conciliacao!BF484,df_extratos!F:F,"&lt;"&amp;Conciliacao!BF484+1,df_extratos!G:G,"DEBITO")
+SUMIFS(df_extratos!I:I,df_extratos!F:F,"&gt;="&amp;Conciliacao!BG484,df_extratos!F:F,"&lt;"&amp;Conciliacao!BG484+1,df_extratos!G:G,"DEBITO")
+SUMIFS(df_extratos!I:I,df_extratos!F:F,"&gt;="&amp;Conciliacao!BH484,df_extratos!F:F,"&lt;"&amp;Conciliacao!BH484+1,df_extratos!G:G,"DEBITO")</f>
        <v/>
      </c>
      <c r="O484" s="11">
        <f>N484-SUM(J484:M484)</f>
        <v/>
      </c>
      <c r="P484" s="25">
        <f>SUMIFS(df_ajustes_conciliaco!D:D,df_ajustes_conciliaco!C:C,Conciliacao!A484)</f>
        <v/>
      </c>
      <c r="Q484" s="22">
        <f>O484+I484-P484</f>
        <v/>
      </c>
    </row>
    <row r="485">
      <c r="A485" s="5">
        <f>A484+1</f>
        <v/>
      </c>
      <c r="B485" s="3">
        <f>-SUMIFS(df_extrato_zig!G:G,df_extrato_zig!E:E,Conciliacao!A485,df_extrato_zig!D:D,"Saque")-SUMIFS(df_extrato_zig!G:G,df_extrato_zig!E:E,Conciliacao!A485,df_extrato_zig!D:D,"Antecipação")</f>
        <v/>
      </c>
      <c r="C485" s="3">
        <f>SUMIFS(df_extrato_zig!E:E,df_extrato_zig!L:L,Conciliacao!A485,df_extrato_zig!F:F,"DINHEIRO")</f>
        <v/>
      </c>
      <c r="D485" s="3">
        <f>SUMIFS(view_parc_agrup!H:H,view_parc_agrup!G:G,Conciliacao!A485)</f>
        <v/>
      </c>
      <c r="E485" s="3">
        <f>SUMIFS(df_eventos!F:F,df_eventos!H:H,Conciliacao!A485)</f>
        <v/>
      </c>
      <c r="F485" s="3">
        <f>SUMIFS(df_mutuos!M:M,df_mutuos!B:B,Conciliacao!A485)</f>
        <v/>
      </c>
      <c r="G485" s="6">
        <f>SUMIFS(df_bloqueios_judiciais!G:G,df_bloqueios_judiciais!D:D,Conciliacao!A485,df_bloqueios_judiciais!G:G,"&gt;0")</f>
        <v/>
      </c>
      <c r="H485" s="7">
        <f>SUMIFS(df_extratos!I:I,df_extratos!F:F,"&gt;="&amp;Conciliacao!BE485,df_extratos!F:F,"&lt;"&amp;Conciliacao!BE485+1,df_extratos!G:G,"CREDITO")
+SUMIFS(df_extratos!I:I,df_extratos!F:F,"&gt;="&amp;Conciliacao!A485, df_extratos!F:F,"&lt;"&amp;Conciliacao!A485+1, df_extratos!G:G,"CREDITO")
+SUMIFS(df_extratos!I:I,df_extratos!F:F,"&gt;="&amp;Conciliacao!BF485,df_extratos!F:F,"&lt;"&amp;Conciliacao!BF485+1,df_extratos!G:G,"CREDITO")
+SUMIFS(df_extratos!I:I,df_extratos!F:F,"&gt;="&amp;Conciliacao!BG485,df_extratos!F:F,"&lt;"&amp;Conciliacao!BG485+1,df_extratos!G:G,"CREDITO")
+SUMIFS(df_extratos!I:I,df_extratos!F:F,"&gt;="&amp;Conciliacao!BH485,df_extratos!F:F,"&lt;"&amp;Conciliacao!BH485+1,df_extratos!G:G,"CREDITO")</f>
        <v/>
      </c>
      <c r="I485" s="9">
        <f>H485-SUM(B485:G485)</f>
        <v/>
      </c>
      <c r="J485" s="4">
        <f>SUMIFS(df_blueme_sem_parcelamento!E:E,df_blueme_sem_parcelamento!H:H,Conciliacao!A485)*(-1)</f>
        <v/>
      </c>
      <c r="K485" s="4">
        <f>SUMIFS(df_blueme_com_parcelamento!J:J,df_blueme_com_parcelamento!M:M,Conciliacao!A485)*(-1)</f>
        <v/>
      </c>
      <c r="L485" s="4">
        <f>SUMIFS(df_mutuos!N:N,df_mutuos!B:B,Conciliacao!A485)*(-1)</f>
        <v/>
      </c>
      <c r="M485" s="8">
        <f>SUMIFS(df_bloqueios_judiciais!G:G,df_bloqueios_judiciais!D:D,Conciliacao!A485,df_bloqueios_judiciais!G:G,"&lt;0")</f>
        <v/>
      </c>
      <c r="N485" s="10">
        <f>SUMIFS(df_extratos!I:I,df_extratos!F:F,"&gt;="&amp;Conciliacao!BE485,df_extratos!F:F,"&lt;"&amp;Conciliacao!BE485+1,df_extratos!G:G,"DEBITO")
+SUMIFS(df_extratos!I:I,df_extratos!F:F,"&gt;="&amp;Conciliacao!A485, df_extratos!F:F,"&lt;"&amp;Conciliacao!A485+1, df_extratos!G:G,"DEBITO")
+SUMIFS(df_extratos!I:I,df_extratos!F:F,"&gt;="&amp;Conciliacao!BF485,df_extratos!F:F,"&lt;"&amp;Conciliacao!BF485+1,df_extratos!G:G,"DEBITO")
+SUMIFS(df_extratos!I:I,df_extratos!F:F,"&gt;="&amp;Conciliacao!BG485,df_extratos!F:F,"&lt;"&amp;Conciliacao!BG485+1,df_extratos!G:G,"DEBITO")
+SUMIFS(df_extratos!I:I,df_extratos!F:F,"&gt;="&amp;Conciliacao!BH485,df_extratos!F:F,"&lt;"&amp;Conciliacao!BH485+1,df_extratos!G:G,"DEBITO")</f>
        <v/>
      </c>
      <c r="O485" s="11">
        <f>N485-SUM(J485:M485)</f>
        <v/>
      </c>
      <c r="P485" s="25">
        <f>SUMIFS(df_ajustes_conciliaco!D:D,df_ajustes_conciliaco!C:C,Conciliacao!A485)</f>
        <v/>
      </c>
      <c r="Q485" s="22">
        <f>O485+I485-P485</f>
        <v/>
      </c>
    </row>
    <row r="486">
      <c r="A486" s="5">
        <f>A485+1</f>
        <v/>
      </c>
      <c r="B486" s="3">
        <f>-SUMIFS(df_extrato_zig!G:G,df_extrato_zig!E:E,Conciliacao!A486,df_extrato_zig!D:D,"Saque")-SUMIFS(df_extrato_zig!G:G,df_extrato_zig!E:E,Conciliacao!A486,df_extrato_zig!D:D,"Antecipação")</f>
        <v/>
      </c>
      <c r="C486" s="3">
        <f>SUMIFS(df_extrato_zig!E:E,df_extrato_zig!L:L,Conciliacao!A486,df_extrato_zig!F:F,"DINHEIRO")</f>
        <v/>
      </c>
      <c r="D486" s="3">
        <f>SUMIFS(view_parc_agrup!H:H,view_parc_agrup!G:G,Conciliacao!A486)</f>
        <v/>
      </c>
      <c r="E486" s="3">
        <f>SUMIFS(df_eventos!F:F,df_eventos!H:H,Conciliacao!A486)</f>
        <v/>
      </c>
      <c r="F486" s="3">
        <f>SUMIFS(df_mutuos!M:M,df_mutuos!B:B,Conciliacao!A486)</f>
        <v/>
      </c>
      <c r="G486" s="6">
        <f>SUMIFS(df_bloqueios_judiciais!G:G,df_bloqueios_judiciais!D:D,Conciliacao!A486,df_bloqueios_judiciais!G:G,"&gt;0")</f>
        <v/>
      </c>
      <c r="H486" s="7">
        <f>SUMIFS(df_extratos!I:I,df_extratos!F:F,"&gt;="&amp;Conciliacao!BE486,df_extratos!F:F,"&lt;"&amp;Conciliacao!BE486+1,df_extratos!G:G,"CREDITO")
+SUMIFS(df_extratos!I:I,df_extratos!F:F,"&gt;="&amp;Conciliacao!A486, df_extratos!F:F,"&lt;"&amp;Conciliacao!A486+1, df_extratos!G:G,"CREDITO")
+SUMIFS(df_extratos!I:I,df_extratos!F:F,"&gt;="&amp;Conciliacao!BF486,df_extratos!F:F,"&lt;"&amp;Conciliacao!BF486+1,df_extratos!G:G,"CREDITO")
+SUMIFS(df_extratos!I:I,df_extratos!F:F,"&gt;="&amp;Conciliacao!BG486,df_extratos!F:F,"&lt;"&amp;Conciliacao!BG486+1,df_extratos!G:G,"CREDITO")
+SUMIFS(df_extratos!I:I,df_extratos!F:F,"&gt;="&amp;Conciliacao!BH486,df_extratos!F:F,"&lt;"&amp;Conciliacao!BH486+1,df_extratos!G:G,"CREDITO")</f>
        <v/>
      </c>
      <c r="I486" s="9">
        <f>H486-SUM(B486:G486)</f>
        <v/>
      </c>
      <c r="J486" s="4">
        <f>SUMIFS(df_blueme_sem_parcelamento!E:E,df_blueme_sem_parcelamento!H:H,Conciliacao!A486)*(-1)</f>
        <v/>
      </c>
      <c r="K486" s="4">
        <f>SUMIFS(df_blueme_com_parcelamento!J:J,df_blueme_com_parcelamento!M:M,Conciliacao!A486)*(-1)</f>
        <v/>
      </c>
      <c r="L486" s="4">
        <f>SUMIFS(df_mutuos!N:N,df_mutuos!B:B,Conciliacao!A486)*(-1)</f>
        <v/>
      </c>
      <c r="M486" s="8">
        <f>SUMIFS(df_bloqueios_judiciais!G:G,df_bloqueios_judiciais!D:D,Conciliacao!A486,df_bloqueios_judiciais!G:G,"&lt;0")</f>
        <v/>
      </c>
      <c r="N486" s="10">
        <f>SUMIFS(df_extratos!I:I,df_extratos!F:F,"&gt;="&amp;Conciliacao!BE486,df_extratos!F:F,"&lt;"&amp;Conciliacao!BE486+1,df_extratos!G:G,"DEBITO")
+SUMIFS(df_extratos!I:I,df_extratos!F:F,"&gt;="&amp;Conciliacao!A486, df_extratos!F:F,"&lt;"&amp;Conciliacao!A486+1, df_extratos!G:G,"DEBITO")
+SUMIFS(df_extratos!I:I,df_extratos!F:F,"&gt;="&amp;Conciliacao!BF486,df_extratos!F:F,"&lt;"&amp;Conciliacao!BF486+1,df_extratos!G:G,"DEBITO")
+SUMIFS(df_extratos!I:I,df_extratos!F:F,"&gt;="&amp;Conciliacao!BG486,df_extratos!F:F,"&lt;"&amp;Conciliacao!BG486+1,df_extratos!G:G,"DEBITO")
+SUMIFS(df_extratos!I:I,df_extratos!F:F,"&gt;="&amp;Conciliacao!BH486,df_extratos!F:F,"&lt;"&amp;Conciliacao!BH486+1,df_extratos!G:G,"DEBITO")</f>
        <v/>
      </c>
      <c r="O486" s="11">
        <f>N486-SUM(J486:M486)</f>
        <v/>
      </c>
      <c r="P486" s="25">
        <f>SUMIFS(df_ajustes_conciliaco!D:D,df_ajustes_conciliaco!C:C,Conciliacao!A486)</f>
        <v/>
      </c>
      <c r="Q486" s="22">
        <f>O486+I486-P486</f>
        <v/>
      </c>
    </row>
    <row r="487">
      <c r="A487" s="5">
        <f>A486+1</f>
        <v/>
      </c>
      <c r="B487" s="3">
        <f>-SUMIFS(df_extrato_zig!G:G,df_extrato_zig!E:E,Conciliacao!A487,df_extrato_zig!D:D,"Saque")-SUMIFS(df_extrato_zig!G:G,df_extrato_zig!E:E,Conciliacao!A487,df_extrato_zig!D:D,"Antecipação")</f>
        <v/>
      </c>
      <c r="C487" s="3">
        <f>SUMIFS(df_extrato_zig!E:E,df_extrato_zig!L:L,Conciliacao!A487,df_extrato_zig!F:F,"DINHEIRO")</f>
        <v/>
      </c>
      <c r="D487" s="3">
        <f>SUMIFS(view_parc_agrup!H:H,view_parc_agrup!G:G,Conciliacao!A487)</f>
        <v/>
      </c>
      <c r="E487" s="3">
        <f>SUMIFS(df_eventos!F:F,df_eventos!H:H,Conciliacao!A487)</f>
        <v/>
      </c>
      <c r="F487" s="3">
        <f>SUMIFS(df_mutuos!M:M,df_mutuos!B:B,Conciliacao!A487)</f>
        <v/>
      </c>
      <c r="G487" s="6">
        <f>SUMIFS(df_bloqueios_judiciais!G:G,df_bloqueios_judiciais!D:D,Conciliacao!A487,df_bloqueios_judiciais!G:G,"&gt;0")</f>
        <v/>
      </c>
      <c r="H487" s="7">
        <f>SUMIFS(df_extratos!I:I,df_extratos!F:F,"&gt;="&amp;Conciliacao!BE487,df_extratos!F:F,"&lt;"&amp;Conciliacao!BE487+1,df_extratos!G:G,"CREDITO")
+SUMIFS(df_extratos!I:I,df_extratos!F:F,"&gt;="&amp;Conciliacao!A487, df_extratos!F:F,"&lt;"&amp;Conciliacao!A487+1, df_extratos!G:G,"CREDITO")
+SUMIFS(df_extratos!I:I,df_extratos!F:F,"&gt;="&amp;Conciliacao!BF487,df_extratos!F:F,"&lt;"&amp;Conciliacao!BF487+1,df_extratos!G:G,"CREDITO")
+SUMIFS(df_extratos!I:I,df_extratos!F:F,"&gt;="&amp;Conciliacao!BG487,df_extratos!F:F,"&lt;"&amp;Conciliacao!BG487+1,df_extratos!G:G,"CREDITO")
+SUMIFS(df_extratos!I:I,df_extratos!F:F,"&gt;="&amp;Conciliacao!BH487,df_extratos!F:F,"&lt;"&amp;Conciliacao!BH487+1,df_extratos!G:G,"CREDITO")</f>
        <v/>
      </c>
      <c r="I487" s="9">
        <f>H487-SUM(B487:G487)</f>
        <v/>
      </c>
      <c r="J487" s="4">
        <f>SUMIFS(df_blueme_sem_parcelamento!E:E,df_blueme_sem_parcelamento!H:H,Conciliacao!A487)*(-1)</f>
        <v/>
      </c>
      <c r="K487" s="4">
        <f>SUMIFS(df_blueme_com_parcelamento!J:J,df_blueme_com_parcelamento!M:M,Conciliacao!A487)*(-1)</f>
        <v/>
      </c>
      <c r="L487" s="4">
        <f>SUMIFS(df_mutuos!N:N,df_mutuos!B:B,Conciliacao!A487)*(-1)</f>
        <v/>
      </c>
      <c r="M487" s="8">
        <f>SUMIFS(df_bloqueios_judiciais!G:G,df_bloqueios_judiciais!D:D,Conciliacao!A487,df_bloqueios_judiciais!G:G,"&lt;0")</f>
        <v/>
      </c>
      <c r="N487" s="10">
        <f>SUMIFS(df_extratos!I:I,df_extratos!F:F,"&gt;="&amp;Conciliacao!BE487,df_extratos!F:F,"&lt;"&amp;Conciliacao!BE487+1,df_extratos!G:G,"DEBITO")
+SUMIFS(df_extratos!I:I,df_extratos!F:F,"&gt;="&amp;Conciliacao!A487, df_extratos!F:F,"&lt;"&amp;Conciliacao!A487+1, df_extratos!G:G,"DEBITO")
+SUMIFS(df_extratos!I:I,df_extratos!F:F,"&gt;="&amp;Conciliacao!BF487,df_extratos!F:F,"&lt;"&amp;Conciliacao!BF487+1,df_extratos!G:G,"DEBITO")
+SUMIFS(df_extratos!I:I,df_extratos!F:F,"&gt;="&amp;Conciliacao!BG487,df_extratos!F:F,"&lt;"&amp;Conciliacao!BG487+1,df_extratos!G:G,"DEBITO")
+SUMIFS(df_extratos!I:I,df_extratos!F:F,"&gt;="&amp;Conciliacao!BH487,df_extratos!F:F,"&lt;"&amp;Conciliacao!BH487+1,df_extratos!G:G,"DEBITO")</f>
        <v/>
      </c>
      <c r="O487" s="11">
        <f>N487-SUM(J487:M487)</f>
        <v/>
      </c>
      <c r="P487" s="25">
        <f>SUMIFS(df_ajustes_conciliaco!D:D,df_ajustes_conciliaco!C:C,Conciliacao!A487)</f>
        <v/>
      </c>
      <c r="Q487" s="22">
        <f>O487+I487-P487</f>
        <v/>
      </c>
    </row>
    <row r="488">
      <c r="A488" s="5">
        <f>A487+1</f>
        <v/>
      </c>
      <c r="B488" s="3">
        <f>-SUMIFS(df_extrato_zig!G:G,df_extrato_zig!E:E,Conciliacao!A488,df_extrato_zig!D:D,"Saque")-SUMIFS(df_extrato_zig!G:G,df_extrato_zig!E:E,Conciliacao!A488,df_extrato_zig!D:D,"Antecipação")</f>
        <v/>
      </c>
      <c r="C488" s="3">
        <f>SUMIFS(df_extrato_zig!E:E,df_extrato_zig!L:L,Conciliacao!A488,df_extrato_zig!F:F,"DINHEIRO")</f>
        <v/>
      </c>
      <c r="D488" s="3">
        <f>SUMIFS(view_parc_agrup!H:H,view_parc_agrup!G:G,Conciliacao!A488)</f>
        <v/>
      </c>
      <c r="E488" s="3">
        <f>SUMIFS(df_eventos!F:F,df_eventos!H:H,Conciliacao!A488)</f>
        <v/>
      </c>
      <c r="F488" s="3">
        <f>SUMIFS(df_mutuos!M:M,df_mutuos!B:B,Conciliacao!A488)</f>
        <v/>
      </c>
      <c r="G488" s="6">
        <f>SUMIFS(df_bloqueios_judiciais!G:G,df_bloqueios_judiciais!D:D,Conciliacao!A488,df_bloqueios_judiciais!G:G,"&gt;0")</f>
        <v/>
      </c>
      <c r="H488" s="7">
        <f>SUMIFS(df_extratos!I:I,df_extratos!F:F,"&gt;="&amp;Conciliacao!BE488,df_extratos!F:F,"&lt;"&amp;Conciliacao!BE488+1,df_extratos!G:G,"CREDITO")
+SUMIFS(df_extratos!I:I,df_extratos!F:F,"&gt;="&amp;Conciliacao!A488, df_extratos!F:F,"&lt;"&amp;Conciliacao!A488+1, df_extratos!G:G,"CREDITO")
+SUMIFS(df_extratos!I:I,df_extratos!F:F,"&gt;="&amp;Conciliacao!BF488,df_extratos!F:F,"&lt;"&amp;Conciliacao!BF488+1,df_extratos!G:G,"CREDITO")
+SUMIFS(df_extratos!I:I,df_extratos!F:F,"&gt;="&amp;Conciliacao!BG488,df_extratos!F:F,"&lt;"&amp;Conciliacao!BG488+1,df_extratos!G:G,"CREDITO")
+SUMIFS(df_extratos!I:I,df_extratos!F:F,"&gt;="&amp;Conciliacao!BH488,df_extratos!F:F,"&lt;"&amp;Conciliacao!BH488+1,df_extratos!G:G,"CREDITO")</f>
        <v/>
      </c>
      <c r="I488" s="9">
        <f>H488-SUM(B488:G488)</f>
        <v/>
      </c>
      <c r="J488" s="4">
        <f>SUMIFS(df_blueme_sem_parcelamento!E:E,df_blueme_sem_parcelamento!H:H,Conciliacao!A488)*(-1)</f>
        <v/>
      </c>
      <c r="K488" s="4">
        <f>SUMIFS(df_blueme_com_parcelamento!J:J,df_blueme_com_parcelamento!M:M,Conciliacao!A488)*(-1)</f>
        <v/>
      </c>
      <c r="L488" s="4">
        <f>SUMIFS(df_mutuos!N:N,df_mutuos!B:B,Conciliacao!A488)*(-1)</f>
        <v/>
      </c>
      <c r="M488" s="8">
        <f>SUMIFS(df_bloqueios_judiciais!G:G,df_bloqueios_judiciais!D:D,Conciliacao!A488,df_bloqueios_judiciais!G:G,"&lt;0")</f>
        <v/>
      </c>
      <c r="N488" s="10">
        <f>SUMIFS(df_extratos!I:I,df_extratos!F:F,"&gt;="&amp;Conciliacao!BE488,df_extratos!F:F,"&lt;"&amp;Conciliacao!BE488+1,df_extratos!G:G,"DEBITO")
+SUMIFS(df_extratos!I:I,df_extratos!F:F,"&gt;="&amp;Conciliacao!A488, df_extratos!F:F,"&lt;"&amp;Conciliacao!A488+1, df_extratos!G:G,"DEBITO")
+SUMIFS(df_extratos!I:I,df_extratos!F:F,"&gt;="&amp;Conciliacao!BF488,df_extratos!F:F,"&lt;"&amp;Conciliacao!BF488+1,df_extratos!G:G,"DEBITO")
+SUMIFS(df_extratos!I:I,df_extratos!F:F,"&gt;="&amp;Conciliacao!BG488,df_extratos!F:F,"&lt;"&amp;Conciliacao!BG488+1,df_extratos!G:G,"DEBITO")
+SUMIFS(df_extratos!I:I,df_extratos!F:F,"&gt;="&amp;Conciliacao!BH488,df_extratos!F:F,"&lt;"&amp;Conciliacao!BH488+1,df_extratos!G:G,"DEBITO")</f>
        <v/>
      </c>
      <c r="O488" s="11">
        <f>N488-SUM(J488:M488)</f>
        <v/>
      </c>
      <c r="P488" s="25">
        <f>SUMIFS(df_ajustes_conciliaco!D:D,df_ajustes_conciliaco!C:C,Conciliacao!A488)</f>
        <v/>
      </c>
      <c r="Q488" s="22">
        <f>O488+I488-P488</f>
        <v/>
      </c>
    </row>
    <row r="489">
      <c r="A489" s="5">
        <f>A488+1</f>
        <v/>
      </c>
      <c r="B489" s="3">
        <f>-SUMIFS(df_extrato_zig!G:G,df_extrato_zig!E:E,Conciliacao!A489,df_extrato_zig!D:D,"Saque")-SUMIFS(df_extrato_zig!G:G,df_extrato_zig!E:E,Conciliacao!A489,df_extrato_zig!D:D,"Antecipação")</f>
        <v/>
      </c>
      <c r="C489" s="3">
        <f>SUMIFS(df_extrato_zig!E:E,df_extrato_zig!L:L,Conciliacao!A489,df_extrato_zig!F:F,"DINHEIRO")</f>
        <v/>
      </c>
      <c r="D489" s="3">
        <f>SUMIFS(view_parc_agrup!H:H,view_parc_agrup!G:G,Conciliacao!A489)</f>
        <v/>
      </c>
      <c r="E489" s="3">
        <f>SUMIFS(df_eventos!F:F,df_eventos!H:H,Conciliacao!A489)</f>
        <v/>
      </c>
      <c r="F489" s="3">
        <f>SUMIFS(df_mutuos!M:M,df_mutuos!B:B,Conciliacao!A489)</f>
        <v/>
      </c>
      <c r="G489" s="6">
        <f>SUMIFS(df_bloqueios_judiciais!G:G,df_bloqueios_judiciais!D:D,Conciliacao!A489,df_bloqueios_judiciais!G:G,"&gt;0")</f>
        <v/>
      </c>
      <c r="H489" s="7">
        <f>SUMIFS(df_extratos!I:I,df_extratos!F:F,"&gt;="&amp;Conciliacao!BE489,df_extratos!F:F,"&lt;"&amp;Conciliacao!BE489+1,df_extratos!G:G,"CREDITO")
+SUMIFS(df_extratos!I:I,df_extratos!F:F,"&gt;="&amp;Conciliacao!A489, df_extratos!F:F,"&lt;"&amp;Conciliacao!A489+1, df_extratos!G:G,"CREDITO")
+SUMIFS(df_extratos!I:I,df_extratos!F:F,"&gt;="&amp;Conciliacao!BF489,df_extratos!F:F,"&lt;"&amp;Conciliacao!BF489+1,df_extratos!G:G,"CREDITO")
+SUMIFS(df_extratos!I:I,df_extratos!F:F,"&gt;="&amp;Conciliacao!BG489,df_extratos!F:F,"&lt;"&amp;Conciliacao!BG489+1,df_extratos!G:G,"CREDITO")
+SUMIFS(df_extratos!I:I,df_extratos!F:F,"&gt;="&amp;Conciliacao!BH489,df_extratos!F:F,"&lt;"&amp;Conciliacao!BH489+1,df_extratos!G:G,"CREDITO")</f>
        <v/>
      </c>
      <c r="I489" s="9">
        <f>H489-SUM(B489:G489)</f>
        <v/>
      </c>
      <c r="J489" s="4">
        <f>SUMIFS(df_blueme_sem_parcelamento!E:E,df_blueme_sem_parcelamento!H:H,Conciliacao!A489)*(-1)</f>
        <v/>
      </c>
      <c r="K489" s="4">
        <f>SUMIFS(df_blueme_com_parcelamento!J:J,df_blueme_com_parcelamento!M:M,Conciliacao!A489)*(-1)</f>
        <v/>
      </c>
      <c r="L489" s="4">
        <f>SUMIFS(df_mutuos!N:N,df_mutuos!B:B,Conciliacao!A489)*(-1)</f>
        <v/>
      </c>
      <c r="M489" s="8">
        <f>SUMIFS(df_bloqueios_judiciais!G:G,df_bloqueios_judiciais!D:D,Conciliacao!A489,df_bloqueios_judiciais!G:G,"&lt;0")</f>
        <v/>
      </c>
      <c r="N489" s="10">
        <f>SUMIFS(df_extratos!I:I,df_extratos!F:F,"&gt;="&amp;Conciliacao!BE489,df_extratos!F:F,"&lt;"&amp;Conciliacao!BE489+1,df_extratos!G:G,"DEBITO")
+SUMIFS(df_extratos!I:I,df_extratos!F:F,"&gt;="&amp;Conciliacao!A489, df_extratos!F:F,"&lt;"&amp;Conciliacao!A489+1, df_extratos!G:G,"DEBITO")
+SUMIFS(df_extratos!I:I,df_extratos!F:F,"&gt;="&amp;Conciliacao!BF489,df_extratos!F:F,"&lt;"&amp;Conciliacao!BF489+1,df_extratos!G:G,"DEBITO")
+SUMIFS(df_extratos!I:I,df_extratos!F:F,"&gt;="&amp;Conciliacao!BG489,df_extratos!F:F,"&lt;"&amp;Conciliacao!BG489+1,df_extratos!G:G,"DEBITO")
+SUMIFS(df_extratos!I:I,df_extratos!F:F,"&gt;="&amp;Conciliacao!BH489,df_extratos!F:F,"&lt;"&amp;Conciliacao!BH489+1,df_extratos!G:G,"DEBITO")</f>
        <v/>
      </c>
      <c r="O489" s="11">
        <f>N489-SUM(J489:M489)</f>
        <v/>
      </c>
      <c r="P489" s="25">
        <f>SUMIFS(df_ajustes_conciliaco!D:D,df_ajustes_conciliaco!C:C,Conciliacao!A489)</f>
        <v/>
      </c>
      <c r="Q489" s="22">
        <f>O489+I489-P489</f>
        <v/>
      </c>
    </row>
    <row r="490">
      <c r="A490" s="5">
        <f>A489+1</f>
        <v/>
      </c>
      <c r="B490" s="3">
        <f>-SUMIFS(df_extrato_zig!G:G,df_extrato_zig!E:E,Conciliacao!A490,df_extrato_zig!D:D,"Saque")-SUMIFS(df_extrato_zig!G:G,df_extrato_zig!E:E,Conciliacao!A490,df_extrato_zig!D:D,"Antecipação")</f>
        <v/>
      </c>
      <c r="C490" s="3">
        <f>SUMIFS(df_extrato_zig!E:E,df_extrato_zig!L:L,Conciliacao!A490,df_extrato_zig!F:F,"DINHEIRO")</f>
        <v/>
      </c>
      <c r="D490" s="3">
        <f>SUMIFS(view_parc_agrup!H:H,view_parc_agrup!G:G,Conciliacao!A490)</f>
        <v/>
      </c>
      <c r="E490" s="3">
        <f>SUMIFS(df_eventos!F:F,df_eventos!H:H,Conciliacao!A490)</f>
        <v/>
      </c>
      <c r="F490" s="3">
        <f>SUMIFS(df_mutuos!M:M,df_mutuos!B:B,Conciliacao!A490)</f>
        <v/>
      </c>
      <c r="G490" s="6">
        <f>SUMIFS(df_bloqueios_judiciais!G:G,df_bloqueios_judiciais!D:D,Conciliacao!A490,df_bloqueios_judiciais!G:G,"&gt;0")</f>
        <v/>
      </c>
      <c r="H490" s="7">
        <f>SUMIFS(df_extratos!I:I,df_extratos!F:F,"&gt;="&amp;Conciliacao!BE490,df_extratos!F:F,"&lt;"&amp;Conciliacao!BE490+1,df_extratos!G:G,"CREDITO")
+SUMIFS(df_extratos!I:I,df_extratos!F:F,"&gt;="&amp;Conciliacao!A490, df_extratos!F:F,"&lt;"&amp;Conciliacao!A490+1, df_extratos!G:G,"CREDITO")
+SUMIFS(df_extratos!I:I,df_extratos!F:F,"&gt;="&amp;Conciliacao!BF490,df_extratos!F:F,"&lt;"&amp;Conciliacao!BF490+1,df_extratos!G:G,"CREDITO")
+SUMIFS(df_extratos!I:I,df_extratos!F:F,"&gt;="&amp;Conciliacao!BG490,df_extratos!F:F,"&lt;"&amp;Conciliacao!BG490+1,df_extratos!G:G,"CREDITO")
+SUMIFS(df_extratos!I:I,df_extratos!F:F,"&gt;="&amp;Conciliacao!BH490,df_extratos!F:F,"&lt;"&amp;Conciliacao!BH490+1,df_extratos!G:G,"CREDITO")</f>
        <v/>
      </c>
      <c r="I490" s="9">
        <f>H490-SUM(B490:G490)</f>
        <v/>
      </c>
      <c r="J490" s="4">
        <f>SUMIFS(df_blueme_sem_parcelamento!E:E,df_blueme_sem_parcelamento!H:H,Conciliacao!A490)*(-1)</f>
        <v/>
      </c>
      <c r="K490" s="4">
        <f>SUMIFS(df_blueme_com_parcelamento!J:J,df_blueme_com_parcelamento!M:M,Conciliacao!A490)*(-1)</f>
        <v/>
      </c>
      <c r="L490" s="4">
        <f>SUMIFS(df_mutuos!N:N,df_mutuos!B:B,Conciliacao!A490)*(-1)</f>
        <v/>
      </c>
      <c r="M490" s="8">
        <f>SUMIFS(df_bloqueios_judiciais!G:G,df_bloqueios_judiciais!D:D,Conciliacao!A490,df_bloqueios_judiciais!G:G,"&lt;0")</f>
        <v/>
      </c>
      <c r="N490" s="10">
        <f>SUMIFS(df_extratos!I:I,df_extratos!F:F,"&gt;="&amp;Conciliacao!BE490,df_extratos!F:F,"&lt;"&amp;Conciliacao!BE490+1,df_extratos!G:G,"DEBITO")
+SUMIFS(df_extratos!I:I,df_extratos!F:F,"&gt;="&amp;Conciliacao!A490, df_extratos!F:F,"&lt;"&amp;Conciliacao!A490+1, df_extratos!G:G,"DEBITO")
+SUMIFS(df_extratos!I:I,df_extratos!F:F,"&gt;="&amp;Conciliacao!BF490,df_extratos!F:F,"&lt;"&amp;Conciliacao!BF490+1,df_extratos!G:G,"DEBITO")
+SUMIFS(df_extratos!I:I,df_extratos!F:F,"&gt;="&amp;Conciliacao!BG490,df_extratos!F:F,"&lt;"&amp;Conciliacao!BG490+1,df_extratos!G:G,"DEBITO")
+SUMIFS(df_extratos!I:I,df_extratos!F:F,"&gt;="&amp;Conciliacao!BH490,df_extratos!F:F,"&lt;"&amp;Conciliacao!BH490+1,df_extratos!G:G,"DEBITO")</f>
        <v/>
      </c>
      <c r="O490" s="11">
        <f>N490-SUM(J490:M490)</f>
        <v/>
      </c>
      <c r="P490" s="25">
        <f>SUMIFS(df_ajustes_conciliaco!D:D,df_ajustes_conciliaco!C:C,Conciliacao!A490)</f>
        <v/>
      </c>
      <c r="Q490" s="22">
        <f>O490+I490-P490</f>
        <v/>
      </c>
    </row>
    <row r="491">
      <c r="A491" s="5">
        <f>A490+1</f>
        <v/>
      </c>
      <c r="B491" s="3">
        <f>-SUMIFS(df_extrato_zig!G:G,df_extrato_zig!E:E,Conciliacao!A491,df_extrato_zig!D:D,"Saque")-SUMIFS(df_extrato_zig!G:G,df_extrato_zig!E:E,Conciliacao!A491,df_extrato_zig!D:D,"Antecipação")</f>
        <v/>
      </c>
      <c r="C491" s="3">
        <f>SUMIFS(df_extrato_zig!E:E,df_extrato_zig!L:L,Conciliacao!A491,df_extrato_zig!F:F,"DINHEIRO")</f>
        <v/>
      </c>
      <c r="D491" s="3">
        <f>SUMIFS(view_parc_agrup!H:H,view_parc_agrup!G:G,Conciliacao!A491)</f>
        <v/>
      </c>
      <c r="E491" s="3">
        <f>SUMIFS(df_eventos!F:F,df_eventos!H:H,Conciliacao!A491)</f>
        <v/>
      </c>
      <c r="F491" s="3">
        <f>SUMIFS(df_mutuos!M:M,df_mutuos!B:B,Conciliacao!A491)</f>
        <v/>
      </c>
      <c r="G491" s="6">
        <f>SUMIFS(df_bloqueios_judiciais!G:G,df_bloqueios_judiciais!D:D,Conciliacao!A491,df_bloqueios_judiciais!G:G,"&gt;0")</f>
        <v/>
      </c>
      <c r="H491" s="7">
        <f>SUMIFS(df_extratos!I:I,df_extratos!F:F,"&gt;="&amp;Conciliacao!BE491,df_extratos!F:F,"&lt;"&amp;Conciliacao!BE491+1,df_extratos!G:G,"CREDITO")
+SUMIFS(df_extratos!I:I,df_extratos!F:F,"&gt;="&amp;Conciliacao!A491, df_extratos!F:F,"&lt;"&amp;Conciliacao!A491+1, df_extratos!G:G,"CREDITO")
+SUMIFS(df_extratos!I:I,df_extratos!F:F,"&gt;="&amp;Conciliacao!BF491,df_extratos!F:F,"&lt;"&amp;Conciliacao!BF491+1,df_extratos!G:G,"CREDITO")
+SUMIFS(df_extratos!I:I,df_extratos!F:F,"&gt;="&amp;Conciliacao!BG491,df_extratos!F:F,"&lt;"&amp;Conciliacao!BG491+1,df_extratos!G:G,"CREDITO")
+SUMIFS(df_extratos!I:I,df_extratos!F:F,"&gt;="&amp;Conciliacao!BH491,df_extratos!F:F,"&lt;"&amp;Conciliacao!BH491+1,df_extratos!G:G,"CREDITO")</f>
        <v/>
      </c>
      <c r="I491" s="9">
        <f>H491-SUM(B491:G491)</f>
        <v/>
      </c>
      <c r="J491" s="4">
        <f>SUMIFS(df_blueme_sem_parcelamento!E:E,df_blueme_sem_parcelamento!H:H,Conciliacao!A491)*(-1)</f>
        <v/>
      </c>
      <c r="K491" s="4">
        <f>SUMIFS(df_blueme_com_parcelamento!J:J,df_blueme_com_parcelamento!M:M,Conciliacao!A491)*(-1)</f>
        <v/>
      </c>
      <c r="L491" s="4">
        <f>SUMIFS(df_mutuos!N:N,df_mutuos!B:B,Conciliacao!A491)*(-1)</f>
        <v/>
      </c>
      <c r="M491" s="8">
        <f>SUMIFS(df_bloqueios_judiciais!G:G,df_bloqueios_judiciais!D:D,Conciliacao!A491,df_bloqueios_judiciais!G:G,"&lt;0")</f>
        <v/>
      </c>
      <c r="N491" s="10">
        <f>SUMIFS(df_extratos!I:I,df_extratos!F:F,"&gt;="&amp;Conciliacao!BE491,df_extratos!F:F,"&lt;"&amp;Conciliacao!BE491+1,df_extratos!G:G,"DEBITO")
+SUMIFS(df_extratos!I:I,df_extratos!F:F,"&gt;="&amp;Conciliacao!A491, df_extratos!F:F,"&lt;"&amp;Conciliacao!A491+1, df_extratos!G:G,"DEBITO")
+SUMIFS(df_extratos!I:I,df_extratos!F:F,"&gt;="&amp;Conciliacao!BF491,df_extratos!F:F,"&lt;"&amp;Conciliacao!BF491+1,df_extratos!G:G,"DEBITO")
+SUMIFS(df_extratos!I:I,df_extratos!F:F,"&gt;="&amp;Conciliacao!BG491,df_extratos!F:F,"&lt;"&amp;Conciliacao!BG491+1,df_extratos!G:G,"DEBITO")
+SUMIFS(df_extratos!I:I,df_extratos!F:F,"&gt;="&amp;Conciliacao!BH491,df_extratos!F:F,"&lt;"&amp;Conciliacao!BH491+1,df_extratos!G:G,"DEBITO")</f>
        <v/>
      </c>
      <c r="O491" s="11">
        <f>N491-SUM(J491:M491)</f>
        <v/>
      </c>
      <c r="P491" s="25">
        <f>SUMIFS(df_ajustes_conciliaco!D:D,df_ajustes_conciliaco!C:C,Conciliacao!A491)</f>
        <v/>
      </c>
      <c r="Q491" s="22">
        <f>O491+I491-P491</f>
        <v/>
      </c>
    </row>
    <row r="492">
      <c r="A492" s="5">
        <f>A491+1</f>
        <v/>
      </c>
      <c r="B492" s="3">
        <f>-SUMIFS(df_extrato_zig!G:G,df_extrato_zig!E:E,Conciliacao!A492,df_extrato_zig!D:D,"Saque")-SUMIFS(df_extrato_zig!G:G,df_extrato_zig!E:E,Conciliacao!A492,df_extrato_zig!D:D,"Antecipação")</f>
        <v/>
      </c>
      <c r="C492" s="3">
        <f>SUMIFS(df_extrato_zig!E:E,df_extrato_zig!L:L,Conciliacao!A492,df_extrato_zig!F:F,"DINHEIRO")</f>
        <v/>
      </c>
      <c r="D492" s="3">
        <f>SUMIFS(view_parc_agrup!H:H,view_parc_agrup!G:G,Conciliacao!A492)</f>
        <v/>
      </c>
      <c r="E492" s="3">
        <f>SUMIFS(df_eventos!F:F,df_eventos!H:H,Conciliacao!A492)</f>
        <v/>
      </c>
      <c r="F492" s="3">
        <f>SUMIFS(df_mutuos!M:M,df_mutuos!B:B,Conciliacao!A492)</f>
        <v/>
      </c>
      <c r="G492" s="6">
        <f>SUMIFS(df_bloqueios_judiciais!G:G,df_bloqueios_judiciais!D:D,Conciliacao!A492,df_bloqueios_judiciais!G:G,"&gt;0")</f>
        <v/>
      </c>
      <c r="H492" s="7">
        <f>SUMIFS(df_extratos!I:I,df_extratos!F:F,"&gt;="&amp;Conciliacao!BE492,df_extratos!F:F,"&lt;"&amp;Conciliacao!BE492+1,df_extratos!G:G,"CREDITO")
+SUMIFS(df_extratos!I:I,df_extratos!F:F,"&gt;="&amp;Conciliacao!A492, df_extratos!F:F,"&lt;"&amp;Conciliacao!A492+1, df_extratos!G:G,"CREDITO")
+SUMIFS(df_extratos!I:I,df_extratos!F:F,"&gt;="&amp;Conciliacao!BF492,df_extratos!F:F,"&lt;"&amp;Conciliacao!BF492+1,df_extratos!G:G,"CREDITO")
+SUMIFS(df_extratos!I:I,df_extratos!F:F,"&gt;="&amp;Conciliacao!BG492,df_extratos!F:F,"&lt;"&amp;Conciliacao!BG492+1,df_extratos!G:G,"CREDITO")
+SUMIFS(df_extratos!I:I,df_extratos!F:F,"&gt;="&amp;Conciliacao!BH492,df_extratos!F:F,"&lt;"&amp;Conciliacao!BH492+1,df_extratos!G:G,"CREDITO")</f>
        <v/>
      </c>
      <c r="I492" s="9">
        <f>H492-SUM(B492:G492)</f>
        <v/>
      </c>
      <c r="J492" s="4">
        <f>SUMIFS(df_blueme_sem_parcelamento!E:E,df_blueme_sem_parcelamento!H:H,Conciliacao!A492)*(-1)</f>
        <v/>
      </c>
      <c r="K492" s="4">
        <f>SUMIFS(df_blueme_com_parcelamento!J:J,df_blueme_com_parcelamento!M:M,Conciliacao!A492)*(-1)</f>
        <v/>
      </c>
      <c r="L492" s="4">
        <f>SUMIFS(df_mutuos!N:N,df_mutuos!B:B,Conciliacao!A492)*(-1)</f>
        <v/>
      </c>
      <c r="M492" s="8">
        <f>SUMIFS(df_bloqueios_judiciais!G:G,df_bloqueios_judiciais!D:D,Conciliacao!A492,df_bloqueios_judiciais!G:G,"&lt;0")</f>
        <v/>
      </c>
      <c r="N492" s="10">
        <f>SUMIFS(df_extratos!I:I,df_extratos!F:F,"&gt;="&amp;Conciliacao!BE492,df_extratos!F:F,"&lt;"&amp;Conciliacao!BE492+1,df_extratos!G:G,"DEBITO")
+SUMIFS(df_extratos!I:I,df_extratos!F:F,"&gt;="&amp;Conciliacao!A492, df_extratos!F:F,"&lt;"&amp;Conciliacao!A492+1, df_extratos!G:G,"DEBITO")
+SUMIFS(df_extratos!I:I,df_extratos!F:F,"&gt;="&amp;Conciliacao!BF492,df_extratos!F:F,"&lt;"&amp;Conciliacao!BF492+1,df_extratos!G:G,"DEBITO")
+SUMIFS(df_extratos!I:I,df_extratos!F:F,"&gt;="&amp;Conciliacao!BG492,df_extratos!F:F,"&lt;"&amp;Conciliacao!BG492+1,df_extratos!G:G,"DEBITO")
+SUMIFS(df_extratos!I:I,df_extratos!F:F,"&gt;="&amp;Conciliacao!BH492,df_extratos!F:F,"&lt;"&amp;Conciliacao!BH492+1,df_extratos!G:G,"DEBITO")</f>
        <v/>
      </c>
      <c r="O492" s="11">
        <f>N492-SUM(J492:M492)</f>
        <v/>
      </c>
      <c r="P492" s="25">
        <f>SUMIFS(df_ajustes_conciliaco!D:D,df_ajustes_conciliaco!C:C,Conciliacao!A492)</f>
        <v/>
      </c>
      <c r="Q492" s="22">
        <f>O492+I492-P492</f>
        <v/>
      </c>
    </row>
    <row r="493">
      <c r="A493" s="5">
        <f>A492+1</f>
        <v/>
      </c>
      <c r="B493" s="3">
        <f>-SUMIFS(df_extrato_zig!G:G,df_extrato_zig!E:E,Conciliacao!A493,df_extrato_zig!D:D,"Saque")-SUMIFS(df_extrato_zig!G:G,df_extrato_zig!E:E,Conciliacao!A493,df_extrato_zig!D:D,"Antecipação")</f>
        <v/>
      </c>
      <c r="C493" s="3">
        <f>SUMIFS(df_extrato_zig!E:E,df_extrato_zig!L:L,Conciliacao!A493,df_extrato_zig!F:F,"DINHEIRO")</f>
        <v/>
      </c>
      <c r="D493" s="3">
        <f>SUMIFS(view_parc_agrup!H:H,view_parc_agrup!G:G,Conciliacao!A493)</f>
        <v/>
      </c>
      <c r="E493" s="3">
        <f>SUMIFS(df_eventos!F:F,df_eventos!H:H,Conciliacao!A493)</f>
        <v/>
      </c>
      <c r="F493" s="3">
        <f>SUMIFS(df_mutuos!M:M,df_mutuos!B:B,Conciliacao!A493)</f>
        <v/>
      </c>
      <c r="G493" s="6">
        <f>SUMIFS(df_bloqueios_judiciais!G:G,df_bloqueios_judiciais!D:D,Conciliacao!A493,df_bloqueios_judiciais!G:G,"&gt;0")</f>
        <v/>
      </c>
      <c r="H493" s="7">
        <f>SUMIFS(df_extratos!I:I,df_extratos!F:F,"&gt;="&amp;Conciliacao!BE493,df_extratos!F:F,"&lt;"&amp;Conciliacao!BE493+1,df_extratos!G:G,"CREDITO")
+SUMIFS(df_extratos!I:I,df_extratos!F:F,"&gt;="&amp;Conciliacao!A493, df_extratos!F:F,"&lt;"&amp;Conciliacao!A493+1, df_extratos!G:G,"CREDITO")
+SUMIFS(df_extratos!I:I,df_extratos!F:F,"&gt;="&amp;Conciliacao!BF493,df_extratos!F:F,"&lt;"&amp;Conciliacao!BF493+1,df_extratos!G:G,"CREDITO")
+SUMIFS(df_extratos!I:I,df_extratos!F:F,"&gt;="&amp;Conciliacao!BG493,df_extratos!F:F,"&lt;"&amp;Conciliacao!BG493+1,df_extratos!G:G,"CREDITO")
+SUMIFS(df_extratos!I:I,df_extratos!F:F,"&gt;="&amp;Conciliacao!BH493,df_extratos!F:F,"&lt;"&amp;Conciliacao!BH493+1,df_extratos!G:G,"CREDITO")</f>
        <v/>
      </c>
      <c r="I493" s="9">
        <f>H493-SUM(B493:G493)</f>
        <v/>
      </c>
      <c r="J493" s="4">
        <f>SUMIFS(df_blueme_sem_parcelamento!E:E,df_blueme_sem_parcelamento!H:H,Conciliacao!A493)*(-1)</f>
        <v/>
      </c>
      <c r="K493" s="4">
        <f>SUMIFS(df_blueme_com_parcelamento!J:J,df_blueme_com_parcelamento!M:M,Conciliacao!A493)*(-1)</f>
        <v/>
      </c>
      <c r="L493" s="4">
        <f>SUMIFS(df_mutuos!N:N,df_mutuos!B:B,Conciliacao!A493)*(-1)</f>
        <v/>
      </c>
      <c r="M493" s="8">
        <f>SUMIFS(df_bloqueios_judiciais!G:G,df_bloqueios_judiciais!D:D,Conciliacao!A493,df_bloqueios_judiciais!G:G,"&lt;0")</f>
        <v/>
      </c>
      <c r="N493" s="10">
        <f>SUMIFS(df_extratos!I:I,df_extratos!F:F,"&gt;="&amp;Conciliacao!BE493,df_extratos!F:F,"&lt;"&amp;Conciliacao!BE493+1,df_extratos!G:G,"DEBITO")
+SUMIFS(df_extratos!I:I,df_extratos!F:F,"&gt;="&amp;Conciliacao!A493, df_extratos!F:F,"&lt;"&amp;Conciliacao!A493+1, df_extratos!G:G,"DEBITO")
+SUMIFS(df_extratos!I:I,df_extratos!F:F,"&gt;="&amp;Conciliacao!BF493,df_extratos!F:F,"&lt;"&amp;Conciliacao!BF493+1,df_extratos!G:G,"DEBITO")
+SUMIFS(df_extratos!I:I,df_extratos!F:F,"&gt;="&amp;Conciliacao!BG493,df_extratos!F:F,"&lt;"&amp;Conciliacao!BG493+1,df_extratos!G:G,"DEBITO")
+SUMIFS(df_extratos!I:I,df_extratos!F:F,"&gt;="&amp;Conciliacao!BH493,df_extratos!F:F,"&lt;"&amp;Conciliacao!BH493+1,df_extratos!G:G,"DEBITO")</f>
        <v/>
      </c>
      <c r="O493" s="11">
        <f>N493-SUM(J493:M493)</f>
        <v/>
      </c>
      <c r="P493" s="25">
        <f>SUMIFS(df_ajustes_conciliaco!D:D,df_ajustes_conciliaco!C:C,Conciliacao!A493)</f>
        <v/>
      </c>
      <c r="Q493" s="22">
        <f>O493+I493-P493</f>
        <v/>
      </c>
    </row>
    <row r="494">
      <c r="A494" s="5">
        <f>A493+1</f>
        <v/>
      </c>
      <c r="B494" s="3">
        <f>-SUMIFS(df_extrato_zig!G:G,df_extrato_zig!E:E,Conciliacao!A494,df_extrato_zig!D:D,"Saque")-SUMIFS(df_extrato_zig!G:G,df_extrato_zig!E:E,Conciliacao!A494,df_extrato_zig!D:D,"Antecipação")</f>
        <v/>
      </c>
      <c r="C494" s="3">
        <f>SUMIFS(df_extrato_zig!E:E,df_extrato_zig!L:L,Conciliacao!A494,df_extrato_zig!F:F,"DINHEIRO")</f>
        <v/>
      </c>
      <c r="D494" s="3">
        <f>SUMIFS(view_parc_agrup!H:H,view_parc_agrup!G:G,Conciliacao!A494)</f>
        <v/>
      </c>
      <c r="E494" s="3">
        <f>SUMIFS(df_eventos!F:F,df_eventos!H:H,Conciliacao!A494)</f>
        <v/>
      </c>
      <c r="F494" s="3">
        <f>SUMIFS(df_mutuos!M:M,df_mutuos!B:B,Conciliacao!A494)</f>
        <v/>
      </c>
      <c r="G494" s="6">
        <f>SUMIFS(df_bloqueios_judiciais!G:G,df_bloqueios_judiciais!D:D,Conciliacao!A494,df_bloqueios_judiciais!G:G,"&gt;0")</f>
        <v/>
      </c>
      <c r="H494" s="7">
        <f>SUMIFS(df_extratos!I:I,df_extratos!F:F,"&gt;="&amp;Conciliacao!BE494,df_extratos!F:F,"&lt;"&amp;Conciliacao!BE494+1,df_extratos!G:G,"CREDITO")
+SUMIFS(df_extratos!I:I,df_extratos!F:F,"&gt;="&amp;Conciliacao!A494, df_extratos!F:F,"&lt;"&amp;Conciliacao!A494+1, df_extratos!G:G,"CREDITO")
+SUMIFS(df_extratos!I:I,df_extratos!F:F,"&gt;="&amp;Conciliacao!BF494,df_extratos!F:F,"&lt;"&amp;Conciliacao!BF494+1,df_extratos!G:G,"CREDITO")
+SUMIFS(df_extratos!I:I,df_extratos!F:F,"&gt;="&amp;Conciliacao!BG494,df_extratos!F:F,"&lt;"&amp;Conciliacao!BG494+1,df_extratos!G:G,"CREDITO")
+SUMIFS(df_extratos!I:I,df_extratos!F:F,"&gt;="&amp;Conciliacao!BH494,df_extratos!F:F,"&lt;"&amp;Conciliacao!BH494+1,df_extratos!G:G,"CREDITO")</f>
        <v/>
      </c>
      <c r="I494" s="9">
        <f>H494-SUM(B494:G494)</f>
        <v/>
      </c>
      <c r="J494" s="4">
        <f>SUMIFS(df_blueme_sem_parcelamento!E:E,df_blueme_sem_parcelamento!H:H,Conciliacao!A494)*(-1)</f>
        <v/>
      </c>
      <c r="K494" s="4">
        <f>SUMIFS(df_blueme_com_parcelamento!J:J,df_blueme_com_parcelamento!M:M,Conciliacao!A494)*(-1)</f>
        <v/>
      </c>
      <c r="L494" s="4">
        <f>SUMIFS(df_mutuos!N:N,df_mutuos!B:B,Conciliacao!A494)*(-1)</f>
        <v/>
      </c>
      <c r="M494" s="8">
        <f>SUMIFS(df_bloqueios_judiciais!G:G,df_bloqueios_judiciais!D:D,Conciliacao!A494,df_bloqueios_judiciais!G:G,"&lt;0")</f>
        <v/>
      </c>
      <c r="N494" s="10">
        <f>SUMIFS(df_extratos!I:I,df_extratos!F:F,"&gt;="&amp;Conciliacao!BE494,df_extratos!F:F,"&lt;"&amp;Conciliacao!BE494+1,df_extratos!G:G,"DEBITO")
+SUMIFS(df_extratos!I:I,df_extratos!F:F,"&gt;="&amp;Conciliacao!A494, df_extratos!F:F,"&lt;"&amp;Conciliacao!A494+1, df_extratos!G:G,"DEBITO")
+SUMIFS(df_extratos!I:I,df_extratos!F:F,"&gt;="&amp;Conciliacao!BF494,df_extratos!F:F,"&lt;"&amp;Conciliacao!BF494+1,df_extratos!G:G,"DEBITO")
+SUMIFS(df_extratos!I:I,df_extratos!F:F,"&gt;="&amp;Conciliacao!BG494,df_extratos!F:F,"&lt;"&amp;Conciliacao!BG494+1,df_extratos!G:G,"DEBITO")
+SUMIFS(df_extratos!I:I,df_extratos!F:F,"&gt;="&amp;Conciliacao!BH494,df_extratos!F:F,"&lt;"&amp;Conciliacao!BH494+1,df_extratos!G:G,"DEBITO")</f>
        <v/>
      </c>
      <c r="O494" s="11">
        <f>N494-SUM(J494:M494)</f>
        <v/>
      </c>
      <c r="P494" s="25">
        <f>SUMIFS(df_ajustes_conciliaco!D:D,df_ajustes_conciliaco!C:C,Conciliacao!A494)</f>
        <v/>
      </c>
      <c r="Q494" s="22">
        <f>O494+I494-P494</f>
        <v/>
      </c>
    </row>
    <row r="495">
      <c r="A495" s="5">
        <f>A494+1</f>
        <v/>
      </c>
      <c r="B495" s="3">
        <f>-SUMIFS(df_extrato_zig!G:G,df_extrato_zig!E:E,Conciliacao!A495,df_extrato_zig!D:D,"Saque")-SUMIFS(df_extrato_zig!G:G,df_extrato_zig!E:E,Conciliacao!A495,df_extrato_zig!D:D,"Antecipação")</f>
        <v/>
      </c>
      <c r="C495" s="3">
        <f>SUMIFS(df_extrato_zig!E:E,df_extrato_zig!L:L,Conciliacao!A495,df_extrato_zig!F:F,"DINHEIRO")</f>
        <v/>
      </c>
      <c r="D495" s="3">
        <f>SUMIFS(view_parc_agrup!H:H,view_parc_agrup!G:G,Conciliacao!A495)</f>
        <v/>
      </c>
      <c r="E495" s="3">
        <f>SUMIFS(df_eventos!F:F,df_eventos!H:H,Conciliacao!A495)</f>
        <v/>
      </c>
      <c r="F495" s="3">
        <f>SUMIFS(df_mutuos!M:M,df_mutuos!B:B,Conciliacao!A495)</f>
        <v/>
      </c>
      <c r="G495" s="6">
        <f>SUMIFS(df_bloqueios_judiciais!G:G,df_bloqueios_judiciais!D:D,Conciliacao!A495,df_bloqueios_judiciais!G:G,"&gt;0")</f>
        <v/>
      </c>
      <c r="H495" s="7">
        <f>SUMIFS(df_extratos!I:I,df_extratos!F:F,"&gt;="&amp;Conciliacao!BE495,df_extratos!F:F,"&lt;"&amp;Conciliacao!BE495+1,df_extratos!G:G,"CREDITO")
+SUMIFS(df_extratos!I:I,df_extratos!F:F,"&gt;="&amp;Conciliacao!A495, df_extratos!F:F,"&lt;"&amp;Conciliacao!A495+1, df_extratos!G:G,"CREDITO")
+SUMIFS(df_extratos!I:I,df_extratos!F:F,"&gt;="&amp;Conciliacao!BF495,df_extratos!F:F,"&lt;"&amp;Conciliacao!BF495+1,df_extratos!G:G,"CREDITO")
+SUMIFS(df_extratos!I:I,df_extratos!F:F,"&gt;="&amp;Conciliacao!BG495,df_extratos!F:F,"&lt;"&amp;Conciliacao!BG495+1,df_extratos!G:G,"CREDITO")
+SUMIFS(df_extratos!I:I,df_extratos!F:F,"&gt;="&amp;Conciliacao!BH495,df_extratos!F:F,"&lt;"&amp;Conciliacao!BH495+1,df_extratos!G:G,"CREDITO")</f>
        <v/>
      </c>
      <c r="I495" s="9">
        <f>H495-SUM(B495:G495)</f>
        <v/>
      </c>
      <c r="J495" s="4">
        <f>SUMIFS(df_blueme_sem_parcelamento!E:E,df_blueme_sem_parcelamento!H:H,Conciliacao!A495)*(-1)</f>
        <v/>
      </c>
      <c r="K495" s="4">
        <f>SUMIFS(df_blueme_com_parcelamento!J:J,df_blueme_com_parcelamento!M:M,Conciliacao!A495)*(-1)</f>
        <v/>
      </c>
      <c r="L495" s="4">
        <f>SUMIFS(df_mutuos!N:N,df_mutuos!B:B,Conciliacao!A495)*(-1)</f>
        <v/>
      </c>
      <c r="M495" s="8">
        <f>SUMIFS(df_bloqueios_judiciais!G:G,df_bloqueios_judiciais!D:D,Conciliacao!A495,df_bloqueios_judiciais!G:G,"&lt;0")</f>
        <v/>
      </c>
      <c r="N495" s="10">
        <f>SUMIFS(df_extratos!I:I,df_extratos!F:F,"&gt;="&amp;Conciliacao!BE495,df_extratos!F:F,"&lt;"&amp;Conciliacao!BE495+1,df_extratos!G:G,"DEBITO")
+SUMIFS(df_extratos!I:I,df_extratos!F:F,"&gt;="&amp;Conciliacao!A495, df_extratos!F:F,"&lt;"&amp;Conciliacao!A495+1, df_extratos!G:G,"DEBITO")
+SUMIFS(df_extratos!I:I,df_extratos!F:F,"&gt;="&amp;Conciliacao!BF495,df_extratos!F:F,"&lt;"&amp;Conciliacao!BF495+1,df_extratos!G:G,"DEBITO")
+SUMIFS(df_extratos!I:I,df_extratos!F:F,"&gt;="&amp;Conciliacao!BG495,df_extratos!F:F,"&lt;"&amp;Conciliacao!BG495+1,df_extratos!G:G,"DEBITO")
+SUMIFS(df_extratos!I:I,df_extratos!F:F,"&gt;="&amp;Conciliacao!BH495,df_extratos!F:F,"&lt;"&amp;Conciliacao!BH495+1,df_extratos!G:G,"DEBITO")</f>
        <v/>
      </c>
      <c r="O495" s="11">
        <f>N495-SUM(J495:M495)</f>
        <v/>
      </c>
      <c r="P495" s="25">
        <f>SUMIFS(df_ajustes_conciliaco!D:D,df_ajustes_conciliaco!C:C,Conciliacao!A495)</f>
        <v/>
      </c>
      <c r="Q495" s="22">
        <f>O495+I495-P495</f>
        <v/>
      </c>
    </row>
    <row r="496">
      <c r="A496" s="5">
        <f>A495+1</f>
        <v/>
      </c>
      <c r="B496" s="3">
        <f>-SUMIFS(df_extrato_zig!G:G,df_extrato_zig!E:E,Conciliacao!A496,df_extrato_zig!D:D,"Saque")-SUMIFS(df_extrato_zig!G:G,df_extrato_zig!E:E,Conciliacao!A496,df_extrato_zig!D:D,"Antecipação")</f>
        <v/>
      </c>
      <c r="C496" s="3">
        <f>SUMIFS(df_extrato_zig!E:E,df_extrato_zig!L:L,Conciliacao!A496,df_extrato_zig!F:F,"DINHEIRO")</f>
        <v/>
      </c>
      <c r="D496" s="3">
        <f>SUMIFS(view_parc_agrup!H:H,view_parc_agrup!G:G,Conciliacao!A496)</f>
        <v/>
      </c>
      <c r="E496" s="3">
        <f>SUMIFS(df_eventos!F:F,df_eventos!H:H,Conciliacao!A496)</f>
        <v/>
      </c>
      <c r="F496" s="3">
        <f>SUMIFS(df_mutuos!M:M,df_mutuos!B:B,Conciliacao!A496)</f>
        <v/>
      </c>
      <c r="G496" s="6">
        <f>SUMIFS(df_bloqueios_judiciais!G:G,df_bloqueios_judiciais!D:D,Conciliacao!A496,df_bloqueios_judiciais!G:G,"&gt;0")</f>
        <v/>
      </c>
      <c r="H496" s="7">
        <f>SUMIFS(df_extratos!I:I,df_extratos!F:F,"&gt;="&amp;Conciliacao!BE496,df_extratos!F:F,"&lt;"&amp;Conciliacao!BE496+1,df_extratos!G:G,"CREDITO")
+SUMIFS(df_extratos!I:I,df_extratos!F:F,"&gt;="&amp;Conciliacao!A496, df_extratos!F:F,"&lt;"&amp;Conciliacao!A496+1, df_extratos!G:G,"CREDITO")
+SUMIFS(df_extratos!I:I,df_extratos!F:F,"&gt;="&amp;Conciliacao!BF496,df_extratos!F:F,"&lt;"&amp;Conciliacao!BF496+1,df_extratos!G:G,"CREDITO")
+SUMIFS(df_extratos!I:I,df_extratos!F:F,"&gt;="&amp;Conciliacao!BG496,df_extratos!F:F,"&lt;"&amp;Conciliacao!BG496+1,df_extratos!G:G,"CREDITO")
+SUMIFS(df_extratos!I:I,df_extratos!F:F,"&gt;="&amp;Conciliacao!BH496,df_extratos!F:F,"&lt;"&amp;Conciliacao!BH496+1,df_extratos!G:G,"CREDITO")</f>
        <v/>
      </c>
      <c r="I496" s="9">
        <f>H496-SUM(B496:G496)</f>
        <v/>
      </c>
      <c r="J496" s="4">
        <f>SUMIFS(df_blueme_sem_parcelamento!E:E,df_blueme_sem_parcelamento!H:H,Conciliacao!A496)*(-1)</f>
        <v/>
      </c>
      <c r="K496" s="4">
        <f>SUMIFS(df_blueme_com_parcelamento!J:J,df_blueme_com_parcelamento!M:M,Conciliacao!A496)*(-1)</f>
        <v/>
      </c>
      <c r="L496" s="4">
        <f>SUMIFS(df_mutuos!N:N,df_mutuos!B:B,Conciliacao!A496)*(-1)</f>
        <v/>
      </c>
      <c r="M496" s="8">
        <f>SUMIFS(df_bloqueios_judiciais!G:G,df_bloqueios_judiciais!D:D,Conciliacao!A496,df_bloqueios_judiciais!G:G,"&lt;0")</f>
        <v/>
      </c>
      <c r="N496" s="10">
        <f>SUMIFS(df_extratos!I:I,df_extratos!F:F,"&gt;="&amp;Conciliacao!BE496,df_extratos!F:F,"&lt;"&amp;Conciliacao!BE496+1,df_extratos!G:G,"DEBITO")
+SUMIFS(df_extratos!I:I,df_extratos!F:F,"&gt;="&amp;Conciliacao!A496, df_extratos!F:F,"&lt;"&amp;Conciliacao!A496+1, df_extratos!G:G,"DEBITO")
+SUMIFS(df_extratos!I:I,df_extratos!F:F,"&gt;="&amp;Conciliacao!BF496,df_extratos!F:F,"&lt;"&amp;Conciliacao!BF496+1,df_extratos!G:G,"DEBITO")
+SUMIFS(df_extratos!I:I,df_extratos!F:F,"&gt;="&amp;Conciliacao!BG496,df_extratos!F:F,"&lt;"&amp;Conciliacao!BG496+1,df_extratos!G:G,"DEBITO")
+SUMIFS(df_extratos!I:I,df_extratos!F:F,"&gt;="&amp;Conciliacao!BH496,df_extratos!F:F,"&lt;"&amp;Conciliacao!BH496+1,df_extratos!G:G,"DEBITO")</f>
        <v/>
      </c>
      <c r="O496" s="11">
        <f>N496-SUM(J496:M496)</f>
        <v/>
      </c>
      <c r="P496" s="25">
        <f>SUMIFS(df_ajustes_conciliaco!D:D,df_ajustes_conciliaco!C:C,Conciliacao!A496)</f>
        <v/>
      </c>
      <c r="Q496" s="22">
        <f>O496+I496-P496</f>
        <v/>
      </c>
    </row>
    <row r="497">
      <c r="A497" s="5">
        <f>A496+1</f>
        <v/>
      </c>
      <c r="B497" s="3">
        <f>-SUMIFS(df_extrato_zig!G:G,df_extrato_zig!E:E,Conciliacao!A497,df_extrato_zig!D:D,"Saque")-SUMIFS(df_extrato_zig!G:G,df_extrato_zig!E:E,Conciliacao!A497,df_extrato_zig!D:D,"Antecipação")</f>
        <v/>
      </c>
      <c r="C497" s="3">
        <f>SUMIFS(df_extrato_zig!E:E,df_extrato_zig!L:L,Conciliacao!A497,df_extrato_zig!F:F,"DINHEIRO")</f>
        <v/>
      </c>
      <c r="D497" s="3">
        <f>SUMIFS(view_parc_agrup!H:H,view_parc_agrup!G:G,Conciliacao!A497)</f>
        <v/>
      </c>
      <c r="E497" s="3">
        <f>SUMIFS(df_eventos!F:F,df_eventos!H:H,Conciliacao!A497)</f>
        <v/>
      </c>
      <c r="F497" s="3">
        <f>SUMIFS(df_mutuos!M:M,df_mutuos!B:B,Conciliacao!A497)</f>
        <v/>
      </c>
      <c r="G497" s="6">
        <f>SUMIFS(df_bloqueios_judiciais!G:G,df_bloqueios_judiciais!D:D,Conciliacao!A497,df_bloqueios_judiciais!G:G,"&gt;0")</f>
        <v/>
      </c>
      <c r="H497" s="7">
        <f>SUMIFS(df_extratos!I:I,df_extratos!F:F,"&gt;="&amp;Conciliacao!BE497,df_extratos!F:F,"&lt;"&amp;Conciliacao!BE497+1,df_extratos!G:G,"CREDITO")
+SUMIFS(df_extratos!I:I,df_extratos!F:F,"&gt;="&amp;Conciliacao!A497, df_extratos!F:F,"&lt;"&amp;Conciliacao!A497+1, df_extratos!G:G,"CREDITO")
+SUMIFS(df_extratos!I:I,df_extratos!F:F,"&gt;="&amp;Conciliacao!BF497,df_extratos!F:F,"&lt;"&amp;Conciliacao!BF497+1,df_extratos!G:G,"CREDITO")
+SUMIFS(df_extratos!I:I,df_extratos!F:F,"&gt;="&amp;Conciliacao!BG497,df_extratos!F:F,"&lt;"&amp;Conciliacao!BG497+1,df_extratos!G:G,"CREDITO")
+SUMIFS(df_extratos!I:I,df_extratos!F:F,"&gt;="&amp;Conciliacao!BH497,df_extratos!F:F,"&lt;"&amp;Conciliacao!BH497+1,df_extratos!G:G,"CREDITO")</f>
        <v/>
      </c>
      <c r="I497" s="9">
        <f>H497-SUM(B497:G497)</f>
        <v/>
      </c>
      <c r="J497" s="4">
        <f>SUMIFS(df_blueme_sem_parcelamento!E:E,df_blueme_sem_parcelamento!H:H,Conciliacao!A497)*(-1)</f>
        <v/>
      </c>
      <c r="K497" s="4">
        <f>SUMIFS(df_blueme_com_parcelamento!J:J,df_blueme_com_parcelamento!M:M,Conciliacao!A497)*(-1)</f>
        <v/>
      </c>
      <c r="L497" s="4">
        <f>SUMIFS(df_mutuos!N:N,df_mutuos!B:B,Conciliacao!A497)*(-1)</f>
        <v/>
      </c>
      <c r="M497" s="8">
        <f>SUMIFS(df_bloqueios_judiciais!G:G,df_bloqueios_judiciais!D:D,Conciliacao!A497,df_bloqueios_judiciais!G:G,"&lt;0")</f>
        <v/>
      </c>
      <c r="N497" s="10">
        <f>SUMIFS(df_extratos!I:I,df_extratos!F:F,"&gt;="&amp;Conciliacao!BE497,df_extratos!F:F,"&lt;"&amp;Conciliacao!BE497+1,df_extratos!G:G,"DEBITO")
+SUMIFS(df_extratos!I:I,df_extratos!F:F,"&gt;="&amp;Conciliacao!A497, df_extratos!F:F,"&lt;"&amp;Conciliacao!A497+1, df_extratos!G:G,"DEBITO")
+SUMIFS(df_extratos!I:I,df_extratos!F:F,"&gt;="&amp;Conciliacao!BF497,df_extratos!F:F,"&lt;"&amp;Conciliacao!BF497+1,df_extratos!G:G,"DEBITO")
+SUMIFS(df_extratos!I:I,df_extratos!F:F,"&gt;="&amp;Conciliacao!BG497,df_extratos!F:F,"&lt;"&amp;Conciliacao!BG497+1,df_extratos!G:G,"DEBITO")
+SUMIFS(df_extratos!I:I,df_extratos!F:F,"&gt;="&amp;Conciliacao!BH497,df_extratos!F:F,"&lt;"&amp;Conciliacao!BH497+1,df_extratos!G:G,"DEBITO")</f>
        <v/>
      </c>
      <c r="O497" s="11">
        <f>N497-SUM(J497:M497)</f>
        <v/>
      </c>
      <c r="P497" s="25">
        <f>SUMIFS(df_ajustes_conciliaco!D:D,df_ajustes_conciliaco!C:C,Conciliacao!A497)</f>
        <v/>
      </c>
      <c r="Q497" s="22">
        <f>O497+I497-P497</f>
        <v/>
      </c>
    </row>
    <row r="498">
      <c r="A498" s="5">
        <f>A497+1</f>
        <v/>
      </c>
      <c r="B498" s="3">
        <f>-SUMIFS(df_extrato_zig!G:G,df_extrato_zig!E:E,Conciliacao!A498,df_extrato_zig!D:D,"Saque")-SUMIFS(df_extrato_zig!G:G,df_extrato_zig!E:E,Conciliacao!A498,df_extrato_zig!D:D,"Antecipação")</f>
        <v/>
      </c>
      <c r="C498" s="3">
        <f>SUMIFS(df_extrato_zig!E:E,df_extrato_zig!L:L,Conciliacao!A498,df_extrato_zig!F:F,"DINHEIRO")</f>
        <v/>
      </c>
      <c r="D498" s="3">
        <f>SUMIFS(view_parc_agrup!H:H,view_parc_agrup!G:G,Conciliacao!A498)</f>
        <v/>
      </c>
      <c r="E498" s="3">
        <f>SUMIFS(df_eventos!F:F,df_eventos!H:H,Conciliacao!A498)</f>
        <v/>
      </c>
      <c r="F498" s="3">
        <f>SUMIFS(df_mutuos!M:M,df_mutuos!B:B,Conciliacao!A498)</f>
        <v/>
      </c>
      <c r="G498" s="6">
        <f>SUMIFS(df_bloqueios_judiciais!G:G,df_bloqueios_judiciais!D:D,Conciliacao!A498,df_bloqueios_judiciais!G:G,"&gt;0")</f>
        <v/>
      </c>
      <c r="H498" s="7">
        <f>SUMIFS(df_extratos!I:I,df_extratos!F:F,"&gt;="&amp;Conciliacao!BE498,df_extratos!F:F,"&lt;"&amp;Conciliacao!BE498+1,df_extratos!G:G,"CREDITO")
+SUMIFS(df_extratos!I:I,df_extratos!F:F,"&gt;="&amp;Conciliacao!A498, df_extratos!F:F,"&lt;"&amp;Conciliacao!A498+1, df_extratos!G:G,"CREDITO")
+SUMIFS(df_extratos!I:I,df_extratos!F:F,"&gt;="&amp;Conciliacao!BF498,df_extratos!F:F,"&lt;"&amp;Conciliacao!BF498+1,df_extratos!G:G,"CREDITO")
+SUMIFS(df_extratos!I:I,df_extratos!F:F,"&gt;="&amp;Conciliacao!BG498,df_extratos!F:F,"&lt;"&amp;Conciliacao!BG498+1,df_extratos!G:G,"CREDITO")
+SUMIFS(df_extratos!I:I,df_extratos!F:F,"&gt;="&amp;Conciliacao!BH498,df_extratos!F:F,"&lt;"&amp;Conciliacao!BH498+1,df_extratos!G:G,"CREDITO")</f>
        <v/>
      </c>
      <c r="I498" s="9">
        <f>H498-SUM(B498:G498)</f>
        <v/>
      </c>
      <c r="J498" s="4">
        <f>SUMIFS(df_blueme_sem_parcelamento!E:E,df_blueme_sem_parcelamento!H:H,Conciliacao!A498)*(-1)</f>
        <v/>
      </c>
      <c r="K498" s="4">
        <f>SUMIFS(df_blueme_com_parcelamento!J:J,df_blueme_com_parcelamento!M:M,Conciliacao!A498)*(-1)</f>
        <v/>
      </c>
      <c r="L498" s="4">
        <f>SUMIFS(df_mutuos!N:N,df_mutuos!B:B,Conciliacao!A498)*(-1)</f>
        <v/>
      </c>
      <c r="M498" s="8">
        <f>SUMIFS(df_bloqueios_judiciais!G:G,df_bloqueios_judiciais!D:D,Conciliacao!A498,df_bloqueios_judiciais!G:G,"&lt;0")</f>
        <v/>
      </c>
      <c r="N498" s="10">
        <f>SUMIFS(df_extratos!I:I,df_extratos!F:F,"&gt;="&amp;Conciliacao!BE498,df_extratos!F:F,"&lt;"&amp;Conciliacao!BE498+1,df_extratos!G:G,"DEBITO")
+SUMIFS(df_extratos!I:I,df_extratos!F:F,"&gt;="&amp;Conciliacao!A498, df_extratos!F:F,"&lt;"&amp;Conciliacao!A498+1, df_extratos!G:G,"DEBITO")
+SUMIFS(df_extratos!I:I,df_extratos!F:F,"&gt;="&amp;Conciliacao!BF498,df_extratos!F:F,"&lt;"&amp;Conciliacao!BF498+1,df_extratos!G:G,"DEBITO")
+SUMIFS(df_extratos!I:I,df_extratos!F:F,"&gt;="&amp;Conciliacao!BG498,df_extratos!F:F,"&lt;"&amp;Conciliacao!BG498+1,df_extratos!G:G,"DEBITO")
+SUMIFS(df_extratos!I:I,df_extratos!F:F,"&gt;="&amp;Conciliacao!BH498,df_extratos!F:F,"&lt;"&amp;Conciliacao!BH498+1,df_extratos!G:G,"DEBITO")</f>
        <v/>
      </c>
      <c r="O498" s="11">
        <f>N498-SUM(J498:M498)</f>
        <v/>
      </c>
      <c r="P498" s="25">
        <f>SUMIFS(df_ajustes_conciliaco!D:D,df_ajustes_conciliaco!C:C,Conciliacao!A498)</f>
        <v/>
      </c>
      <c r="Q498" s="22">
        <f>O498+I498-P498</f>
        <v/>
      </c>
    </row>
    <row r="499">
      <c r="A499" s="5">
        <f>A498+1</f>
        <v/>
      </c>
      <c r="B499" s="3">
        <f>-SUMIFS(df_extrato_zig!G:G,df_extrato_zig!E:E,Conciliacao!A499,df_extrato_zig!D:D,"Saque")-SUMIFS(df_extrato_zig!G:G,df_extrato_zig!E:E,Conciliacao!A499,df_extrato_zig!D:D,"Antecipação")</f>
        <v/>
      </c>
      <c r="C499" s="3">
        <f>SUMIFS(df_extrato_zig!E:E,df_extrato_zig!L:L,Conciliacao!A499,df_extrato_zig!F:F,"DINHEIRO")</f>
        <v/>
      </c>
      <c r="D499" s="3">
        <f>SUMIFS(view_parc_agrup!H:H,view_parc_agrup!G:G,Conciliacao!A499)</f>
        <v/>
      </c>
      <c r="E499" s="3">
        <f>SUMIFS(df_eventos!F:F,df_eventos!H:H,Conciliacao!A499)</f>
        <v/>
      </c>
      <c r="F499" s="3">
        <f>SUMIFS(df_mutuos!M:M,df_mutuos!B:B,Conciliacao!A499)</f>
        <v/>
      </c>
      <c r="G499" s="6">
        <f>SUMIFS(df_bloqueios_judiciais!G:G,df_bloqueios_judiciais!D:D,Conciliacao!A499,df_bloqueios_judiciais!G:G,"&gt;0")</f>
        <v/>
      </c>
      <c r="H499" s="7">
        <f>SUMIFS(df_extratos!I:I,df_extratos!F:F,"&gt;="&amp;Conciliacao!BE499,df_extratos!F:F,"&lt;"&amp;Conciliacao!BE499+1,df_extratos!G:G,"CREDITO")
+SUMIFS(df_extratos!I:I,df_extratos!F:F,"&gt;="&amp;Conciliacao!A499, df_extratos!F:F,"&lt;"&amp;Conciliacao!A499+1, df_extratos!G:G,"CREDITO")
+SUMIFS(df_extratos!I:I,df_extratos!F:F,"&gt;="&amp;Conciliacao!BF499,df_extratos!F:F,"&lt;"&amp;Conciliacao!BF499+1,df_extratos!G:G,"CREDITO")
+SUMIFS(df_extratos!I:I,df_extratos!F:F,"&gt;="&amp;Conciliacao!BG499,df_extratos!F:F,"&lt;"&amp;Conciliacao!BG499+1,df_extratos!G:G,"CREDITO")
+SUMIFS(df_extratos!I:I,df_extratos!F:F,"&gt;="&amp;Conciliacao!BH499,df_extratos!F:F,"&lt;"&amp;Conciliacao!BH499+1,df_extratos!G:G,"CREDITO")</f>
        <v/>
      </c>
      <c r="I499" s="9">
        <f>H499-SUM(B499:G499)</f>
        <v/>
      </c>
      <c r="J499" s="4">
        <f>SUMIFS(df_blueme_sem_parcelamento!E:E,df_blueme_sem_parcelamento!H:H,Conciliacao!A499)*(-1)</f>
        <v/>
      </c>
      <c r="K499" s="4">
        <f>SUMIFS(df_blueme_com_parcelamento!J:J,df_blueme_com_parcelamento!M:M,Conciliacao!A499)*(-1)</f>
        <v/>
      </c>
      <c r="L499" s="4">
        <f>SUMIFS(df_mutuos!N:N,df_mutuos!B:B,Conciliacao!A499)*(-1)</f>
        <v/>
      </c>
      <c r="M499" s="8">
        <f>SUMIFS(df_bloqueios_judiciais!G:G,df_bloqueios_judiciais!D:D,Conciliacao!A499,df_bloqueios_judiciais!G:G,"&lt;0")</f>
        <v/>
      </c>
      <c r="N499" s="10">
        <f>SUMIFS(df_extratos!I:I,df_extratos!F:F,"&gt;="&amp;Conciliacao!BE499,df_extratos!F:F,"&lt;"&amp;Conciliacao!BE499+1,df_extratos!G:G,"DEBITO")
+SUMIFS(df_extratos!I:I,df_extratos!F:F,"&gt;="&amp;Conciliacao!A499, df_extratos!F:F,"&lt;"&amp;Conciliacao!A499+1, df_extratos!G:G,"DEBITO")
+SUMIFS(df_extratos!I:I,df_extratos!F:F,"&gt;="&amp;Conciliacao!BF499,df_extratos!F:F,"&lt;"&amp;Conciliacao!BF499+1,df_extratos!G:G,"DEBITO")
+SUMIFS(df_extratos!I:I,df_extratos!F:F,"&gt;="&amp;Conciliacao!BG499,df_extratos!F:F,"&lt;"&amp;Conciliacao!BG499+1,df_extratos!G:G,"DEBITO")
+SUMIFS(df_extratos!I:I,df_extratos!F:F,"&gt;="&amp;Conciliacao!BH499,df_extratos!F:F,"&lt;"&amp;Conciliacao!BH499+1,df_extratos!G:G,"DEBITO")</f>
        <v/>
      </c>
      <c r="O499" s="11">
        <f>N499-SUM(J499:M499)</f>
        <v/>
      </c>
      <c r="P499" s="25">
        <f>SUMIFS(df_ajustes_conciliaco!D:D,df_ajustes_conciliaco!C:C,Conciliacao!A499)</f>
        <v/>
      </c>
      <c r="Q499" s="22">
        <f>O499+I499-P499</f>
        <v/>
      </c>
    </row>
    <row r="500">
      <c r="A500" s="5">
        <f>A499+1</f>
        <v/>
      </c>
      <c r="B500" s="3">
        <f>-SUMIFS(df_extrato_zig!G:G,df_extrato_zig!E:E,Conciliacao!A500,df_extrato_zig!D:D,"Saque")-SUMIFS(df_extrato_zig!G:G,df_extrato_zig!E:E,Conciliacao!A500,df_extrato_zig!D:D,"Antecipação")</f>
        <v/>
      </c>
      <c r="C500" s="3">
        <f>SUMIFS(df_extrato_zig!E:E,df_extrato_zig!L:L,Conciliacao!A500,df_extrato_zig!F:F,"DINHEIRO")</f>
        <v/>
      </c>
      <c r="D500" s="3">
        <f>SUMIFS(view_parc_agrup!H:H,view_parc_agrup!G:G,Conciliacao!A500)</f>
        <v/>
      </c>
      <c r="E500" s="3">
        <f>SUMIFS(df_eventos!F:F,df_eventos!H:H,Conciliacao!A500)</f>
        <v/>
      </c>
      <c r="F500" s="3">
        <f>SUMIFS(df_mutuos!M:M,df_mutuos!B:B,Conciliacao!A500)</f>
        <v/>
      </c>
      <c r="G500" s="6">
        <f>SUMIFS(df_bloqueios_judiciais!G:G,df_bloqueios_judiciais!D:D,Conciliacao!A500,df_bloqueios_judiciais!G:G,"&gt;0")</f>
        <v/>
      </c>
      <c r="H500" s="7">
        <f>SUMIFS(df_extratos!I:I,df_extratos!F:F,"&gt;="&amp;Conciliacao!BE500,df_extratos!F:F,"&lt;"&amp;Conciliacao!BE500+1,df_extratos!G:G,"CREDITO")
+SUMIFS(df_extratos!I:I,df_extratos!F:F,"&gt;="&amp;Conciliacao!A500, df_extratos!F:F,"&lt;"&amp;Conciliacao!A500+1, df_extratos!G:G,"CREDITO")
+SUMIFS(df_extratos!I:I,df_extratos!F:F,"&gt;="&amp;Conciliacao!BF500,df_extratos!F:F,"&lt;"&amp;Conciliacao!BF500+1,df_extratos!G:G,"CREDITO")
+SUMIFS(df_extratos!I:I,df_extratos!F:F,"&gt;="&amp;Conciliacao!BG500,df_extratos!F:F,"&lt;"&amp;Conciliacao!BG500+1,df_extratos!G:G,"CREDITO")
+SUMIFS(df_extratos!I:I,df_extratos!F:F,"&gt;="&amp;Conciliacao!BH500,df_extratos!F:F,"&lt;"&amp;Conciliacao!BH500+1,df_extratos!G:G,"CREDITO")</f>
        <v/>
      </c>
      <c r="I500" s="9">
        <f>H500-SUM(B500:G500)</f>
        <v/>
      </c>
      <c r="J500" s="4">
        <f>SUMIFS(df_blueme_sem_parcelamento!E:E,df_blueme_sem_parcelamento!H:H,Conciliacao!A500)*(-1)</f>
        <v/>
      </c>
      <c r="K500" s="4">
        <f>SUMIFS(df_blueme_com_parcelamento!J:J,df_blueme_com_parcelamento!M:M,Conciliacao!A500)*(-1)</f>
        <v/>
      </c>
      <c r="L500" s="4">
        <f>SUMIFS(df_mutuos!N:N,df_mutuos!B:B,Conciliacao!A500)*(-1)</f>
        <v/>
      </c>
      <c r="M500" s="8">
        <f>SUMIFS(df_bloqueios_judiciais!G:G,df_bloqueios_judiciais!D:D,Conciliacao!A500,df_bloqueios_judiciais!G:G,"&lt;0")</f>
        <v/>
      </c>
      <c r="N500" s="10">
        <f>SUMIFS(df_extratos!I:I,df_extratos!F:F,"&gt;="&amp;Conciliacao!BE500,df_extratos!F:F,"&lt;"&amp;Conciliacao!BE500+1,df_extratos!G:G,"DEBITO")
+SUMIFS(df_extratos!I:I,df_extratos!F:F,"&gt;="&amp;Conciliacao!A500, df_extratos!F:F,"&lt;"&amp;Conciliacao!A500+1, df_extratos!G:G,"DEBITO")
+SUMIFS(df_extratos!I:I,df_extratos!F:F,"&gt;="&amp;Conciliacao!BF500,df_extratos!F:F,"&lt;"&amp;Conciliacao!BF500+1,df_extratos!G:G,"DEBITO")
+SUMIFS(df_extratos!I:I,df_extratos!F:F,"&gt;="&amp;Conciliacao!BG500,df_extratos!F:F,"&lt;"&amp;Conciliacao!BG500+1,df_extratos!G:G,"DEBITO")
+SUMIFS(df_extratos!I:I,df_extratos!F:F,"&gt;="&amp;Conciliacao!BH500,df_extratos!F:F,"&lt;"&amp;Conciliacao!BH500+1,df_extratos!G:G,"DEBITO")</f>
        <v/>
      </c>
      <c r="O500" s="11">
        <f>N500-SUM(J500:M500)</f>
        <v/>
      </c>
      <c r="P500" s="25">
        <f>SUMIFS(df_ajustes_conciliaco!D:D,df_ajustes_conciliaco!C:C,Conciliacao!A500)</f>
        <v/>
      </c>
      <c r="Q500" s="22">
        <f>O500+I500-P500</f>
        <v/>
      </c>
    </row>
    <row r="501">
      <c r="A501" s="5">
        <f>A500+1</f>
        <v/>
      </c>
      <c r="B501" s="3">
        <f>-SUMIFS(df_extrato_zig!G:G,df_extrato_zig!E:E,Conciliacao!A501,df_extrato_zig!D:D,"Saque")-SUMIFS(df_extrato_zig!G:G,df_extrato_zig!E:E,Conciliacao!A501,df_extrato_zig!D:D,"Antecipação")</f>
        <v/>
      </c>
      <c r="C501" s="3">
        <f>SUMIFS(df_extrato_zig!E:E,df_extrato_zig!L:L,Conciliacao!A501,df_extrato_zig!F:F,"DINHEIRO")</f>
        <v/>
      </c>
      <c r="D501" s="3">
        <f>SUMIFS(view_parc_agrup!H:H,view_parc_agrup!G:G,Conciliacao!A501)</f>
        <v/>
      </c>
      <c r="E501" s="3">
        <f>SUMIFS(df_eventos!F:F,df_eventos!H:H,Conciliacao!A501)</f>
        <v/>
      </c>
      <c r="F501" s="3">
        <f>SUMIFS(df_mutuos!M:M,df_mutuos!B:B,Conciliacao!A501)</f>
        <v/>
      </c>
      <c r="G501" s="6">
        <f>SUMIFS(df_bloqueios_judiciais!G:G,df_bloqueios_judiciais!D:D,Conciliacao!A501,df_bloqueios_judiciais!G:G,"&gt;0")</f>
        <v/>
      </c>
      <c r="H501" s="7">
        <f>SUMIFS(df_extratos!I:I,df_extratos!F:F,"&gt;="&amp;Conciliacao!BE501,df_extratos!F:F,"&lt;"&amp;Conciliacao!BE501+1,df_extratos!G:G,"CREDITO")
+SUMIFS(df_extratos!I:I,df_extratos!F:F,"&gt;="&amp;Conciliacao!A501, df_extratos!F:F,"&lt;"&amp;Conciliacao!A501+1, df_extratos!G:G,"CREDITO")
+SUMIFS(df_extratos!I:I,df_extratos!F:F,"&gt;="&amp;Conciliacao!BF501,df_extratos!F:F,"&lt;"&amp;Conciliacao!BF501+1,df_extratos!G:G,"CREDITO")
+SUMIFS(df_extratos!I:I,df_extratos!F:F,"&gt;="&amp;Conciliacao!BG501,df_extratos!F:F,"&lt;"&amp;Conciliacao!BG501+1,df_extratos!G:G,"CREDITO")
+SUMIFS(df_extratos!I:I,df_extratos!F:F,"&gt;="&amp;Conciliacao!BH501,df_extratos!F:F,"&lt;"&amp;Conciliacao!BH501+1,df_extratos!G:G,"CREDITO")</f>
        <v/>
      </c>
      <c r="I501" s="9">
        <f>H501-SUM(B501:G501)</f>
        <v/>
      </c>
      <c r="J501" s="4">
        <f>SUMIFS(df_blueme_sem_parcelamento!E:E,df_blueme_sem_parcelamento!H:H,Conciliacao!A501)*(-1)</f>
        <v/>
      </c>
      <c r="K501" s="4">
        <f>SUMIFS(df_blueme_com_parcelamento!J:J,df_blueme_com_parcelamento!M:M,Conciliacao!A501)*(-1)</f>
        <v/>
      </c>
      <c r="L501" s="4">
        <f>SUMIFS(df_mutuos!N:N,df_mutuos!B:B,Conciliacao!A501)*(-1)</f>
        <v/>
      </c>
      <c r="M501" s="8">
        <f>SUMIFS(df_bloqueios_judiciais!G:G,df_bloqueios_judiciais!D:D,Conciliacao!A501,df_bloqueios_judiciais!G:G,"&lt;0")</f>
        <v/>
      </c>
      <c r="N501" s="10">
        <f>SUMIFS(df_extratos!I:I,df_extratos!F:F,"&gt;="&amp;Conciliacao!BE501,df_extratos!F:F,"&lt;"&amp;Conciliacao!BE501+1,df_extratos!G:G,"DEBITO")
+SUMIFS(df_extratos!I:I,df_extratos!F:F,"&gt;="&amp;Conciliacao!A501, df_extratos!F:F,"&lt;"&amp;Conciliacao!A501+1, df_extratos!G:G,"DEBITO")
+SUMIFS(df_extratos!I:I,df_extratos!F:F,"&gt;="&amp;Conciliacao!BF501,df_extratos!F:F,"&lt;"&amp;Conciliacao!BF501+1,df_extratos!G:G,"DEBITO")
+SUMIFS(df_extratos!I:I,df_extratos!F:F,"&gt;="&amp;Conciliacao!BG501,df_extratos!F:F,"&lt;"&amp;Conciliacao!BG501+1,df_extratos!G:G,"DEBITO")
+SUMIFS(df_extratos!I:I,df_extratos!F:F,"&gt;="&amp;Conciliacao!BH501,df_extratos!F:F,"&lt;"&amp;Conciliacao!BH501+1,df_extratos!G:G,"DEBITO")</f>
        <v/>
      </c>
      <c r="O501" s="11">
        <f>N501-SUM(J501:M501)</f>
        <v/>
      </c>
      <c r="P501" s="25">
        <f>SUMIFS(df_ajustes_conciliaco!D:D,df_ajustes_conciliaco!C:C,Conciliacao!A501)</f>
        <v/>
      </c>
      <c r="Q501" s="22">
        <f>O501+I501-P501</f>
        <v/>
      </c>
    </row>
    <row r="502">
      <c r="A502" s="5">
        <f>A501+1</f>
        <v/>
      </c>
      <c r="B502" s="3">
        <f>-SUMIFS(df_extrato_zig!G:G,df_extrato_zig!E:E,Conciliacao!A502,df_extrato_zig!D:D,"Saque")-SUMIFS(df_extrato_zig!G:G,df_extrato_zig!E:E,Conciliacao!A502,df_extrato_zig!D:D,"Antecipação")</f>
        <v/>
      </c>
      <c r="C502" s="3">
        <f>SUMIFS(df_extrato_zig!E:E,df_extrato_zig!L:L,Conciliacao!A502,df_extrato_zig!F:F,"DINHEIRO")</f>
        <v/>
      </c>
      <c r="D502" s="3">
        <f>SUMIFS(view_parc_agrup!H:H,view_parc_agrup!G:G,Conciliacao!A502)</f>
        <v/>
      </c>
      <c r="E502" s="3">
        <f>SUMIFS(df_eventos!F:F,df_eventos!H:H,Conciliacao!A502)</f>
        <v/>
      </c>
      <c r="F502" s="3">
        <f>SUMIFS(df_mutuos!M:M,df_mutuos!B:B,Conciliacao!A502)</f>
        <v/>
      </c>
      <c r="G502" s="6">
        <f>SUMIFS(df_bloqueios_judiciais!G:G,df_bloqueios_judiciais!D:D,Conciliacao!A502,df_bloqueios_judiciais!G:G,"&gt;0")</f>
        <v/>
      </c>
      <c r="H502" s="7">
        <f>SUMIFS(df_extratos!I:I,df_extratos!F:F,"&gt;="&amp;Conciliacao!BE502,df_extratos!F:F,"&lt;"&amp;Conciliacao!BE502+1,df_extratos!G:G,"CREDITO")
+SUMIFS(df_extratos!I:I,df_extratos!F:F,"&gt;="&amp;Conciliacao!A502, df_extratos!F:F,"&lt;"&amp;Conciliacao!A502+1, df_extratos!G:G,"CREDITO")
+SUMIFS(df_extratos!I:I,df_extratos!F:F,"&gt;="&amp;Conciliacao!BF502,df_extratos!F:F,"&lt;"&amp;Conciliacao!BF502+1,df_extratos!G:G,"CREDITO")
+SUMIFS(df_extratos!I:I,df_extratos!F:F,"&gt;="&amp;Conciliacao!BG502,df_extratos!F:F,"&lt;"&amp;Conciliacao!BG502+1,df_extratos!G:G,"CREDITO")
+SUMIFS(df_extratos!I:I,df_extratos!F:F,"&gt;="&amp;Conciliacao!BH502,df_extratos!F:F,"&lt;"&amp;Conciliacao!BH502+1,df_extratos!G:G,"CREDITO")</f>
        <v/>
      </c>
      <c r="I502" s="9">
        <f>H502-SUM(B502:G502)</f>
        <v/>
      </c>
      <c r="J502" s="4">
        <f>SUMIFS(df_blueme_sem_parcelamento!E:E,df_blueme_sem_parcelamento!H:H,Conciliacao!A502)*(-1)</f>
        <v/>
      </c>
      <c r="K502" s="4">
        <f>SUMIFS(df_blueme_com_parcelamento!J:J,df_blueme_com_parcelamento!M:M,Conciliacao!A502)*(-1)</f>
        <v/>
      </c>
      <c r="L502" s="4">
        <f>SUMIFS(df_mutuos!N:N,df_mutuos!B:B,Conciliacao!A502)*(-1)</f>
        <v/>
      </c>
      <c r="M502" s="8">
        <f>SUMIFS(df_bloqueios_judiciais!G:G,df_bloqueios_judiciais!D:D,Conciliacao!A502,df_bloqueios_judiciais!G:G,"&lt;0")</f>
        <v/>
      </c>
      <c r="N502" s="10">
        <f>SUMIFS(df_extratos!I:I,df_extratos!F:F,"&gt;="&amp;Conciliacao!BE502,df_extratos!F:F,"&lt;"&amp;Conciliacao!BE502+1,df_extratos!G:G,"DEBITO")
+SUMIFS(df_extratos!I:I,df_extratos!F:F,"&gt;="&amp;Conciliacao!A502, df_extratos!F:F,"&lt;"&amp;Conciliacao!A502+1, df_extratos!G:G,"DEBITO")
+SUMIFS(df_extratos!I:I,df_extratos!F:F,"&gt;="&amp;Conciliacao!BF502,df_extratos!F:F,"&lt;"&amp;Conciliacao!BF502+1,df_extratos!G:G,"DEBITO")
+SUMIFS(df_extratos!I:I,df_extratos!F:F,"&gt;="&amp;Conciliacao!BG502,df_extratos!F:F,"&lt;"&amp;Conciliacao!BG502+1,df_extratos!G:G,"DEBITO")
+SUMIFS(df_extratos!I:I,df_extratos!F:F,"&gt;="&amp;Conciliacao!BH502,df_extratos!F:F,"&lt;"&amp;Conciliacao!BH502+1,df_extratos!G:G,"DEBITO")</f>
        <v/>
      </c>
      <c r="O502" s="11">
        <f>N502-SUM(J502:M502)</f>
        <v/>
      </c>
      <c r="P502" s="25">
        <f>SUMIFS(df_ajustes_conciliaco!D:D,df_ajustes_conciliaco!C:C,Conciliacao!A502)</f>
        <v/>
      </c>
      <c r="Q502" s="22">
        <f>O502+I502-P502</f>
        <v/>
      </c>
    </row>
    <row r="503">
      <c r="A503" s="5">
        <f>A502+1</f>
        <v/>
      </c>
      <c r="B503" s="3">
        <f>-SUMIFS(df_extrato_zig!G:G,df_extrato_zig!E:E,Conciliacao!A503,df_extrato_zig!D:D,"Saque")-SUMIFS(df_extrato_zig!G:G,df_extrato_zig!E:E,Conciliacao!A503,df_extrato_zig!D:D,"Antecipação")</f>
        <v/>
      </c>
      <c r="C503" s="3">
        <f>SUMIFS(df_extrato_zig!E:E,df_extrato_zig!L:L,Conciliacao!A503,df_extrato_zig!F:F,"DINHEIRO")</f>
        <v/>
      </c>
      <c r="D503" s="3">
        <f>SUMIFS(view_parc_agrup!H:H,view_parc_agrup!G:G,Conciliacao!A503)</f>
        <v/>
      </c>
      <c r="E503" s="3">
        <f>SUMIFS(df_eventos!F:F,df_eventos!H:H,Conciliacao!A503)</f>
        <v/>
      </c>
      <c r="F503" s="3">
        <f>SUMIFS(df_mutuos!M:M,df_mutuos!B:B,Conciliacao!A503)</f>
        <v/>
      </c>
      <c r="G503" s="6">
        <f>SUMIFS(df_bloqueios_judiciais!G:G,df_bloqueios_judiciais!D:D,Conciliacao!A503,df_bloqueios_judiciais!G:G,"&gt;0")</f>
        <v/>
      </c>
      <c r="H503" s="7">
        <f>SUMIFS(df_extratos!I:I,df_extratos!F:F,"&gt;="&amp;Conciliacao!BE503,df_extratos!F:F,"&lt;"&amp;Conciliacao!BE503+1,df_extratos!G:G,"CREDITO")
+SUMIFS(df_extratos!I:I,df_extratos!F:F,"&gt;="&amp;Conciliacao!A503, df_extratos!F:F,"&lt;"&amp;Conciliacao!A503+1, df_extratos!G:G,"CREDITO")
+SUMIFS(df_extratos!I:I,df_extratos!F:F,"&gt;="&amp;Conciliacao!BF503,df_extratos!F:F,"&lt;"&amp;Conciliacao!BF503+1,df_extratos!G:G,"CREDITO")
+SUMIFS(df_extratos!I:I,df_extratos!F:F,"&gt;="&amp;Conciliacao!BG503,df_extratos!F:F,"&lt;"&amp;Conciliacao!BG503+1,df_extratos!G:G,"CREDITO")
+SUMIFS(df_extratos!I:I,df_extratos!F:F,"&gt;="&amp;Conciliacao!BH503,df_extratos!F:F,"&lt;"&amp;Conciliacao!BH503+1,df_extratos!G:G,"CREDITO")</f>
        <v/>
      </c>
      <c r="I503" s="9">
        <f>H503-SUM(B503:G503)</f>
        <v/>
      </c>
      <c r="J503" s="4">
        <f>SUMIFS(df_blueme_sem_parcelamento!E:E,df_blueme_sem_parcelamento!H:H,Conciliacao!A503)*(-1)</f>
        <v/>
      </c>
      <c r="K503" s="4">
        <f>SUMIFS(df_blueme_com_parcelamento!J:J,df_blueme_com_parcelamento!M:M,Conciliacao!A503)*(-1)</f>
        <v/>
      </c>
      <c r="L503" s="4">
        <f>SUMIFS(df_mutuos!N:N,df_mutuos!B:B,Conciliacao!A503)*(-1)</f>
        <v/>
      </c>
      <c r="M503" s="8">
        <f>SUMIFS(df_bloqueios_judiciais!G:G,df_bloqueios_judiciais!D:D,Conciliacao!A503,df_bloqueios_judiciais!G:G,"&lt;0")</f>
        <v/>
      </c>
      <c r="N503" s="10">
        <f>SUMIFS(df_extratos!I:I,df_extratos!F:F,"&gt;="&amp;Conciliacao!BE503,df_extratos!F:F,"&lt;"&amp;Conciliacao!BE503+1,df_extratos!G:G,"DEBITO")
+SUMIFS(df_extratos!I:I,df_extratos!F:F,"&gt;="&amp;Conciliacao!A503, df_extratos!F:F,"&lt;"&amp;Conciliacao!A503+1, df_extratos!G:G,"DEBITO")
+SUMIFS(df_extratos!I:I,df_extratos!F:F,"&gt;="&amp;Conciliacao!BF503,df_extratos!F:F,"&lt;"&amp;Conciliacao!BF503+1,df_extratos!G:G,"DEBITO")
+SUMIFS(df_extratos!I:I,df_extratos!F:F,"&gt;="&amp;Conciliacao!BG503,df_extratos!F:F,"&lt;"&amp;Conciliacao!BG503+1,df_extratos!G:G,"DEBITO")
+SUMIFS(df_extratos!I:I,df_extratos!F:F,"&gt;="&amp;Conciliacao!BH503,df_extratos!F:F,"&lt;"&amp;Conciliacao!BH503+1,df_extratos!G:G,"DEBITO")</f>
        <v/>
      </c>
      <c r="O503" s="11">
        <f>N503-SUM(J503:M503)</f>
        <v/>
      </c>
      <c r="P503" s="25">
        <f>SUMIFS(df_ajustes_conciliaco!D:D,df_ajustes_conciliaco!C:C,Conciliacao!A503)</f>
        <v/>
      </c>
      <c r="Q503" s="22">
        <f>O503+I503-P503</f>
        <v/>
      </c>
    </row>
    <row r="504">
      <c r="A504" s="5">
        <f>A503+1</f>
        <v/>
      </c>
      <c r="B504" s="3">
        <f>-SUMIFS(df_extrato_zig!G:G,df_extrato_zig!E:E,Conciliacao!A504,df_extrato_zig!D:D,"Saque")-SUMIFS(df_extrato_zig!G:G,df_extrato_zig!E:E,Conciliacao!A504,df_extrato_zig!D:D,"Antecipação")</f>
        <v/>
      </c>
      <c r="C504" s="3">
        <f>SUMIFS(df_extrato_zig!E:E,df_extrato_zig!L:L,Conciliacao!A504,df_extrato_zig!F:F,"DINHEIRO")</f>
        <v/>
      </c>
      <c r="D504" s="3">
        <f>SUMIFS(view_parc_agrup!H:H,view_parc_agrup!G:G,Conciliacao!A504)</f>
        <v/>
      </c>
      <c r="E504" s="3">
        <f>SUMIFS(df_eventos!F:F,df_eventos!H:H,Conciliacao!A504)</f>
        <v/>
      </c>
      <c r="F504" s="3">
        <f>SUMIFS(df_mutuos!M:M,df_mutuos!B:B,Conciliacao!A504)</f>
        <v/>
      </c>
      <c r="G504" s="6">
        <f>SUMIFS(df_bloqueios_judiciais!G:G,df_bloqueios_judiciais!D:D,Conciliacao!A504,df_bloqueios_judiciais!G:G,"&gt;0")</f>
        <v/>
      </c>
      <c r="H504" s="7">
        <f>SUMIFS(df_extratos!I:I,df_extratos!F:F,"&gt;="&amp;Conciliacao!BE504,df_extratos!F:F,"&lt;"&amp;Conciliacao!BE504+1,df_extratos!G:G,"CREDITO")
+SUMIFS(df_extratos!I:I,df_extratos!F:F,"&gt;="&amp;Conciliacao!A504, df_extratos!F:F,"&lt;"&amp;Conciliacao!A504+1, df_extratos!G:G,"CREDITO")
+SUMIFS(df_extratos!I:I,df_extratos!F:F,"&gt;="&amp;Conciliacao!BF504,df_extratos!F:F,"&lt;"&amp;Conciliacao!BF504+1,df_extratos!G:G,"CREDITO")
+SUMIFS(df_extratos!I:I,df_extratos!F:F,"&gt;="&amp;Conciliacao!BG504,df_extratos!F:F,"&lt;"&amp;Conciliacao!BG504+1,df_extratos!G:G,"CREDITO")
+SUMIFS(df_extratos!I:I,df_extratos!F:F,"&gt;="&amp;Conciliacao!BH504,df_extratos!F:F,"&lt;"&amp;Conciliacao!BH504+1,df_extratos!G:G,"CREDITO")</f>
        <v/>
      </c>
      <c r="I504" s="9">
        <f>H504-SUM(B504:G504)</f>
        <v/>
      </c>
      <c r="J504" s="4">
        <f>SUMIFS(df_blueme_sem_parcelamento!E:E,df_blueme_sem_parcelamento!H:H,Conciliacao!A504)*(-1)</f>
        <v/>
      </c>
      <c r="K504" s="4">
        <f>SUMIFS(df_blueme_com_parcelamento!J:J,df_blueme_com_parcelamento!M:M,Conciliacao!A504)*(-1)</f>
        <v/>
      </c>
      <c r="L504" s="4">
        <f>SUMIFS(df_mutuos!N:N,df_mutuos!B:B,Conciliacao!A504)*(-1)</f>
        <v/>
      </c>
      <c r="M504" s="8">
        <f>SUMIFS(df_bloqueios_judiciais!G:G,df_bloqueios_judiciais!D:D,Conciliacao!A504,df_bloqueios_judiciais!G:G,"&lt;0")</f>
        <v/>
      </c>
      <c r="N504" s="10">
        <f>SUMIFS(df_extratos!I:I,df_extratos!F:F,"&gt;="&amp;Conciliacao!BE504,df_extratos!F:F,"&lt;"&amp;Conciliacao!BE504+1,df_extratos!G:G,"DEBITO")
+SUMIFS(df_extratos!I:I,df_extratos!F:F,"&gt;="&amp;Conciliacao!A504, df_extratos!F:F,"&lt;"&amp;Conciliacao!A504+1, df_extratos!G:G,"DEBITO")
+SUMIFS(df_extratos!I:I,df_extratos!F:F,"&gt;="&amp;Conciliacao!BF504,df_extratos!F:F,"&lt;"&amp;Conciliacao!BF504+1,df_extratos!G:G,"DEBITO")
+SUMIFS(df_extratos!I:I,df_extratos!F:F,"&gt;="&amp;Conciliacao!BG504,df_extratos!F:F,"&lt;"&amp;Conciliacao!BG504+1,df_extratos!G:G,"DEBITO")
+SUMIFS(df_extratos!I:I,df_extratos!F:F,"&gt;="&amp;Conciliacao!BH504,df_extratos!F:F,"&lt;"&amp;Conciliacao!BH504+1,df_extratos!G:G,"DEBITO")</f>
        <v/>
      </c>
      <c r="O504" s="11">
        <f>N504-SUM(J504:M504)</f>
        <v/>
      </c>
      <c r="P504" s="25">
        <f>SUMIFS(df_ajustes_conciliaco!D:D,df_ajustes_conciliaco!C:C,Conciliacao!A504)</f>
        <v/>
      </c>
      <c r="Q504" s="22">
        <f>O504+I504-P504</f>
        <v/>
      </c>
    </row>
    <row r="505">
      <c r="A505" s="5">
        <f>A504+1</f>
        <v/>
      </c>
      <c r="B505" s="3">
        <f>-SUMIFS(df_extrato_zig!G:G,df_extrato_zig!E:E,Conciliacao!A505,df_extrato_zig!D:D,"Saque")-SUMIFS(df_extrato_zig!G:G,df_extrato_zig!E:E,Conciliacao!A505,df_extrato_zig!D:D,"Antecipação")</f>
        <v/>
      </c>
      <c r="C505" s="3">
        <f>SUMIFS(df_extrato_zig!E:E,df_extrato_zig!L:L,Conciliacao!A505,df_extrato_zig!F:F,"DINHEIRO")</f>
        <v/>
      </c>
      <c r="D505" s="3">
        <f>SUMIFS(view_parc_agrup!H:H,view_parc_agrup!G:G,Conciliacao!A505)</f>
        <v/>
      </c>
      <c r="E505" s="3">
        <f>SUMIFS(df_eventos!F:F,df_eventos!H:H,Conciliacao!A505)</f>
        <v/>
      </c>
      <c r="F505" s="3">
        <f>SUMIFS(df_mutuos!M:M,df_mutuos!B:B,Conciliacao!A505)</f>
        <v/>
      </c>
      <c r="G505" s="6">
        <f>SUMIFS(df_bloqueios_judiciais!G:G,df_bloqueios_judiciais!D:D,Conciliacao!A505,df_bloqueios_judiciais!G:G,"&gt;0")</f>
        <v/>
      </c>
      <c r="H505" s="7">
        <f>SUMIFS(df_extratos!I:I,df_extratos!F:F,"&gt;="&amp;Conciliacao!BE505,df_extratos!F:F,"&lt;"&amp;Conciliacao!BE505+1,df_extratos!G:G,"CREDITO")
+SUMIFS(df_extratos!I:I,df_extratos!F:F,"&gt;="&amp;Conciliacao!A505, df_extratos!F:F,"&lt;"&amp;Conciliacao!A505+1, df_extratos!G:G,"CREDITO")
+SUMIFS(df_extratos!I:I,df_extratos!F:F,"&gt;="&amp;Conciliacao!BF505,df_extratos!F:F,"&lt;"&amp;Conciliacao!BF505+1,df_extratos!G:G,"CREDITO")
+SUMIFS(df_extratos!I:I,df_extratos!F:F,"&gt;="&amp;Conciliacao!BG505,df_extratos!F:F,"&lt;"&amp;Conciliacao!BG505+1,df_extratos!G:G,"CREDITO")
+SUMIFS(df_extratos!I:I,df_extratos!F:F,"&gt;="&amp;Conciliacao!BH505,df_extratos!F:F,"&lt;"&amp;Conciliacao!BH505+1,df_extratos!G:G,"CREDITO")</f>
        <v/>
      </c>
      <c r="I505" s="9">
        <f>H505-SUM(B505:G505)</f>
        <v/>
      </c>
      <c r="J505" s="4">
        <f>SUMIFS(df_blueme_sem_parcelamento!E:E,df_blueme_sem_parcelamento!H:H,Conciliacao!A505)*(-1)</f>
        <v/>
      </c>
      <c r="K505" s="4">
        <f>SUMIFS(df_blueme_com_parcelamento!J:J,df_blueme_com_parcelamento!M:M,Conciliacao!A505)*(-1)</f>
        <v/>
      </c>
      <c r="L505" s="4">
        <f>SUMIFS(df_mutuos!N:N,df_mutuos!B:B,Conciliacao!A505)*(-1)</f>
        <v/>
      </c>
      <c r="M505" s="8">
        <f>SUMIFS(df_bloqueios_judiciais!G:G,df_bloqueios_judiciais!D:D,Conciliacao!A505,df_bloqueios_judiciais!G:G,"&lt;0")</f>
        <v/>
      </c>
      <c r="N505" s="10">
        <f>SUMIFS(df_extratos!I:I,df_extratos!F:F,"&gt;="&amp;Conciliacao!BE505,df_extratos!F:F,"&lt;"&amp;Conciliacao!BE505+1,df_extratos!G:G,"DEBITO")
+SUMIFS(df_extratos!I:I,df_extratos!F:F,"&gt;="&amp;Conciliacao!A505, df_extratos!F:F,"&lt;"&amp;Conciliacao!A505+1, df_extratos!G:G,"DEBITO")
+SUMIFS(df_extratos!I:I,df_extratos!F:F,"&gt;="&amp;Conciliacao!BF505,df_extratos!F:F,"&lt;"&amp;Conciliacao!BF505+1,df_extratos!G:G,"DEBITO")
+SUMIFS(df_extratos!I:I,df_extratos!F:F,"&gt;="&amp;Conciliacao!BG505,df_extratos!F:F,"&lt;"&amp;Conciliacao!BG505+1,df_extratos!G:G,"DEBITO")
+SUMIFS(df_extratos!I:I,df_extratos!F:F,"&gt;="&amp;Conciliacao!BH505,df_extratos!F:F,"&lt;"&amp;Conciliacao!BH505+1,df_extratos!G:G,"DEBITO")</f>
        <v/>
      </c>
      <c r="O505" s="11">
        <f>N505-SUM(J505:M505)</f>
        <v/>
      </c>
      <c r="P505" s="25">
        <f>SUMIFS(df_ajustes_conciliaco!D:D,df_ajustes_conciliaco!C:C,Conciliacao!A505)</f>
        <v/>
      </c>
      <c r="Q505" s="22">
        <f>O505+I505-P505</f>
        <v/>
      </c>
    </row>
    <row r="506">
      <c r="A506" s="5">
        <f>A505+1</f>
        <v/>
      </c>
      <c r="B506" s="3">
        <f>-SUMIFS(df_extrato_zig!G:G,df_extrato_zig!E:E,Conciliacao!A506,df_extrato_zig!D:D,"Saque")-SUMIFS(df_extrato_zig!G:G,df_extrato_zig!E:E,Conciliacao!A506,df_extrato_zig!D:D,"Antecipação")</f>
        <v/>
      </c>
      <c r="C506" s="3">
        <f>SUMIFS(df_extrato_zig!E:E,df_extrato_zig!L:L,Conciliacao!A506,df_extrato_zig!F:F,"DINHEIRO")</f>
        <v/>
      </c>
      <c r="D506" s="3">
        <f>SUMIFS(view_parc_agrup!H:H,view_parc_agrup!G:G,Conciliacao!A506)</f>
        <v/>
      </c>
      <c r="E506" s="3">
        <f>SUMIFS(df_eventos!F:F,df_eventos!H:H,Conciliacao!A506)</f>
        <v/>
      </c>
      <c r="F506" s="3">
        <f>SUMIFS(df_mutuos!M:M,df_mutuos!B:B,Conciliacao!A506)</f>
        <v/>
      </c>
      <c r="G506" s="6">
        <f>SUMIFS(df_bloqueios_judiciais!G:G,df_bloqueios_judiciais!D:D,Conciliacao!A506,df_bloqueios_judiciais!G:G,"&gt;0")</f>
        <v/>
      </c>
      <c r="H506" s="7">
        <f>SUMIFS(df_extratos!I:I,df_extratos!F:F,"&gt;="&amp;Conciliacao!BE506,df_extratos!F:F,"&lt;"&amp;Conciliacao!BE506+1,df_extratos!G:G,"CREDITO")
+SUMIFS(df_extratos!I:I,df_extratos!F:F,"&gt;="&amp;Conciliacao!A506, df_extratos!F:F,"&lt;"&amp;Conciliacao!A506+1, df_extratos!G:G,"CREDITO")
+SUMIFS(df_extratos!I:I,df_extratos!F:F,"&gt;="&amp;Conciliacao!BF506,df_extratos!F:F,"&lt;"&amp;Conciliacao!BF506+1,df_extratos!G:G,"CREDITO")
+SUMIFS(df_extratos!I:I,df_extratos!F:F,"&gt;="&amp;Conciliacao!BG506,df_extratos!F:F,"&lt;"&amp;Conciliacao!BG506+1,df_extratos!G:G,"CREDITO")
+SUMIFS(df_extratos!I:I,df_extratos!F:F,"&gt;="&amp;Conciliacao!BH506,df_extratos!F:F,"&lt;"&amp;Conciliacao!BH506+1,df_extratos!G:G,"CREDITO")</f>
        <v/>
      </c>
      <c r="I506" s="9">
        <f>H506-SUM(B506:G506)</f>
        <v/>
      </c>
      <c r="J506" s="4">
        <f>SUMIFS(df_blueme_sem_parcelamento!E:E,df_blueme_sem_parcelamento!H:H,Conciliacao!A506)*(-1)</f>
        <v/>
      </c>
      <c r="K506" s="4">
        <f>SUMIFS(df_blueme_com_parcelamento!J:J,df_blueme_com_parcelamento!M:M,Conciliacao!A506)*(-1)</f>
        <v/>
      </c>
      <c r="L506" s="4">
        <f>SUMIFS(df_mutuos!N:N,df_mutuos!B:B,Conciliacao!A506)*(-1)</f>
        <v/>
      </c>
      <c r="M506" s="8">
        <f>SUMIFS(df_bloqueios_judiciais!G:G,df_bloqueios_judiciais!D:D,Conciliacao!A506,df_bloqueios_judiciais!G:G,"&lt;0")</f>
        <v/>
      </c>
      <c r="N506" s="10">
        <f>SUMIFS(df_extratos!I:I,df_extratos!F:F,"&gt;="&amp;Conciliacao!BE506,df_extratos!F:F,"&lt;"&amp;Conciliacao!BE506+1,df_extratos!G:G,"DEBITO")
+SUMIFS(df_extratos!I:I,df_extratos!F:F,"&gt;="&amp;Conciliacao!A506, df_extratos!F:F,"&lt;"&amp;Conciliacao!A506+1, df_extratos!G:G,"DEBITO")
+SUMIFS(df_extratos!I:I,df_extratos!F:F,"&gt;="&amp;Conciliacao!BF506,df_extratos!F:F,"&lt;"&amp;Conciliacao!BF506+1,df_extratos!G:G,"DEBITO")
+SUMIFS(df_extratos!I:I,df_extratos!F:F,"&gt;="&amp;Conciliacao!BG506,df_extratos!F:F,"&lt;"&amp;Conciliacao!BG506+1,df_extratos!G:G,"DEBITO")
+SUMIFS(df_extratos!I:I,df_extratos!F:F,"&gt;="&amp;Conciliacao!BH506,df_extratos!F:F,"&lt;"&amp;Conciliacao!BH506+1,df_extratos!G:G,"DEBITO")</f>
        <v/>
      </c>
      <c r="O506" s="11">
        <f>N506-SUM(J506:M506)</f>
        <v/>
      </c>
      <c r="P506" s="25">
        <f>SUMIFS(df_ajustes_conciliaco!D:D,df_ajustes_conciliaco!C:C,Conciliacao!A506)</f>
        <v/>
      </c>
      <c r="Q506" s="22">
        <f>O506+I506-P506</f>
        <v/>
      </c>
    </row>
    <row r="507">
      <c r="A507" s="5">
        <f>A506+1</f>
        <v/>
      </c>
      <c r="B507" s="3">
        <f>-SUMIFS(df_extrato_zig!G:G,df_extrato_zig!E:E,Conciliacao!A507,df_extrato_zig!D:D,"Saque")-SUMIFS(df_extrato_zig!G:G,df_extrato_zig!E:E,Conciliacao!A507,df_extrato_zig!D:D,"Antecipação")</f>
        <v/>
      </c>
      <c r="C507" s="3">
        <f>SUMIFS(df_extrato_zig!E:E,df_extrato_zig!L:L,Conciliacao!A507,df_extrato_zig!F:F,"DINHEIRO")</f>
        <v/>
      </c>
      <c r="D507" s="3">
        <f>SUMIFS(view_parc_agrup!H:H,view_parc_agrup!G:G,Conciliacao!A507)</f>
        <v/>
      </c>
      <c r="E507" s="3">
        <f>SUMIFS(df_eventos!F:F,df_eventos!H:H,Conciliacao!A507)</f>
        <v/>
      </c>
      <c r="F507" s="3">
        <f>SUMIFS(df_mutuos!M:M,df_mutuos!B:B,Conciliacao!A507)</f>
        <v/>
      </c>
      <c r="G507" s="6">
        <f>SUMIFS(df_bloqueios_judiciais!G:G,df_bloqueios_judiciais!D:D,Conciliacao!A507,df_bloqueios_judiciais!G:G,"&gt;0")</f>
        <v/>
      </c>
      <c r="H507" s="7">
        <f>SUMIFS(df_extratos!I:I,df_extratos!F:F,"&gt;="&amp;Conciliacao!BE507,df_extratos!F:F,"&lt;"&amp;Conciliacao!BE507+1,df_extratos!G:G,"CREDITO")
+SUMIFS(df_extratos!I:I,df_extratos!F:F,"&gt;="&amp;Conciliacao!A507, df_extratos!F:F,"&lt;"&amp;Conciliacao!A507+1, df_extratos!G:G,"CREDITO")
+SUMIFS(df_extratos!I:I,df_extratos!F:F,"&gt;="&amp;Conciliacao!BF507,df_extratos!F:F,"&lt;"&amp;Conciliacao!BF507+1,df_extratos!G:G,"CREDITO")
+SUMIFS(df_extratos!I:I,df_extratos!F:F,"&gt;="&amp;Conciliacao!BG507,df_extratos!F:F,"&lt;"&amp;Conciliacao!BG507+1,df_extratos!G:G,"CREDITO")
+SUMIFS(df_extratos!I:I,df_extratos!F:F,"&gt;="&amp;Conciliacao!BH507,df_extratos!F:F,"&lt;"&amp;Conciliacao!BH507+1,df_extratos!G:G,"CREDITO")</f>
        <v/>
      </c>
      <c r="I507" s="9">
        <f>H507-SUM(B507:G507)</f>
        <v/>
      </c>
      <c r="J507" s="4">
        <f>SUMIFS(df_blueme_sem_parcelamento!E:E,df_blueme_sem_parcelamento!H:H,Conciliacao!A507)*(-1)</f>
        <v/>
      </c>
      <c r="K507" s="4">
        <f>SUMIFS(df_blueme_com_parcelamento!J:J,df_blueme_com_parcelamento!M:M,Conciliacao!A507)*(-1)</f>
        <v/>
      </c>
      <c r="L507" s="4">
        <f>SUMIFS(df_mutuos!N:N,df_mutuos!B:B,Conciliacao!A507)*(-1)</f>
        <v/>
      </c>
      <c r="M507" s="8">
        <f>SUMIFS(df_bloqueios_judiciais!G:G,df_bloqueios_judiciais!D:D,Conciliacao!A507,df_bloqueios_judiciais!G:G,"&lt;0")</f>
        <v/>
      </c>
      <c r="N507" s="10">
        <f>SUMIFS(df_extratos!I:I,df_extratos!F:F,"&gt;="&amp;Conciliacao!BE507,df_extratos!F:F,"&lt;"&amp;Conciliacao!BE507+1,df_extratos!G:G,"DEBITO")
+SUMIFS(df_extratos!I:I,df_extratos!F:F,"&gt;="&amp;Conciliacao!A507, df_extratos!F:F,"&lt;"&amp;Conciliacao!A507+1, df_extratos!G:G,"DEBITO")
+SUMIFS(df_extratos!I:I,df_extratos!F:F,"&gt;="&amp;Conciliacao!BF507,df_extratos!F:F,"&lt;"&amp;Conciliacao!BF507+1,df_extratos!G:G,"DEBITO")
+SUMIFS(df_extratos!I:I,df_extratos!F:F,"&gt;="&amp;Conciliacao!BG507,df_extratos!F:F,"&lt;"&amp;Conciliacao!BG507+1,df_extratos!G:G,"DEBITO")
+SUMIFS(df_extratos!I:I,df_extratos!F:F,"&gt;="&amp;Conciliacao!BH507,df_extratos!F:F,"&lt;"&amp;Conciliacao!BH507+1,df_extratos!G:G,"DEBITO")</f>
        <v/>
      </c>
      <c r="O507" s="11">
        <f>N507-SUM(J507:M507)</f>
        <v/>
      </c>
      <c r="P507" s="25">
        <f>SUMIFS(df_ajustes_conciliaco!D:D,df_ajustes_conciliaco!C:C,Conciliacao!A507)</f>
        <v/>
      </c>
      <c r="Q507" s="22">
        <f>O507+I507-P507</f>
        <v/>
      </c>
    </row>
    <row r="508">
      <c r="A508" s="5">
        <f>A507+1</f>
        <v/>
      </c>
      <c r="B508" s="3">
        <f>-SUMIFS(df_extrato_zig!G:G,df_extrato_zig!E:E,Conciliacao!A508,df_extrato_zig!D:D,"Saque")-SUMIFS(df_extrato_zig!G:G,df_extrato_zig!E:E,Conciliacao!A508,df_extrato_zig!D:D,"Antecipação")</f>
        <v/>
      </c>
      <c r="C508" s="3">
        <f>SUMIFS(df_extrato_zig!E:E,df_extrato_zig!L:L,Conciliacao!A508,df_extrato_zig!F:F,"DINHEIRO")</f>
        <v/>
      </c>
      <c r="D508" s="3">
        <f>SUMIFS(view_parc_agrup!H:H,view_parc_agrup!G:G,Conciliacao!A508)</f>
        <v/>
      </c>
      <c r="E508" s="3">
        <f>SUMIFS(df_eventos!F:F,df_eventos!H:H,Conciliacao!A508)</f>
        <v/>
      </c>
      <c r="F508" s="3">
        <f>SUMIFS(df_mutuos!M:M,df_mutuos!B:B,Conciliacao!A508)</f>
        <v/>
      </c>
      <c r="G508" s="6">
        <f>SUMIFS(df_bloqueios_judiciais!G:G,df_bloqueios_judiciais!D:D,Conciliacao!A508,df_bloqueios_judiciais!G:G,"&gt;0")</f>
        <v/>
      </c>
      <c r="H508" s="7">
        <f>SUMIFS(df_extratos!I:I,df_extratos!F:F,"&gt;="&amp;Conciliacao!BE508,df_extratos!F:F,"&lt;"&amp;Conciliacao!BE508+1,df_extratos!G:G,"CREDITO")
+SUMIFS(df_extratos!I:I,df_extratos!F:F,"&gt;="&amp;Conciliacao!A508, df_extratos!F:F,"&lt;"&amp;Conciliacao!A508+1, df_extratos!G:G,"CREDITO")
+SUMIFS(df_extratos!I:I,df_extratos!F:F,"&gt;="&amp;Conciliacao!BF508,df_extratos!F:F,"&lt;"&amp;Conciliacao!BF508+1,df_extratos!G:G,"CREDITO")
+SUMIFS(df_extratos!I:I,df_extratos!F:F,"&gt;="&amp;Conciliacao!BG508,df_extratos!F:F,"&lt;"&amp;Conciliacao!BG508+1,df_extratos!G:G,"CREDITO")
+SUMIFS(df_extratos!I:I,df_extratos!F:F,"&gt;="&amp;Conciliacao!BH508,df_extratos!F:F,"&lt;"&amp;Conciliacao!BH508+1,df_extratos!G:G,"CREDITO")</f>
        <v/>
      </c>
      <c r="I508" s="9">
        <f>H508-SUM(B508:G508)</f>
        <v/>
      </c>
      <c r="J508" s="4">
        <f>SUMIFS(df_blueme_sem_parcelamento!E:E,df_blueme_sem_parcelamento!H:H,Conciliacao!A508)*(-1)</f>
        <v/>
      </c>
      <c r="K508" s="4">
        <f>SUMIFS(df_blueme_com_parcelamento!J:J,df_blueme_com_parcelamento!M:M,Conciliacao!A508)*(-1)</f>
        <v/>
      </c>
      <c r="L508" s="4">
        <f>SUMIFS(df_mutuos!N:N,df_mutuos!B:B,Conciliacao!A508)*(-1)</f>
        <v/>
      </c>
      <c r="M508" s="8">
        <f>SUMIFS(df_bloqueios_judiciais!G:G,df_bloqueios_judiciais!D:D,Conciliacao!A508,df_bloqueios_judiciais!G:G,"&lt;0")</f>
        <v/>
      </c>
      <c r="N508" s="10">
        <f>SUMIFS(df_extratos!I:I,df_extratos!F:F,"&gt;="&amp;Conciliacao!BE508,df_extratos!F:F,"&lt;"&amp;Conciliacao!BE508+1,df_extratos!G:G,"DEBITO")
+SUMIFS(df_extratos!I:I,df_extratos!F:F,"&gt;="&amp;Conciliacao!A508, df_extratos!F:F,"&lt;"&amp;Conciliacao!A508+1, df_extratos!G:G,"DEBITO")
+SUMIFS(df_extratos!I:I,df_extratos!F:F,"&gt;="&amp;Conciliacao!BF508,df_extratos!F:F,"&lt;"&amp;Conciliacao!BF508+1,df_extratos!G:G,"DEBITO")
+SUMIFS(df_extratos!I:I,df_extratos!F:F,"&gt;="&amp;Conciliacao!BG508,df_extratos!F:F,"&lt;"&amp;Conciliacao!BG508+1,df_extratos!G:G,"DEBITO")
+SUMIFS(df_extratos!I:I,df_extratos!F:F,"&gt;="&amp;Conciliacao!BH508,df_extratos!F:F,"&lt;"&amp;Conciliacao!BH508+1,df_extratos!G:G,"DEBITO")</f>
        <v/>
      </c>
      <c r="O508" s="11">
        <f>N508-SUM(J508:M508)</f>
        <v/>
      </c>
      <c r="P508" s="25">
        <f>SUMIFS(df_ajustes_conciliaco!D:D,df_ajustes_conciliaco!C:C,Conciliacao!A508)</f>
        <v/>
      </c>
      <c r="Q508" s="22">
        <f>O508+I508-P508</f>
        <v/>
      </c>
    </row>
    <row r="509">
      <c r="A509" s="5">
        <f>A508+1</f>
        <v/>
      </c>
      <c r="B509" s="3">
        <f>-SUMIFS(df_extrato_zig!G:G,df_extrato_zig!E:E,Conciliacao!A509,df_extrato_zig!D:D,"Saque")-SUMIFS(df_extrato_zig!G:G,df_extrato_zig!E:E,Conciliacao!A509,df_extrato_zig!D:D,"Antecipação")</f>
        <v/>
      </c>
      <c r="C509" s="3">
        <f>SUMIFS(df_extrato_zig!E:E,df_extrato_zig!L:L,Conciliacao!A509,df_extrato_zig!F:F,"DINHEIRO")</f>
        <v/>
      </c>
      <c r="D509" s="3">
        <f>SUMIFS(view_parc_agrup!H:H,view_parc_agrup!G:G,Conciliacao!A509)</f>
        <v/>
      </c>
      <c r="E509" s="3">
        <f>SUMIFS(df_eventos!F:F,df_eventos!H:H,Conciliacao!A509)</f>
        <v/>
      </c>
      <c r="F509" s="3">
        <f>SUMIFS(df_mutuos!M:M,df_mutuos!B:B,Conciliacao!A509)</f>
        <v/>
      </c>
      <c r="G509" s="6">
        <f>SUMIFS(df_bloqueios_judiciais!G:G,df_bloqueios_judiciais!D:D,Conciliacao!A509,df_bloqueios_judiciais!G:G,"&gt;0")</f>
        <v/>
      </c>
      <c r="H509" s="7">
        <f>SUMIFS(df_extratos!I:I,df_extratos!F:F,"&gt;="&amp;Conciliacao!BE509,df_extratos!F:F,"&lt;"&amp;Conciliacao!BE509+1,df_extratos!G:G,"CREDITO")
+SUMIFS(df_extratos!I:I,df_extratos!F:F,"&gt;="&amp;Conciliacao!A509, df_extratos!F:F,"&lt;"&amp;Conciliacao!A509+1, df_extratos!G:G,"CREDITO")
+SUMIFS(df_extratos!I:I,df_extratos!F:F,"&gt;="&amp;Conciliacao!BF509,df_extratos!F:F,"&lt;"&amp;Conciliacao!BF509+1,df_extratos!G:G,"CREDITO")
+SUMIFS(df_extratos!I:I,df_extratos!F:F,"&gt;="&amp;Conciliacao!BG509,df_extratos!F:F,"&lt;"&amp;Conciliacao!BG509+1,df_extratos!G:G,"CREDITO")
+SUMIFS(df_extratos!I:I,df_extratos!F:F,"&gt;="&amp;Conciliacao!BH509,df_extratos!F:F,"&lt;"&amp;Conciliacao!BH509+1,df_extratos!G:G,"CREDITO")</f>
        <v/>
      </c>
      <c r="I509" s="9">
        <f>H509-SUM(B509:G509)</f>
        <v/>
      </c>
      <c r="J509" s="4">
        <f>SUMIFS(df_blueme_sem_parcelamento!E:E,df_blueme_sem_parcelamento!H:H,Conciliacao!A509)*(-1)</f>
        <v/>
      </c>
      <c r="K509" s="4">
        <f>SUMIFS(df_blueme_com_parcelamento!J:J,df_blueme_com_parcelamento!M:M,Conciliacao!A509)*(-1)</f>
        <v/>
      </c>
      <c r="L509" s="4">
        <f>SUMIFS(df_mutuos!N:N,df_mutuos!B:B,Conciliacao!A509)*(-1)</f>
        <v/>
      </c>
      <c r="M509" s="8">
        <f>SUMIFS(df_bloqueios_judiciais!G:G,df_bloqueios_judiciais!D:D,Conciliacao!A509,df_bloqueios_judiciais!G:G,"&lt;0")</f>
        <v/>
      </c>
      <c r="N509" s="10">
        <f>SUMIFS(df_extratos!I:I,df_extratos!F:F,"&gt;="&amp;Conciliacao!BE509,df_extratos!F:F,"&lt;"&amp;Conciliacao!BE509+1,df_extratos!G:G,"DEBITO")
+SUMIFS(df_extratos!I:I,df_extratos!F:F,"&gt;="&amp;Conciliacao!A509, df_extratos!F:F,"&lt;"&amp;Conciliacao!A509+1, df_extratos!G:G,"DEBITO")
+SUMIFS(df_extratos!I:I,df_extratos!F:F,"&gt;="&amp;Conciliacao!BF509,df_extratos!F:F,"&lt;"&amp;Conciliacao!BF509+1,df_extratos!G:G,"DEBITO")
+SUMIFS(df_extratos!I:I,df_extratos!F:F,"&gt;="&amp;Conciliacao!BG509,df_extratos!F:F,"&lt;"&amp;Conciliacao!BG509+1,df_extratos!G:G,"DEBITO")
+SUMIFS(df_extratos!I:I,df_extratos!F:F,"&gt;="&amp;Conciliacao!BH509,df_extratos!F:F,"&lt;"&amp;Conciliacao!BH509+1,df_extratos!G:G,"DEBITO")</f>
        <v/>
      </c>
      <c r="O509" s="11">
        <f>N509-SUM(J509:M509)</f>
        <v/>
      </c>
      <c r="P509" s="25">
        <f>SUMIFS(df_ajustes_conciliaco!D:D,df_ajustes_conciliaco!C:C,Conciliacao!A509)</f>
        <v/>
      </c>
      <c r="Q509" s="22">
        <f>O509+I509-P509</f>
        <v/>
      </c>
    </row>
    <row r="510">
      <c r="A510" s="5">
        <f>A509+1</f>
        <v/>
      </c>
      <c r="B510" s="3">
        <f>-SUMIFS(df_extrato_zig!G:G,df_extrato_zig!E:E,Conciliacao!A510,df_extrato_zig!D:D,"Saque")-SUMIFS(df_extrato_zig!G:G,df_extrato_zig!E:E,Conciliacao!A510,df_extrato_zig!D:D,"Antecipação")</f>
        <v/>
      </c>
      <c r="C510" s="3">
        <f>SUMIFS(df_extrato_zig!E:E,df_extrato_zig!L:L,Conciliacao!A510,df_extrato_zig!F:F,"DINHEIRO")</f>
        <v/>
      </c>
      <c r="D510" s="3">
        <f>SUMIFS(view_parc_agrup!H:H,view_parc_agrup!G:G,Conciliacao!A510)</f>
        <v/>
      </c>
      <c r="E510" s="3">
        <f>SUMIFS(df_eventos!F:F,df_eventos!H:H,Conciliacao!A510)</f>
        <v/>
      </c>
      <c r="F510" s="3">
        <f>SUMIFS(df_mutuos!M:M,df_mutuos!B:B,Conciliacao!A510)</f>
        <v/>
      </c>
      <c r="G510" s="6">
        <f>SUMIFS(df_bloqueios_judiciais!G:G,df_bloqueios_judiciais!D:D,Conciliacao!A510,df_bloqueios_judiciais!G:G,"&gt;0")</f>
        <v/>
      </c>
      <c r="H510" s="7">
        <f>SUMIFS(df_extratos!I:I,df_extratos!F:F,"&gt;="&amp;Conciliacao!BE510,df_extratos!F:F,"&lt;"&amp;Conciliacao!BE510+1,df_extratos!G:G,"CREDITO")
+SUMIFS(df_extratos!I:I,df_extratos!F:F,"&gt;="&amp;Conciliacao!A510, df_extratos!F:F,"&lt;"&amp;Conciliacao!A510+1, df_extratos!G:G,"CREDITO")
+SUMIFS(df_extratos!I:I,df_extratos!F:F,"&gt;="&amp;Conciliacao!BF510,df_extratos!F:F,"&lt;"&amp;Conciliacao!BF510+1,df_extratos!G:G,"CREDITO")
+SUMIFS(df_extratos!I:I,df_extratos!F:F,"&gt;="&amp;Conciliacao!BG510,df_extratos!F:F,"&lt;"&amp;Conciliacao!BG510+1,df_extratos!G:G,"CREDITO")
+SUMIFS(df_extratos!I:I,df_extratos!F:F,"&gt;="&amp;Conciliacao!BH510,df_extratos!F:F,"&lt;"&amp;Conciliacao!BH510+1,df_extratos!G:G,"CREDITO")</f>
        <v/>
      </c>
      <c r="I510" s="9">
        <f>H510-SUM(B510:G510)</f>
        <v/>
      </c>
      <c r="J510" s="4">
        <f>SUMIFS(df_blueme_sem_parcelamento!E:E,df_blueme_sem_parcelamento!H:H,Conciliacao!A510)*(-1)</f>
        <v/>
      </c>
      <c r="K510" s="4">
        <f>SUMIFS(df_blueme_com_parcelamento!J:J,df_blueme_com_parcelamento!M:M,Conciliacao!A510)*(-1)</f>
        <v/>
      </c>
      <c r="L510" s="4">
        <f>SUMIFS(df_mutuos!N:N,df_mutuos!B:B,Conciliacao!A510)*(-1)</f>
        <v/>
      </c>
      <c r="M510" s="8">
        <f>SUMIFS(df_bloqueios_judiciais!G:G,df_bloqueios_judiciais!D:D,Conciliacao!A510,df_bloqueios_judiciais!G:G,"&lt;0")</f>
        <v/>
      </c>
      <c r="N510" s="10">
        <f>SUMIFS(df_extratos!I:I,df_extratos!F:F,"&gt;="&amp;Conciliacao!BE510,df_extratos!F:F,"&lt;"&amp;Conciliacao!BE510+1,df_extratos!G:G,"DEBITO")
+SUMIFS(df_extratos!I:I,df_extratos!F:F,"&gt;="&amp;Conciliacao!A510, df_extratos!F:F,"&lt;"&amp;Conciliacao!A510+1, df_extratos!G:G,"DEBITO")
+SUMIFS(df_extratos!I:I,df_extratos!F:F,"&gt;="&amp;Conciliacao!BF510,df_extratos!F:F,"&lt;"&amp;Conciliacao!BF510+1,df_extratos!G:G,"DEBITO")
+SUMIFS(df_extratos!I:I,df_extratos!F:F,"&gt;="&amp;Conciliacao!BG510,df_extratos!F:F,"&lt;"&amp;Conciliacao!BG510+1,df_extratos!G:G,"DEBITO")
+SUMIFS(df_extratos!I:I,df_extratos!F:F,"&gt;="&amp;Conciliacao!BH510,df_extratos!F:F,"&lt;"&amp;Conciliacao!BH510+1,df_extratos!G:G,"DEBITO")</f>
        <v/>
      </c>
      <c r="O510" s="11">
        <f>N510-SUM(J510:M510)</f>
        <v/>
      </c>
      <c r="P510" s="25">
        <f>SUMIFS(df_ajustes_conciliaco!D:D,df_ajustes_conciliaco!C:C,Conciliacao!A510)</f>
        <v/>
      </c>
      <c r="Q510" s="22">
        <f>O510+I510-P510</f>
        <v/>
      </c>
    </row>
    <row r="511">
      <c r="A511" s="5">
        <f>A510+1</f>
        <v/>
      </c>
      <c r="B511" s="3">
        <f>-SUMIFS(df_extrato_zig!G:G,df_extrato_zig!E:E,Conciliacao!A511,df_extrato_zig!D:D,"Saque")-SUMIFS(df_extrato_zig!G:G,df_extrato_zig!E:E,Conciliacao!A511,df_extrato_zig!D:D,"Antecipação")</f>
        <v/>
      </c>
      <c r="C511" s="3">
        <f>SUMIFS(df_extrato_zig!E:E,df_extrato_zig!L:L,Conciliacao!A511,df_extrato_zig!F:F,"DINHEIRO")</f>
        <v/>
      </c>
      <c r="D511" s="3">
        <f>SUMIFS(view_parc_agrup!H:H,view_parc_agrup!G:G,Conciliacao!A511)</f>
        <v/>
      </c>
      <c r="E511" s="3">
        <f>SUMIFS(df_eventos!F:F,df_eventos!H:H,Conciliacao!A511)</f>
        <v/>
      </c>
      <c r="F511" s="3">
        <f>SUMIFS(df_mutuos!M:M,df_mutuos!B:B,Conciliacao!A511)</f>
        <v/>
      </c>
      <c r="G511" s="6">
        <f>SUMIFS(df_bloqueios_judiciais!G:G,df_bloqueios_judiciais!D:D,Conciliacao!A511,df_bloqueios_judiciais!G:G,"&gt;0")</f>
        <v/>
      </c>
      <c r="H511" s="7">
        <f>SUMIFS(df_extratos!I:I,df_extratos!F:F,"&gt;="&amp;Conciliacao!BE511,df_extratos!F:F,"&lt;"&amp;Conciliacao!BE511+1,df_extratos!G:G,"CREDITO")
+SUMIFS(df_extratos!I:I,df_extratos!F:F,"&gt;="&amp;Conciliacao!A511, df_extratos!F:F,"&lt;"&amp;Conciliacao!A511+1, df_extratos!G:G,"CREDITO")
+SUMIFS(df_extratos!I:I,df_extratos!F:F,"&gt;="&amp;Conciliacao!BF511,df_extratos!F:F,"&lt;"&amp;Conciliacao!BF511+1,df_extratos!G:G,"CREDITO")
+SUMIFS(df_extratos!I:I,df_extratos!F:F,"&gt;="&amp;Conciliacao!BG511,df_extratos!F:F,"&lt;"&amp;Conciliacao!BG511+1,df_extratos!G:G,"CREDITO")
+SUMIFS(df_extratos!I:I,df_extratos!F:F,"&gt;="&amp;Conciliacao!BH511,df_extratos!F:F,"&lt;"&amp;Conciliacao!BH511+1,df_extratos!G:G,"CREDITO")</f>
        <v/>
      </c>
      <c r="I511" s="9">
        <f>H511-SUM(B511:G511)</f>
        <v/>
      </c>
      <c r="J511" s="4">
        <f>SUMIFS(df_blueme_sem_parcelamento!E:E,df_blueme_sem_parcelamento!H:H,Conciliacao!A511)*(-1)</f>
        <v/>
      </c>
      <c r="K511" s="4">
        <f>SUMIFS(df_blueme_com_parcelamento!J:J,df_blueme_com_parcelamento!M:M,Conciliacao!A511)*(-1)</f>
        <v/>
      </c>
      <c r="L511" s="4">
        <f>SUMIFS(df_mutuos!N:N,df_mutuos!B:B,Conciliacao!A511)*(-1)</f>
        <v/>
      </c>
      <c r="M511" s="8">
        <f>SUMIFS(df_bloqueios_judiciais!G:G,df_bloqueios_judiciais!D:D,Conciliacao!A511,df_bloqueios_judiciais!G:G,"&lt;0")</f>
        <v/>
      </c>
      <c r="N511" s="10">
        <f>SUMIFS(df_extratos!I:I,df_extratos!F:F,"&gt;="&amp;Conciliacao!BE511,df_extratos!F:F,"&lt;"&amp;Conciliacao!BE511+1,df_extratos!G:G,"DEBITO")
+SUMIFS(df_extratos!I:I,df_extratos!F:F,"&gt;="&amp;Conciliacao!A511, df_extratos!F:F,"&lt;"&amp;Conciliacao!A511+1, df_extratos!G:G,"DEBITO")
+SUMIFS(df_extratos!I:I,df_extratos!F:F,"&gt;="&amp;Conciliacao!BF511,df_extratos!F:F,"&lt;"&amp;Conciliacao!BF511+1,df_extratos!G:G,"DEBITO")
+SUMIFS(df_extratos!I:I,df_extratos!F:F,"&gt;="&amp;Conciliacao!BG511,df_extratos!F:F,"&lt;"&amp;Conciliacao!BG511+1,df_extratos!G:G,"DEBITO")
+SUMIFS(df_extratos!I:I,df_extratos!F:F,"&gt;="&amp;Conciliacao!BH511,df_extratos!F:F,"&lt;"&amp;Conciliacao!BH511+1,df_extratos!G:G,"DEBITO")</f>
        <v/>
      </c>
      <c r="O511" s="11">
        <f>N511-SUM(J511:M511)</f>
        <v/>
      </c>
      <c r="P511" s="25">
        <f>SUMIFS(df_ajustes_conciliaco!D:D,df_ajustes_conciliaco!C:C,Conciliacao!A511)</f>
        <v/>
      </c>
      <c r="Q511" s="22">
        <f>O511+I511-P511</f>
        <v/>
      </c>
    </row>
    <row r="512">
      <c r="A512" s="5">
        <f>A511+1</f>
        <v/>
      </c>
      <c r="B512" s="3">
        <f>-SUMIFS(df_extrato_zig!G:G,df_extrato_zig!E:E,Conciliacao!A512,df_extrato_zig!D:D,"Saque")-SUMIFS(df_extrato_zig!G:G,df_extrato_zig!E:E,Conciliacao!A512,df_extrato_zig!D:D,"Antecipação")</f>
        <v/>
      </c>
      <c r="C512" s="3">
        <f>SUMIFS(df_extrato_zig!E:E,df_extrato_zig!L:L,Conciliacao!A512,df_extrato_zig!F:F,"DINHEIRO")</f>
        <v/>
      </c>
      <c r="D512" s="3">
        <f>SUMIFS(view_parc_agrup!H:H,view_parc_agrup!G:G,Conciliacao!A512)</f>
        <v/>
      </c>
      <c r="E512" s="3">
        <f>SUMIFS(df_eventos!F:F,df_eventos!H:H,Conciliacao!A512)</f>
        <v/>
      </c>
      <c r="F512" s="3">
        <f>SUMIFS(df_mutuos!M:M,df_mutuos!B:B,Conciliacao!A512)</f>
        <v/>
      </c>
      <c r="G512" s="6">
        <f>SUMIFS(df_bloqueios_judiciais!G:G,df_bloqueios_judiciais!D:D,Conciliacao!A512,df_bloqueios_judiciais!G:G,"&gt;0")</f>
        <v/>
      </c>
      <c r="H512" s="7">
        <f>SUMIFS(df_extratos!I:I,df_extratos!F:F,"&gt;="&amp;Conciliacao!BE512,df_extratos!F:F,"&lt;"&amp;Conciliacao!BE512+1,df_extratos!G:G,"CREDITO")
+SUMIFS(df_extratos!I:I,df_extratos!F:F,"&gt;="&amp;Conciliacao!A512, df_extratos!F:F,"&lt;"&amp;Conciliacao!A512+1, df_extratos!G:G,"CREDITO")
+SUMIFS(df_extratos!I:I,df_extratos!F:F,"&gt;="&amp;Conciliacao!BF512,df_extratos!F:F,"&lt;"&amp;Conciliacao!BF512+1,df_extratos!G:G,"CREDITO")
+SUMIFS(df_extratos!I:I,df_extratos!F:F,"&gt;="&amp;Conciliacao!BG512,df_extratos!F:F,"&lt;"&amp;Conciliacao!BG512+1,df_extratos!G:G,"CREDITO")
+SUMIFS(df_extratos!I:I,df_extratos!F:F,"&gt;="&amp;Conciliacao!BH512,df_extratos!F:F,"&lt;"&amp;Conciliacao!BH512+1,df_extratos!G:G,"CREDITO")</f>
        <v/>
      </c>
      <c r="I512" s="9">
        <f>H512-SUM(B512:G512)</f>
        <v/>
      </c>
      <c r="J512" s="4">
        <f>SUMIFS(df_blueme_sem_parcelamento!E:E,df_blueme_sem_parcelamento!H:H,Conciliacao!A512)*(-1)</f>
        <v/>
      </c>
      <c r="K512" s="4">
        <f>SUMIFS(df_blueme_com_parcelamento!J:J,df_blueme_com_parcelamento!M:M,Conciliacao!A512)*(-1)</f>
        <v/>
      </c>
      <c r="L512" s="4">
        <f>SUMIFS(df_mutuos!N:N,df_mutuos!B:B,Conciliacao!A512)*(-1)</f>
        <v/>
      </c>
      <c r="M512" s="8">
        <f>SUMIFS(df_bloqueios_judiciais!G:G,df_bloqueios_judiciais!D:D,Conciliacao!A512,df_bloqueios_judiciais!G:G,"&lt;0")</f>
        <v/>
      </c>
      <c r="N512" s="10">
        <f>SUMIFS(df_extratos!I:I,df_extratos!F:F,"&gt;="&amp;Conciliacao!BE512,df_extratos!F:F,"&lt;"&amp;Conciliacao!BE512+1,df_extratos!G:G,"DEBITO")
+SUMIFS(df_extratos!I:I,df_extratos!F:F,"&gt;="&amp;Conciliacao!A512, df_extratos!F:F,"&lt;"&amp;Conciliacao!A512+1, df_extratos!G:G,"DEBITO")
+SUMIFS(df_extratos!I:I,df_extratos!F:F,"&gt;="&amp;Conciliacao!BF512,df_extratos!F:F,"&lt;"&amp;Conciliacao!BF512+1,df_extratos!G:G,"DEBITO")
+SUMIFS(df_extratos!I:I,df_extratos!F:F,"&gt;="&amp;Conciliacao!BG512,df_extratos!F:F,"&lt;"&amp;Conciliacao!BG512+1,df_extratos!G:G,"DEBITO")
+SUMIFS(df_extratos!I:I,df_extratos!F:F,"&gt;="&amp;Conciliacao!BH512,df_extratos!F:F,"&lt;"&amp;Conciliacao!BH512+1,df_extratos!G:G,"DEBITO")</f>
        <v/>
      </c>
      <c r="O512" s="11">
        <f>N512-SUM(J512:M512)</f>
        <v/>
      </c>
      <c r="P512" s="25">
        <f>SUMIFS(df_ajustes_conciliaco!D:D,df_ajustes_conciliaco!C:C,Conciliacao!A512)</f>
        <v/>
      </c>
      <c r="Q512" s="22">
        <f>O512+I512-P512</f>
        <v/>
      </c>
    </row>
    <row r="513">
      <c r="A513" s="5">
        <f>A512+1</f>
        <v/>
      </c>
      <c r="B513" s="3">
        <f>-SUMIFS(df_extrato_zig!G:G,df_extrato_zig!E:E,Conciliacao!A513,df_extrato_zig!D:D,"Saque")-SUMIFS(df_extrato_zig!G:G,df_extrato_zig!E:E,Conciliacao!A513,df_extrato_zig!D:D,"Antecipação")</f>
        <v/>
      </c>
      <c r="C513" s="3">
        <f>SUMIFS(df_extrato_zig!E:E,df_extrato_zig!L:L,Conciliacao!A513,df_extrato_zig!F:F,"DINHEIRO")</f>
        <v/>
      </c>
      <c r="D513" s="3">
        <f>SUMIFS(view_parc_agrup!H:H,view_parc_agrup!G:G,Conciliacao!A513)</f>
        <v/>
      </c>
      <c r="E513" s="3">
        <f>SUMIFS(df_eventos!F:F,df_eventos!H:H,Conciliacao!A513)</f>
        <v/>
      </c>
      <c r="F513" s="3">
        <f>SUMIFS(df_mutuos!M:M,df_mutuos!B:B,Conciliacao!A513)</f>
        <v/>
      </c>
      <c r="G513" s="6">
        <f>SUMIFS(df_bloqueios_judiciais!G:G,df_bloqueios_judiciais!D:D,Conciliacao!A513,df_bloqueios_judiciais!G:G,"&gt;0")</f>
        <v/>
      </c>
      <c r="H513" s="7">
        <f>SUMIFS(df_extratos!I:I,df_extratos!F:F,"&gt;="&amp;Conciliacao!BE513,df_extratos!F:F,"&lt;"&amp;Conciliacao!BE513+1,df_extratos!G:G,"CREDITO")
+SUMIFS(df_extratos!I:I,df_extratos!F:F,"&gt;="&amp;Conciliacao!A513, df_extratos!F:F,"&lt;"&amp;Conciliacao!A513+1, df_extratos!G:G,"CREDITO")
+SUMIFS(df_extratos!I:I,df_extratos!F:F,"&gt;="&amp;Conciliacao!BF513,df_extratos!F:F,"&lt;"&amp;Conciliacao!BF513+1,df_extratos!G:G,"CREDITO")
+SUMIFS(df_extratos!I:I,df_extratos!F:F,"&gt;="&amp;Conciliacao!BG513,df_extratos!F:F,"&lt;"&amp;Conciliacao!BG513+1,df_extratos!G:G,"CREDITO")
+SUMIFS(df_extratos!I:I,df_extratos!F:F,"&gt;="&amp;Conciliacao!BH513,df_extratos!F:F,"&lt;"&amp;Conciliacao!BH513+1,df_extratos!G:G,"CREDITO")</f>
        <v/>
      </c>
      <c r="I513" s="9">
        <f>H513-SUM(B513:G513)</f>
        <v/>
      </c>
      <c r="J513" s="4">
        <f>SUMIFS(df_blueme_sem_parcelamento!E:E,df_blueme_sem_parcelamento!H:H,Conciliacao!A513)*(-1)</f>
        <v/>
      </c>
      <c r="K513" s="4">
        <f>SUMIFS(df_blueme_com_parcelamento!J:J,df_blueme_com_parcelamento!M:M,Conciliacao!A513)*(-1)</f>
        <v/>
      </c>
      <c r="L513" s="4">
        <f>SUMIFS(df_mutuos!N:N,df_mutuos!B:B,Conciliacao!A513)*(-1)</f>
        <v/>
      </c>
      <c r="M513" s="8">
        <f>SUMIFS(df_bloqueios_judiciais!G:G,df_bloqueios_judiciais!D:D,Conciliacao!A513,df_bloqueios_judiciais!G:G,"&lt;0")</f>
        <v/>
      </c>
      <c r="N513" s="10">
        <f>SUMIFS(df_extratos!I:I,df_extratos!F:F,"&gt;="&amp;Conciliacao!BE513,df_extratos!F:F,"&lt;"&amp;Conciliacao!BE513+1,df_extratos!G:G,"DEBITO")
+SUMIFS(df_extratos!I:I,df_extratos!F:F,"&gt;="&amp;Conciliacao!A513, df_extratos!F:F,"&lt;"&amp;Conciliacao!A513+1, df_extratos!G:G,"DEBITO")
+SUMIFS(df_extratos!I:I,df_extratos!F:F,"&gt;="&amp;Conciliacao!BF513,df_extratos!F:F,"&lt;"&amp;Conciliacao!BF513+1,df_extratos!G:G,"DEBITO")
+SUMIFS(df_extratos!I:I,df_extratos!F:F,"&gt;="&amp;Conciliacao!BG513,df_extratos!F:F,"&lt;"&amp;Conciliacao!BG513+1,df_extratos!G:G,"DEBITO")
+SUMIFS(df_extratos!I:I,df_extratos!F:F,"&gt;="&amp;Conciliacao!BH513,df_extratos!F:F,"&lt;"&amp;Conciliacao!BH513+1,df_extratos!G:G,"DEBITO")</f>
        <v/>
      </c>
      <c r="O513" s="11">
        <f>N513-SUM(J513:M513)</f>
        <v/>
      </c>
      <c r="P513" s="25">
        <f>SUMIFS(df_ajustes_conciliaco!D:D,df_ajustes_conciliaco!C:C,Conciliacao!A513)</f>
        <v/>
      </c>
      <c r="Q513" s="22">
        <f>O513+I513-P513</f>
        <v/>
      </c>
    </row>
    <row r="514">
      <c r="A514" s="5">
        <f>A513+1</f>
        <v/>
      </c>
      <c r="B514" s="3">
        <f>-SUMIFS(df_extrato_zig!G:G,df_extrato_zig!E:E,Conciliacao!A514,df_extrato_zig!D:D,"Saque")-SUMIFS(df_extrato_zig!G:G,df_extrato_zig!E:E,Conciliacao!A514,df_extrato_zig!D:D,"Antecipação")</f>
        <v/>
      </c>
      <c r="C514" s="3">
        <f>SUMIFS(df_extrato_zig!E:E,df_extrato_zig!L:L,Conciliacao!A514,df_extrato_zig!F:F,"DINHEIRO")</f>
        <v/>
      </c>
      <c r="D514" s="3">
        <f>SUMIFS(view_parc_agrup!H:H,view_parc_agrup!G:G,Conciliacao!A514)</f>
        <v/>
      </c>
      <c r="E514" s="3">
        <f>SUMIFS(df_eventos!F:F,df_eventos!H:H,Conciliacao!A514)</f>
        <v/>
      </c>
      <c r="F514" s="3">
        <f>SUMIFS(df_mutuos!M:M,df_mutuos!B:B,Conciliacao!A514)</f>
        <v/>
      </c>
      <c r="G514" s="6">
        <f>SUMIFS(df_bloqueios_judiciais!G:G,df_bloqueios_judiciais!D:D,Conciliacao!A514,df_bloqueios_judiciais!G:G,"&gt;0")</f>
        <v/>
      </c>
      <c r="H514" s="7">
        <f>SUMIFS(df_extratos!I:I,df_extratos!F:F,"&gt;="&amp;Conciliacao!BE514,df_extratos!F:F,"&lt;"&amp;Conciliacao!BE514+1,df_extratos!G:G,"CREDITO")
+SUMIFS(df_extratos!I:I,df_extratos!F:F,"&gt;="&amp;Conciliacao!A514, df_extratos!F:F,"&lt;"&amp;Conciliacao!A514+1, df_extratos!G:G,"CREDITO")
+SUMIFS(df_extratos!I:I,df_extratos!F:F,"&gt;="&amp;Conciliacao!BF514,df_extratos!F:F,"&lt;"&amp;Conciliacao!BF514+1,df_extratos!G:G,"CREDITO")
+SUMIFS(df_extratos!I:I,df_extratos!F:F,"&gt;="&amp;Conciliacao!BG514,df_extratos!F:F,"&lt;"&amp;Conciliacao!BG514+1,df_extratos!G:G,"CREDITO")
+SUMIFS(df_extratos!I:I,df_extratos!F:F,"&gt;="&amp;Conciliacao!BH514,df_extratos!F:F,"&lt;"&amp;Conciliacao!BH514+1,df_extratos!G:G,"CREDITO")</f>
        <v/>
      </c>
      <c r="I514" s="9">
        <f>H514-SUM(B514:G514)</f>
        <v/>
      </c>
      <c r="J514" s="4">
        <f>SUMIFS(df_blueme_sem_parcelamento!E:E,df_blueme_sem_parcelamento!H:H,Conciliacao!A514)*(-1)</f>
        <v/>
      </c>
      <c r="K514" s="4">
        <f>SUMIFS(df_blueme_com_parcelamento!J:J,df_blueme_com_parcelamento!M:M,Conciliacao!A514)*(-1)</f>
        <v/>
      </c>
      <c r="L514" s="4">
        <f>SUMIFS(df_mutuos!N:N,df_mutuos!B:B,Conciliacao!A514)*(-1)</f>
        <v/>
      </c>
      <c r="M514" s="8">
        <f>SUMIFS(df_bloqueios_judiciais!G:G,df_bloqueios_judiciais!D:D,Conciliacao!A514,df_bloqueios_judiciais!G:G,"&lt;0")</f>
        <v/>
      </c>
      <c r="N514" s="10">
        <f>SUMIFS(df_extratos!I:I,df_extratos!F:F,"&gt;="&amp;Conciliacao!BE514,df_extratos!F:F,"&lt;"&amp;Conciliacao!BE514+1,df_extratos!G:G,"DEBITO")
+SUMIFS(df_extratos!I:I,df_extratos!F:F,"&gt;="&amp;Conciliacao!A514, df_extratos!F:F,"&lt;"&amp;Conciliacao!A514+1, df_extratos!G:G,"DEBITO")
+SUMIFS(df_extratos!I:I,df_extratos!F:F,"&gt;="&amp;Conciliacao!BF514,df_extratos!F:F,"&lt;"&amp;Conciliacao!BF514+1,df_extratos!G:G,"DEBITO")
+SUMIFS(df_extratos!I:I,df_extratos!F:F,"&gt;="&amp;Conciliacao!BG514,df_extratos!F:F,"&lt;"&amp;Conciliacao!BG514+1,df_extratos!G:G,"DEBITO")
+SUMIFS(df_extratos!I:I,df_extratos!F:F,"&gt;="&amp;Conciliacao!BH514,df_extratos!F:F,"&lt;"&amp;Conciliacao!BH514+1,df_extratos!G:G,"DEBITO")</f>
        <v/>
      </c>
      <c r="O514" s="11">
        <f>N514-SUM(J514:M514)</f>
        <v/>
      </c>
      <c r="P514" s="25">
        <f>SUMIFS(df_ajustes_conciliaco!D:D,df_ajustes_conciliaco!C:C,Conciliacao!A514)</f>
        <v/>
      </c>
      <c r="Q514" s="22">
        <f>O514+I514-P514</f>
        <v/>
      </c>
    </row>
    <row r="515">
      <c r="A515" s="5">
        <f>A514+1</f>
        <v/>
      </c>
      <c r="B515" s="3">
        <f>-SUMIFS(df_extrato_zig!G:G,df_extrato_zig!E:E,Conciliacao!A515,df_extrato_zig!D:D,"Saque")-SUMIFS(df_extrato_zig!G:G,df_extrato_zig!E:E,Conciliacao!A515,df_extrato_zig!D:D,"Antecipação")</f>
        <v/>
      </c>
      <c r="C515" s="3">
        <f>SUMIFS(df_extrato_zig!E:E,df_extrato_zig!L:L,Conciliacao!A515,df_extrato_zig!F:F,"DINHEIRO")</f>
        <v/>
      </c>
      <c r="D515" s="3">
        <f>SUMIFS(view_parc_agrup!H:H,view_parc_agrup!G:G,Conciliacao!A515)</f>
        <v/>
      </c>
      <c r="E515" s="3">
        <f>SUMIFS(df_eventos!F:F,df_eventos!H:H,Conciliacao!A515)</f>
        <v/>
      </c>
      <c r="F515" s="3">
        <f>SUMIFS(df_mutuos!M:M,df_mutuos!B:B,Conciliacao!A515)</f>
        <v/>
      </c>
      <c r="G515" s="6">
        <f>SUMIFS(df_bloqueios_judiciais!G:G,df_bloqueios_judiciais!D:D,Conciliacao!A515,df_bloqueios_judiciais!G:G,"&gt;0")</f>
        <v/>
      </c>
      <c r="H515" s="7">
        <f>SUMIFS(df_extratos!I:I,df_extratos!F:F,"&gt;="&amp;Conciliacao!BE515,df_extratos!F:F,"&lt;"&amp;Conciliacao!BE515+1,df_extratos!G:G,"CREDITO")
+SUMIFS(df_extratos!I:I,df_extratos!F:F,"&gt;="&amp;Conciliacao!A515, df_extratos!F:F,"&lt;"&amp;Conciliacao!A515+1, df_extratos!G:G,"CREDITO")
+SUMIFS(df_extratos!I:I,df_extratos!F:F,"&gt;="&amp;Conciliacao!BF515,df_extratos!F:F,"&lt;"&amp;Conciliacao!BF515+1,df_extratos!G:G,"CREDITO")
+SUMIFS(df_extratos!I:I,df_extratos!F:F,"&gt;="&amp;Conciliacao!BG515,df_extratos!F:F,"&lt;"&amp;Conciliacao!BG515+1,df_extratos!G:G,"CREDITO")
+SUMIFS(df_extratos!I:I,df_extratos!F:F,"&gt;="&amp;Conciliacao!BH515,df_extratos!F:F,"&lt;"&amp;Conciliacao!BH515+1,df_extratos!G:G,"CREDITO")</f>
        <v/>
      </c>
      <c r="I515" s="9">
        <f>H515-SUM(B515:G515)</f>
        <v/>
      </c>
      <c r="J515" s="4">
        <f>SUMIFS(df_blueme_sem_parcelamento!E:E,df_blueme_sem_parcelamento!H:H,Conciliacao!A515)*(-1)</f>
        <v/>
      </c>
      <c r="K515" s="4">
        <f>SUMIFS(df_blueme_com_parcelamento!J:J,df_blueme_com_parcelamento!M:M,Conciliacao!A515)*(-1)</f>
        <v/>
      </c>
      <c r="L515" s="4">
        <f>SUMIFS(df_mutuos!N:N,df_mutuos!B:B,Conciliacao!A515)*(-1)</f>
        <v/>
      </c>
      <c r="M515" s="8">
        <f>SUMIFS(df_bloqueios_judiciais!G:G,df_bloqueios_judiciais!D:D,Conciliacao!A515,df_bloqueios_judiciais!G:G,"&lt;0")</f>
        <v/>
      </c>
      <c r="N515" s="10">
        <f>SUMIFS(df_extratos!I:I,df_extratos!F:F,"&gt;="&amp;Conciliacao!BE515,df_extratos!F:F,"&lt;"&amp;Conciliacao!BE515+1,df_extratos!G:G,"DEBITO")
+SUMIFS(df_extratos!I:I,df_extratos!F:F,"&gt;="&amp;Conciliacao!A515, df_extratos!F:F,"&lt;"&amp;Conciliacao!A515+1, df_extratos!G:G,"DEBITO")
+SUMIFS(df_extratos!I:I,df_extratos!F:F,"&gt;="&amp;Conciliacao!BF515,df_extratos!F:F,"&lt;"&amp;Conciliacao!BF515+1,df_extratos!G:G,"DEBITO")
+SUMIFS(df_extratos!I:I,df_extratos!F:F,"&gt;="&amp;Conciliacao!BG515,df_extratos!F:F,"&lt;"&amp;Conciliacao!BG515+1,df_extratos!G:G,"DEBITO")
+SUMIFS(df_extratos!I:I,df_extratos!F:F,"&gt;="&amp;Conciliacao!BH515,df_extratos!F:F,"&lt;"&amp;Conciliacao!BH515+1,df_extratos!G:G,"DEBITO")</f>
        <v/>
      </c>
      <c r="O515" s="11">
        <f>N515-SUM(J515:M515)</f>
        <v/>
      </c>
      <c r="P515" s="25">
        <f>SUMIFS(df_ajustes_conciliaco!D:D,df_ajustes_conciliaco!C:C,Conciliacao!A515)</f>
        <v/>
      </c>
      <c r="Q515" s="22">
        <f>O515+I515-P515</f>
        <v/>
      </c>
    </row>
    <row r="516">
      <c r="A516" s="5">
        <f>A515+1</f>
        <v/>
      </c>
      <c r="B516" s="3">
        <f>-SUMIFS(df_extrato_zig!G:G,df_extrato_zig!E:E,Conciliacao!A516,df_extrato_zig!D:D,"Saque")-SUMIFS(df_extrato_zig!G:G,df_extrato_zig!E:E,Conciliacao!A516,df_extrato_zig!D:D,"Antecipação")</f>
        <v/>
      </c>
      <c r="C516" s="3">
        <f>SUMIFS(df_extrato_zig!E:E,df_extrato_zig!L:L,Conciliacao!A516,df_extrato_zig!F:F,"DINHEIRO")</f>
        <v/>
      </c>
      <c r="D516" s="3">
        <f>SUMIFS(view_parc_agrup!H:H,view_parc_agrup!G:G,Conciliacao!A516)</f>
        <v/>
      </c>
      <c r="E516" s="3">
        <f>SUMIFS(df_eventos!F:F,df_eventos!H:H,Conciliacao!A516)</f>
        <v/>
      </c>
      <c r="F516" s="3">
        <f>SUMIFS(df_mutuos!M:M,df_mutuos!B:B,Conciliacao!A516)</f>
        <v/>
      </c>
      <c r="G516" s="6">
        <f>SUMIFS(df_bloqueios_judiciais!G:G,df_bloqueios_judiciais!D:D,Conciliacao!A516,df_bloqueios_judiciais!G:G,"&gt;0")</f>
        <v/>
      </c>
      <c r="H516" s="7">
        <f>SUMIFS(df_extratos!I:I,df_extratos!F:F,"&gt;="&amp;Conciliacao!BE516,df_extratos!F:F,"&lt;"&amp;Conciliacao!BE516+1,df_extratos!G:G,"CREDITO")
+SUMIFS(df_extratos!I:I,df_extratos!F:F,"&gt;="&amp;Conciliacao!A516, df_extratos!F:F,"&lt;"&amp;Conciliacao!A516+1, df_extratos!G:G,"CREDITO")
+SUMIFS(df_extratos!I:I,df_extratos!F:F,"&gt;="&amp;Conciliacao!BF516,df_extratos!F:F,"&lt;"&amp;Conciliacao!BF516+1,df_extratos!G:G,"CREDITO")
+SUMIFS(df_extratos!I:I,df_extratos!F:F,"&gt;="&amp;Conciliacao!BG516,df_extratos!F:F,"&lt;"&amp;Conciliacao!BG516+1,df_extratos!G:G,"CREDITO")
+SUMIFS(df_extratos!I:I,df_extratos!F:F,"&gt;="&amp;Conciliacao!BH516,df_extratos!F:F,"&lt;"&amp;Conciliacao!BH516+1,df_extratos!G:G,"CREDITO")</f>
        <v/>
      </c>
      <c r="I516" s="9">
        <f>H516-SUM(B516:G516)</f>
        <v/>
      </c>
      <c r="J516" s="4">
        <f>SUMIFS(df_blueme_sem_parcelamento!E:E,df_blueme_sem_parcelamento!H:H,Conciliacao!A516)*(-1)</f>
        <v/>
      </c>
      <c r="K516" s="4">
        <f>SUMIFS(df_blueme_com_parcelamento!J:J,df_blueme_com_parcelamento!M:M,Conciliacao!A516)*(-1)</f>
        <v/>
      </c>
      <c r="L516" s="4">
        <f>SUMIFS(df_mutuos!N:N,df_mutuos!B:B,Conciliacao!A516)*(-1)</f>
        <v/>
      </c>
      <c r="M516" s="8">
        <f>SUMIFS(df_bloqueios_judiciais!G:G,df_bloqueios_judiciais!D:D,Conciliacao!A516,df_bloqueios_judiciais!G:G,"&lt;0")</f>
        <v/>
      </c>
      <c r="N516" s="10">
        <f>SUMIFS(df_extratos!I:I,df_extratos!F:F,"&gt;="&amp;Conciliacao!BE516,df_extratos!F:F,"&lt;"&amp;Conciliacao!BE516+1,df_extratos!G:G,"DEBITO")
+SUMIFS(df_extratos!I:I,df_extratos!F:F,"&gt;="&amp;Conciliacao!A516, df_extratos!F:F,"&lt;"&amp;Conciliacao!A516+1, df_extratos!G:G,"DEBITO")
+SUMIFS(df_extratos!I:I,df_extratos!F:F,"&gt;="&amp;Conciliacao!BF516,df_extratos!F:F,"&lt;"&amp;Conciliacao!BF516+1,df_extratos!G:G,"DEBITO")
+SUMIFS(df_extratos!I:I,df_extratos!F:F,"&gt;="&amp;Conciliacao!BG516,df_extratos!F:F,"&lt;"&amp;Conciliacao!BG516+1,df_extratos!G:G,"DEBITO")
+SUMIFS(df_extratos!I:I,df_extratos!F:F,"&gt;="&amp;Conciliacao!BH516,df_extratos!F:F,"&lt;"&amp;Conciliacao!BH516+1,df_extratos!G:G,"DEBITO")</f>
        <v/>
      </c>
      <c r="O516" s="11">
        <f>N516-SUM(J516:M516)</f>
        <v/>
      </c>
      <c r="P516" s="25">
        <f>SUMIFS(df_ajustes_conciliaco!D:D,df_ajustes_conciliaco!C:C,Conciliacao!A516)</f>
        <v/>
      </c>
      <c r="Q516" s="22">
        <f>O516+I516-P516</f>
        <v/>
      </c>
    </row>
    <row r="517">
      <c r="A517" s="5">
        <f>A516+1</f>
        <v/>
      </c>
      <c r="B517" s="3">
        <f>-SUMIFS(df_extrato_zig!G:G,df_extrato_zig!E:E,Conciliacao!A517,df_extrato_zig!D:D,"Saque")-SUMIFS(df_extrato_zig!G:G,df_extrato_zig!E:E,Conciliacao!A517,df_extrato_zig!D:D,"Antecipação")</f>
        <v/>
      </c>
      <c r="C517" s="3">
        <f>SUMIFS(df_extrato_zig!E:E,df_extrato_zig!L:L,Conciliacao!A517,df_extrato_zig!F:F,"DINHEIRO")</f>
        <v/>
      </c>
      <c r="D517" s="3">
        <f>SUMIFS(view_parc_agrup!H:H,view_parc_agrup!G:G,Conciliacao!A517)</f>
        <v/>
      </c>
      <c r="E517" s="3">
        <f>SUMIFS(df_eventos!F:F,df_eventos!H:H,Conciliacao!A517)</f>
        <v/>
      </c>
      <c r="F517" s="3">
        <f>SUMIFS(df_mutuos!M:M,df_mutuos!B:B,Conciliacao!A517)</f>
        <v/>
      </c>
      <c r="G517" s="6">
        <f>SUMIFS(df_bloqueios_judiciais!G:G,df_bloqueios_judiciais!D:D,Conciliacao!A517,df_bloqueios_judiciais!G:G,"&gt;0")</f>
        <v/>
      </c>
      <c r="H517" s="7">
        <f>SUMIFS(df_extratos!I:I,df_extratos!F:F,"&gt;="&amp;Conciliacao!BE517,df_extratos!F:F,"&lt;"&amp;Conciliacao!BE517+1,df_extratos!G:G,"CREDITO")
+SUMIFS(df_extratos!I:I,df_extratos!F:F,"&gt;="&amp;Conciliacao!A517, df_extratos!F:F,"&lt;"&amp;Conciliacao!A517+1, df_extratos!G:G,"CREDITO")
+SUMIFS(df_extratos!I:I,df_extratos!F:F,"&gt;="&amp;Conciliacao!BF517,df_extratos!F:F,"&lt;"&amp;Conciliacao!BF517+1,df_extratos!G:G,"CREDITO")
+SUMIFS(df_extratos!I:I,df_extratos!F:F,"&gt;="&amp;Conciliacao!BG517,df_extratos!F:F,"&lt;"&amp;Conciliacao!BG517+1,df_extratos!G:G,"CREDITO")
+SUMIFS(df_extratos!I:I,df_extratos!F:F,"&gt;="&amp;Conciliacao!BH517,df_extratos!F:F,"&lt;"&amp;Conciliacao!BH517+1,df_extratos!G:G,"CREDITO")</f>
        <v/>
      </c>
      <c r="I517" s="9">
        <f>H517-SUM(B517:G517)</f>
        <v/>
      </c>
      <c r="J517" s="4">
        <f>SUMIFS(df_blueme_sem_parcelamento!E:E,df_blueme_sem_parcelamento!H:H,Conciliacao!A517)*(-1)</f>
        <v/>
      </c>
      <c r="K517" s="4">
        <f>SUMIFS(df_blueme_com_parcelamento!J:J,df_blueme_com_parcelamento!M:M,Conciliacao!A517)*(-1)</f>
        <v/>
      </c>
      <c r="L517" s="4">
        <f>SUMIFS(df_mutuos!N:N,df_mutuos!B:B,Conciliacao!A517)*(-1)</f>
        <v/>
      </c>
      <c r="M517" s="8">
        <f>SUMIFS(df_bloqueios_judiciais!G:G,df_bloqueios_judiciais!D:D,Conciliacao!A517,df_bloqueios_judiciais!G:G,"&lt;0")</f>
        <v/>
      </c>
      <c r="N517" s="10">
        <f>SUMIFS(df_extratos!I:I,df_extratos!F:F,"&gt;="&amp;Conciliacao!BE517,df_extratos!F:F,"&lt;"&amp;Conciliacao!BE517+1,df_extratos!G:G,"DEBITO")
+SUMIFS(df_extratos!I:I,df_extratos!F:F,"&gt;="&amp;Conciliacao!A517, df_extratos!F:F,"&lt;"&amp;Conciliacao!A517+1, df_extratos!G:G,"DEBITO")
+SUMIFS(df_extratos!I:I,df_extratos!F:F,"&gt;="&amp;Conciliacao!BF517,df_extratos!F:F,"&lt;"&amp;Conciliacao!BF517+1,df_extratos!G:G,"DEBITO")
+SUMIFS(df_extratos!I:I,df_extratos!F:F,"&gt;="&amp;Conciliacao!BG517,df_extratos!F:F,"&lt;"&amp;Conciliacao!BG517+1,df_extratos!G:G,"DEBITO")
+SUMIFS(df_extratos!I:I,df_extratos!F:F,"&gt;="&amp;Conciliacao!BH517,df_extratos!F:F,"&lt;"&amp;Conciliacao!BH517+1,df_extratos!G:G,"DEBITO")</f>
        <v/>
      </c>
      <c r="O517" s="11">
        <f>N517-SUM(J517:M517)</f>
        <v/>
      </c>
      <c r="P517" s="25">
        <f>SUMIFS(df_ajustes_conciliaco!D:D,df_ajustes_conciliaco!C:C,Conciliacao!A517)</f>
        <v/>
      </c>
      <c r="Q517" s="22">
        <f>O517+I517-P517</f>
        <v/>
      </c>
    </row>
    <row r="518">
      <c r="A518" s="5">
        <f>A517+1</f>
        <v/>
      </c>
      <c r="B518" s="3">
        <f>-SUMIFS(df_extrato_zig!G:G,df_extrato_zig!E:E,Conciliacao!A518,df_extrato_zig!D:D,"Saque")-SUMIFS(df_extrato_zig!G:G,df_extrato_zig!E:E,Conciliacao!A518,df_extrato_zig!D:D,"Antecipação")</f>
        <v/>
      </c>
      <c r="C518" s="3">
        <f>SUMIFS(df_extrato_zig!E:E,df_extrato_zig!L:L,Conciliacao!A518,df_extrato_zig!F:F,"DINHEIRO")</f>
        <v/>
      </c>
      <c r="D518" s="3">
        <f>SUMIFS(view_parc_agrup!H:H,view_parc_agrup!G:G,Conciliacao!A518)</f>
        <v/>
      </c>
      <c r="E518" s="3">
        <f>SUMIFS(df_eventos!F:F,df_eventos!H:H,Conciliacao!A518)</f>
        <v/>
      </c>
      <c r="F518" s="3">
        <f>SUMIFS(df_mutuos!M:M,df_mutuos!B:B,Conciliacao!A518)</f>
        <v/>
      </c>
      <c r="G518" s="6">
        <f>SUMIFS(df_bloqueios_judiciais!G:G,df_bloqueios_judiciais!D:D,Conciliacao!A518,df_bloqueios_judiciais!G:G,"&gt;0")</f>
        <v/>
      </c>
      <c r="H518" s="7">
        <f>SUMIFS(df_extratos!I:I,df_extratos!F:F,"&gt;="&amp;Conciliacao!BE518,df_extratos!F:F,"&lt;"&amp;Conciliacao!BE518+1,df_extratos!G:G,"CREDITO")
+SUMIFS(df_extratos!I:I,df_extratos!F:F,"&gt;="&amp;Conciliacao!A518, df_extratos!F:F,"&lt;"&amp;Conciliacao!A518+1, df_extratos!G:G,"CREDITO")
+SUMIFS(df_extratos!I:I,df_extratos!F:F,"&gt;="&amp;Conciliacao!BF518,df_extratos!F:F,"&lt;"&amp;Conciliacao!BF518+1,df_extratos!G:G,"CREDITO")
+SUMIFS(df_extratos!I:I,df_extratos!F:F,"&gt;="&amp;Conciliacao!BG518,df_extratos!F:F,"&lt;"&amp;Conciliacao!BG518+1,df_extratos!G:G,"CREDITO")
+SUMIFS(df_extratos!I:I,df_extratos!F:F,"&gt;="&amp;Conciliacao!BH518,df_extratos!F:F,"&lt;"&amp;Conciliacao!BH518+1,df_extratos!G:G,"CREDITO")</f>
        <v/>
      </c>
      <c r="I518" s="9">
        <f>H518-SUM(B518:G518)</f>
        <v/>
      </c>
      <c r="J518" s="4">
        <f>SUMIFS(df_blueme_sem_parcelamento!E:E,df_blueme_sem_parcelamento!H:H,Conciliacao!A518)*(-1)</f>
        <v/>
      </c>
      <c r="K518" s="4">
        <f>SUMIFS(df_blueme_com_parcelamento!J:J,df_blueme_com_parcelamento!M:M,Conciliacao!A518)*(-1)</f>
        <v/>
      </c>
      <c r="L518" s="4">
        <f>SUMIFS(df_mutuos!N:N,df_mutuos!B:B,Conciliacao!A518)*(-1)</f>
        <v/>
      </c>
      <c r="M518" s="8">
        <f>SUMIFS(df_bloqueios_judiciais!G:G,df_bloqueios_judiciais!D:D,Conciliacao!A518,df_bloqueios_judiciais!G:G,"&lt;0")</f>
        <v/>
      </c>
      <c r="N518" s="10">
        <f>SUMIFS(df_extratos!I:I,df_extratos!F:F,"&gt;="&amp;Conciliacao!BE518,df_extratos!F:F,"&lt;"&amp;Conciliacao!BE518+1,df_extratos!G:G,"DEBITO")
+SUMIFS(df_extratos!I:I,df_extratos!F:F,"&gt;="&amp;Conciliacao!A518, df_extratos!F:F,"&lt;"&amp;Conciliacao!A518+1, df_extratos!G:G,"DEBITO")
+SUMIFS(df_extratos!I:I,df_extratos!F:F,"&gt;="&amp;Conciliacao!BF518,df_extratos!F:F,"&lt;"&amp;Conciliacao!BF518+1,df_extratos!G:G,"DEBITO")
+SUMIFS(df_extratos!I:I,df_extratos!F:F,"&gt;="&amp;Conciliacao!BG518,df_extratos!F:F,"&lt;"&amp;Conciliacao!BG518+1,df_extratos!G:G,"DEBITO")
+SUMIFS(df_extratos!I:I,df_extratos!F:F,"&gt;="&amp;Conciliacao!BH518,df_extratos!F:F,"&lt;"&amp;Conciliacao!BH518+1,df_extratos!G:G,"DEBITO")</f>
        <v/>
      </c>
      <c r="O518" s="11">
        <f>N518-SUM(J518:M518)</f>
        <v/>
      </c>
      <c r="P518" s="25">
        <f>SUMIFS(df_ajustes_conciliaco!D:D,df_ajustes_conciliaco!C:C,Conciliacao!A518)</f>
        <v/>
      </c>
      <c r="Q518" s="22">
        <f>O518+I518-P518</f>
        <v/>
      </c>
    </row>
    <row r="519">
      <c r="A519" s="5">
        <f>A518+1</f>
        <v/>
      </c>
      <c r="B519" s="3">
        <f>-SUMIFS(df_extrato_zig!G:G,df_extrato_zig!E:E,Conciliacao!A519,df_extrato_zig!D:D,"Saque")-SUMIFS(df_extrato_zig!G:G,df_extrato_zig!E:E,Conciliacao!A519,df_extrato_zig!D:D,"Antecipação")</f>
        <v/>
      </c>
      <c r="C519" s="3">
        <f>SUMIFS(df_extrato_zig!E:E,df_extrato_zig!L:L,Conciliacao!A519,df_extrato_zig!F:F,"DINHEIRO")</f>
        <v/>
      </c>
      <c r="D519" s="3">
        <f>SUMIFS(view_parc_agrup!H:H,view_parc_agrup!G:G,Conciliacao!A519)</f>
        <v/>
      </c>
      <c r="E519" s="3">
        <f>SUMIFS(df_eventos!F:F,df_eventos!H:H,Conciliacao!A519)</f>
        <v/>
      </c>
      <c r="F519" s="3">
        <f>SUMIFS(df_mutuos!M:M,df_mutuos!B:B,Conciliacao!A519)</f>
        <v/>
      </c>
      <c r="G519" s="6">
        <f>SUMIFS(df_bloqueios_judiciais!G:G,df_bloqueios_judiciais!D:D,Conciliacao!A519,df_bloqueios_judiciais!G:G,"&gt;0")</f>
        <v/>
      </c>
      <c r="H519" s="7">
        <f>SUMIFS(df_extratos!I:I,df_extratos!F:F,"&gt;="&amp;Conciliacao!BE519,df_extratos!F:F,"&lt;"&amp;Conciliacao!BE519+1,df_extratos!G:G,"CREDITO")
+SUMIFS(df_extratos!I:I,df_extratos!F:F,"&gt;="&amp;Conciliacao!A519, df_extratos!F:F,"&lt;"&amp;Conciliacao!A519+1, df_extratos!G:G,"CREDITO")
+SUMIFS(df_extratos!I:I,df_extratos!F:F,"&gt;="&amp;Conciliacao!BF519,df_extratos!F:F,"&lt;"&amp;Conciliacao!BF519+1,df_extratos!G:G,"CREDITO")
+SUMIFS(df_extratos!I:I,df_extratos!F:F,"&gt;="&amp;Conciliacao!BG519,df_extratos!F:F,"&lt;"&amp;Conciliacao!BG519+1,df_extratos!G:G,"CREDITO")
+SUMIFS(df_extratos!I:I,df_extratos!F:F,"&gt;="&amp;Conciliacao!BH519,df_extratos!F:F,"&lt;"&amp;Conciliacao!BH519+1,df_extratos!G:G,"CREDITO")</f>
        <v/>
      </c>
      <c r="I519" s="9">
        <f>H519-SUM(B519:G519)</f>
        <v/>
      </c>
      <c r="J519" s="4">
        <f>SUMIFS(df_blueme_sem_parcelamento!E:E,df_blueme_sem_parcelamento!H:H,Conciliacao!A519)*(-1)</f>
        <v/>
      </c>
      <c r="K519" s="4">
        <f>SUMIFS(df_blueme_com_parcelamento!J:J,df_blueme_com_parcelamento!M:M,Conciliacao!A519)*(-1)</f>
        <v/>
      </c>
      <c r="L519" s="4">
        <f>SUMIFS(df_mutuos!N:N,df_mutuos!B:B,Conciliacao!A519)*(-1)</f>
        <v/>
      </c>
      <c r="M519" s="8">
        <f>SUMIFS(df_bloqueios_judiciais!G:G,df_bloqueios_judiciais!D:D,Conciliacao!A519,df_bloqueios_judiciais!G:G,"&lt;0")</f>
        <v/>
      </c>
      <c r="N519" s="10">
        <f>SUMIFS(df_extratos!I:I,df_extratos!F:F,"&gt;="&amp;Conciliacao!BE519,df_extratos!F:F,"&lt;"&amp;Conciliacao!BE519+1,df_extratos!G:G,"DEBITO")
+SUMIFS(df_extratos!I:I,df_extratos!F:F,"&gt;="&amp;Conciliacao!A519, df_extratos!F:F,"&lt;"&amp;Conciliacao!A519+1, df_extratos!G:G,"DEBITO")
+SUMIFS(df_extratos!I:I,df_extratos!F:F,"&gt;="&amp;Conciliacao!BF519,df_extratos!F:F,"&lt;"&amp;Conciliacao!BF519+1,df_extratos!G:G,"DEBITO")
+SUMIFS(df_extratos!I:I,df_extratos!F:F,"&gt;="&amp;Conciliacao!BG519,df_extratos!F:F,"&lt;"&amp;Conciliacao!BG519+1,df_extratos!G:G,"DEBITO")
+SUMIFS(df_extratos!I:I,df_extratos!F:F,"&gt;="&amp;Conciliacao!BH519,df_extratos!F:F,"&lt;"&amp;Conciliacao!BH519+1,df_extratos!G:G,"DEBITO")</f>
        <v/>
      </c>
      <c r="O519" s="11">
        <f>N519-SUM(J519:M519)</f>
        <v/>
      </c>
      <c r="P519" s="25">
        <f>SUMIFS(df_ajustes_conciliaco!D:D,df_ajustes_conciliaco!C:C,Conciliacao!A519)</f>
        <v/>
      </c>
      <c r="Q519" s="22">
        <f>O519+I519-P519</f>
        <v/>
      </c>
    </row>
    <row r="520">
      <c r="A520" s="5">
        <f>A519+1</f>
        <v/>
      </c>
      <c r="B520" s="3">
        <f>-SUMIFS(df_extrato_zig!G:G,df_extrato_zig!E:E,Conciliacao!A520,df_extrato_zig!D:D,"Saque")-SUMIFS(df_extrato_zig!G:G,df_extrato_zig!E:E,Conciliacao!A520,df_extrato_zig!D:D,"Antecipação")</f>
        <v/>
      </c>
      <c r="C520" s="3">
        <f>SUMIFS(df_extrato_zig!E:E,df_extrato_zig!L:L,Conciliacao!A520,df_extrato_zig!F:F,"DINHEIRO")</f>
        <v/>
      </c>
      <c r="D520" s="3">
        <f>SUMIFS(view_parc_agrup!H:H,view_parc_agrup!G:G,Conciliacao!A520)</f>
        <v/>
      </c>
      <c r="E520" s="3">
        <f>SUMIFS(df_eventos!F:F,df_eventos!H:H,Conciliacao!A520)</f>
        <v/>
      </c>
      <c r="F520" s="3">
        <f>SUMIFS(df_mutuos!M:M,df_mutuos!B:B,Conciliacao!A520)</f>
        <v/>
      </c>
      <c r="G520" s="6">
        <f>SUMIFS(df_bloqueios_judiciais!G:G,df_bloqueios_judiciais!D:D,Conciliacao!A520,df_bloqueios_judiciais!G:G,"&gt;0")</f>
        <v/>
      </c>
      <c r="H520" s="7">
        <f>SUMIFS(df_extratos!I:I,df_extratos!F:F,"&gt;="&amp;Conciliacao!BE520,df_extratos!F:F,"&lt;"&amp;Conciliacao!BE520+1,df_extratos!G:G,"CREDITO")
+SUMIFS(df_extratos!I:I,df_extratos!F:F,"&gt;="&amp;Conciliacao!A520, df_extratos!F:F,"&lt;"&amp;Conciliacao!A520+1, df_extratos!G:G,"CREDITO")
+SUMIFS(df_extratos!I:I,df_extratos!F:F,"&gt;="&amp;Conciliacao!BF520,df_extratos!F:F,"&lt;"&amp;Conciliacao!BF520+1,df_extratos!G:G,"CREDITO")
+SUMIFS(df_extratos!I:I,df_extratos!F:F,"&gt;="&amp;Conciliacao!BG520,df_extratos!F:F,"&lt;"&amp;Conciliacao!BG520+1,df_extratos!G:G,"CREDITO")
+SUMIFS(df_extratos!I:I,df_extratos!F:F,"&gt;="&amp;Conciliacao!BH520,df_extratos!F:F,"&lt;"&amp;Conciliacao!BH520+1,df_extratos!G:G,"CREDITO")</f>
        <v/>
      </c>
      <c r="I520" s="9">
        <f>H520-SUM(B520:G520)</f>
        <v/>
      </c>
      <c r="J520" s="4">
        <f>SUMIFS(df_blueme_sem_parcelamento!E:E,df_blueme_sem_parcelamento!H:H,Conciliacao!A520)*(-1)</f>
        <v/>
      </c>
      <c r="K520" s="4">
        <f>SUMIFS(df_blueme_com_parcelamento!J:J,df_blueme_com_parcelamento!M:M,Conciliacao!A520)*(-1)</f>
        <v/>
      </c>
      <c r="L520" s="4">
        <f>SUMIFS(df_mutuos!N:N,df_mutuos!B:B,Conciliacao!A520)*(-1)</f>
        <v/>
      </c>
      <c r="M520" s="8">
        <f>SUMIFS(df_bloqueios_judiciais!G:G,df_bloqueios_judiciais!D:D,Conciliacao!A520,df_bloqueios_judiciais!G:G,"&lt;0")</f>
        <v/>
      </c>
      <c r="N520" s="10">
        <f>SUMIFS(df_extratos!I:I,df_extratos!F:F,"&gt;="&amp;Conciliacao!BE520,df_extratos!F:F,"&lt;"&amp;Conciliacao!BE520+1,df_extratos!G:G,"DEBITO")
+SUMIFS(df_extratos!I:I,df_extratos!F:F,"&gt;="&amp;Conciliacao!A520, df_extratos!F:F,"&lt;"&amp;Conciliacao!A520+1, df_extratos!G:G,"DEBITO")
+SUMIFS(df_extratos!I:I,df_extratos!F:F,"&gt;="&amp;Conciliacao!BF520,df_extratos!F:F,"&lt;"&amp;Conciliacao!BF520+1,df_extratos!G:G,"DEBITO")
+SUMIFS(df_extratos!I:I,df_extratos!F:F,"&gt;="&amp;Conciliacao!BG520,df_extratos!F:F,"&lt;"&amp;Conciliacao!BG520+1,df_extratos!G:G,"DEBITO")
+SUMIFS(df_extratos!I:I,df_extratos!F:F,"&gt;="&amp;Conciliacao!BH520,df_extratos!F:F,"&lt;"&amp;Conciliacao!BH520+1,df_extratos!G:G,"DEBITO")</f>
        <v/>
      </c>
      <c r="O520" s="11">
        <f>N520-SUM(J520:M520)</f>
        <v/>
      </c>
      <c r="P520" s="25">
        <f>SUMIFS(df_ajustes_conciliaco!D:D,df_ajustes_conciliaco!C:C,Conciliacao!A520)</f>
        <v/>
      </c>
      <c r="Q520" s="22">
        <f>O520+I520-P520</f>
        <v/>
      </c>
    </row>
    <row r="521">
      <c r="A521" s="5">
        <f>A520+1</f>
        <v/>
      </c>
      <c r="B521" s="3">
        <f>-SUMIFS(df_extrato_zig!G:G,df_extrato_zig!E:E,Conciliacao!A521,df_extrato_zig!D:D,"Saque")-SUMIFS(df_extrato_zig!G:G,df_extrato_zig!E:E,Conciliacao!A521,df_extrato_zig!D:D,"Antecipação")</f>
        <v/>
      </c>
      <c r="C521" s="3">
        <f>SUMIFS(df_extrato_zig!E:E,df_extrato_zig!L:L,Conciliacao!A521,df_extrato_zig!F:F,"DINHEIRO")</f>
        <v/>
      </c>
      <c r="D521" s="3">
        <f>SUMIFS(view_parc_agrup!H:H,view_parc_agrup!G:G,Conciliacao!A521)</f>
        <v/>
      </c>
      <c r="E521" s="3">
        <f>SUMIFS(df_eventos!F:F,df_eventos!H:H,Conciliacao!A521)</f>
        <v/>
      </c>
      <c r="F521" s="3">
        <f>SUMIFS(df_mutuos!M:M,df_mutuos!B:B,Conciliacao!A521)</f>
        <v/>
      </c>
      <c r="G521" s="6">
        <f>SUMIFS(df_bloqueios_judiciais!G:G,df_bloqueios_judiciais!D:D,Conciliacao!A521,df_bloqueios_judiciais!G:G,"&gt;0")</f>
        <v/>
      </c>
      <c r="H521" s="7">
        <f>SUMIFS(df_extratos!I:I,df_extratos!F:F,"&gt;="&amp;Conciliacao!BE521,df_extratos!F:F,"&lt;"&amp;Conciliacao!BE521+1,df_extratos!G:G,"CREDITO")
+SUMIFS(df_extratos!I:I,df_extratos!F:F,"&gt;="&amp;Conciliacao!A521, df_extratos!F:F,"&lt;"&amp;Conciliacao!A521+1, df_extratos!G:G,"CREDITO")
+SUMIFS(df_extratos!I:I,df_extratos!F:F,"&gt;="&amp;Conciliacao!BF521,df_extratos!F:F,"&lt;"&amp;Conciliacao!BF521+1,df_extratos!G:G,"CREDITO")
+SUMIFS(df_extratos!I:I,df_extratos!F:F,"&gt;="&amp;Conciliacao!BG521,df_extratos!F:F,"&lt;"&amp;Conciliacao!BG521+1,df_extratos!G:G,"CREDITO")
+SUMIFS(df_extratos!I:I,df_extratos!F:F,"&gt;="&amp;Conciliacao!BH521,df_extratos!F:F,"&lt;"&amp;Conciliacao!BH521+1,df_extratos!G:G,"CREDITO")</f>
        <v/>
      </c>
      <c r="I521" s="9">
        <f>H521-SUM(B521:G521)</f>
        <v/>
      </c>
      <c r="J521" s="4">
        <f>SUMIFS(df_blueme_sem_parcelamento!E:E,df_blueme_sem_parcelamento!H:H,Conciliacao!A521)*(-1)</f>
        <v/>
      </c>
      <c r="K521" s="4">
        <f>SUMIFS(df_blueme_com_parcelamento!J:J,df_blueme_com_parcelamento!M:M,Conciliacao!A521)*(-1)</f>
        <v/>
      </c>
      <c r="L521" s="4">
        <f>SUMIFS(df_mutuos!N:N,df_mutuos!B:B,Conciliacao!A521)*(-1)</f>
        <v/>
      </c>
      <c r="M521" s="8">
        <f>SUMIFS(df_bloqueios_judiciais!G:G,df_bloqueios_judiciais!D:D,Conciliacao!A521,df_bloqueios_judiciais!G:G,"&lt;0")</f>
        <v/>
      </c>
      <c r="N521" s="10">
        <f>SUMIFS(df_extratos!I:I,df_extratos!F:F,"&gt;="&amp;Conciliacao!BE521,df_extratos!F:F,"&lt;"&amp;Conciliacao!BE521+1,df_extratos!G:G,"DEBITO")
+SUMIFS(df_extratos!I:I,df_extratos!F:F,"&gt;="&amp;Conciliacao!A521, df_extratos!F:F,"&lt;"&amp;Conciliacao!A521+1, df_extratos!G:G,"DEBITO")
+SUMIFS(df_extratos!I:I,df_extratos!F:F,"&gt;="&amp;Conciliacao!BF521,df_extratos!F:F,"&lt;"&amp;Conciliacao!BF521+1,df_extratos!G:G,"DEBITO")
+SUMIFS(df_extratos!I:I,df_extratos!F:F,"&gt;="&amp;Conciliacao!BG521,df_extratos!F:F,"&lt;"&amp;Conciliacao!BG521+1,df_extratos!G:G,"DEBITO")
+SUMIFS(df_extratos!I:I,df_extratos!F:F,"&gt;="&amp;Conciliacao!BH521,df_extratos!F:F,"&lt;"&amp;Conciliacao!BH521+1,df_extratos!G:G,"DEBITO")</f>
        <v/>
      </c>
      <c r="O521" s="11">
        <f>N521-SUM(J521:M521)</f>
        <v/>
      </c>
      <c r="P521" s="25">
        <f>SUMIFS(df_ajustes_conciliaco!D:D,df_ajustes_conciliaco!C:C,Conciliacao!A521)</f>
        <v/>
      </c>
      <c r="Q521" s="22">
        <f>O521+I521-P521</f>
        <v/>
      </c>
    </row>
    <row r="522">
      <c r="A522" s="5">
        <f>A521+1</f>
        <v/>
      </c>
      <c r="B522" s="3">
        <f>-SUMIFS(df_extrato_zig!G:G,df_extrato_zig!E:E,Conciliacao!A522,df_extrato_zig!D:D,"Saque")-SUMIFS(df_extrato_zig!G:G,df_extrato_zig!E:E,Conciliacao!A522,df_extrato_zig!D:D,"Antecipação")</f>
        <v/>
      </c>
      <c r="C522" s="3">
        <f>SUMIFS(df_extrato_zig!E:E,df_extrato_zig!L:L,Conciliacao!A522,df_extrato_zig!F:F,"DINHEIRO")</f>
        <v/>
      </c>
      <c r="D522" s="3">
        <f>SUMIFS(view_parc_agrup!H:H,view_parc_agrup!G:G,Conciliacao!A522)</f>
        <v/>
      </c>
      <c r="E522" s="3">
        <f>SUMIFS(df_eventos!F:F,df_eventos!H:H,Conciliacao!A522)</f>
        <v/>
      </c>
      <c r="F522" s="3">
        <f>SUMIFS(df_mutuos!M:M,df_mutuos!B:B,Conciliacao!A522)</f>
        <v/>
      </c>
      <c r="G522" s="6">
        <f>SUMIFS(df_bloqueios_judiciais!G:G,df_bloqueios_judiciais!D:D,Conciliacao!A522,df_bloqueios_judiciais!G:G,"&gt;0")</f>
        <v/>
      </c>
      <c r="H522" s="7">
        <f>SUMIFS(df_extratos!I:I,df_extratos!F:F,"&gt;="&amp;Conciliacao!BE522,df_extratos!F:F,"&lt;"&amp;Conciliacao!BE522+1,df_extratos!G:G,"CREDITO")
+SUMIFS(df_extratos!I:I,df_extratos!F:F,"&gt;="&amp;Conciliacao!A522, df_extratos!F:F,"&lt;"&amp;Conciliacao!A522+1, df_extratos!G:G,"CREDITO")
+SUMIFS(df_extratos!I:I,df_extratos!F:F,"&gt;="&amp;Conciliacao!BF522,df_extratos!F:F,"&lt;"&amp;Conciliacao!BF522+1,df_extratos!G:G,"CREDITO")
+SUMIFS(df_extratos!I:I,df_extratos!F:F,"&gt;="&amp;Conciliacao!BG522,df_extratos!F:F,"&lt;"&amp;Conciliacao!BG522+1,df_extratos!G:G,"CREDITO")
+SUMIFS(df_extratos!I:I,df_extratos!F:F,"&gt;="&amp;Conciliacao!BH522,df_extratos!F:F,"&lt;"&amp;Conciliacao!BH522+1,df_extratos!G:G,"CREDITO")</f>
        <v/>
      </c>
      <c r="I522" s="9">
        <f>H522-SUM(B522:G522)</f>
        <v/>
      </c>
      <c r="J522" s="4">
        <f>SUMIFS(df_blueme_sem_parcelamento!E:E,df_blueme_sem_parcelamento!H:H,Conciliacao!A522)*(-1)</f>
        <v/>
      </c>
      <c r="K522" s="4">
        <f>SUMIFS(df_blueme_com_parcelamento!J:J,df_blueme_com_parcelamento!M:M,Conciliacao!A522)*(-1)</f>
        <v/>
      </c>
      <c r="L522" s="4">
        <f>SUMIFS(df_mutuos!N:N,df_mutuos!B:B,Conciliacao!A522)*(-1)</f>
        <v/>
      </c>
      <c r="M522" s="8">
        <f>SUMIFS(df_bloqueios_judiciais!G:G,df_bloqueios_judiciais!D:D,Conciliacao!A522,df_bloqueios_judiciais!G:G,"&lt;0")</f>
        <v/>
      </c>
      <c r="N522" s="10">
        <f>SUMIFS(df_extratos!I:I,df_extratos!F:F,"&gt;="&amp;Conciliacao!BE522,df_extratos!F:F,"&lt;"&amp;Conciliacao!BE522+1,df_extratos!G:G,"DEBITO")
+SUMIFS(df_extratos!I:I,df_extratos!F:F,"&gt;="&amp;Conciliacao!A522, df_extratos!F:F,"&lt;"&amp;Conciliacao!A522+1, df_extratos!G:G,"DEBITO")
+SUMIFS(df_extratos!I:I,df_extratos!F:F,"&gt;="&amp;Conciliacao!BF522,df_extratos!F:F,"&lt;"&amp;Conciliacao!BF522+1,df_extratos!G:G,"DEBITO")
+SUMIFS(df_extratos!I:I,df_extratos!F:F,"&gt;="&amp;Conciliacao!BG522,df_extratos!F:F,"&lt;"&amp;Conciliacao!BG522+1,df_extratos!G:G,"DEBITO")
+SUMIFS(df_extratos!I:I,df_extratos!F:F,"&gt;="&amp;Conciliacao!BH522,df_extratos!F:F,"&lt;"&amp;Conciliacao!BH522+1,df_extratos!G:G,"DEBITO")</f>
        <v/>
      </c>
      <c r="O522" s="11">
        <f>N522-SUM(J522:M522)</f>
        <v/>
      </c>
      <c r="P522" s="25">
        <f>SUMIFS(df_ajustes_conciliaco!D:D,df_ajustes_conciliaco!C:C,Conciliacao!A522)</f>
        <v/>
      </c>
      <c r="Q522" s="22">
        <f>O522+I522-P522</f>
        <v/>
      </c>
    </row>
    <row r="523">
      <c r="A523" s="5">
        <f>A522+1</f>
        <v/>
      </c>
      <c r="B523" s="3">
        <f>-SUMIFS(df_extrato_zig!G:G,df_extrato_zig!E:E,Conciliacao!A523,df_extrato_zig!D:D,"Saque")-SUMIFS(df_extrato_zig!G:G,df_extrato_zig!E:E,Conciliacao!A523,df_extrato_zig!D:D,"Antecipação")</f>
        <v/>
      </c>
      <c r="C523" s="3">
        <f>SUMIFS(df_extrato_zig!E:E,df_extrato_zig!L:L,Conciliacao!A523,df_extrato_zig!F:F,"DINHEIRO")</f>
        <v/>
      </c>
      <c r="D523" s="3">
        <f>SUMIFS(view_parc_agrup!H:H,view_parc_agrup!G:G,Conciliacao!A523)</f>
        <v/>
      </c>
      <c r="E523" s="3">
        <f>SUMIFS(df_eventos!F:F,df_eventos!H:H,Conciliacao!A523)</f>
        <v/>
      </c>
      <c r="F523" s="3">
        <f>SUMIFS(df_mutuos!M:M,df_mutuos!B:B,Conciliacao!A523)</f>
        <v/>
      </c>
      <c r="G523" s="6">
        <f>SUMIFS(df_bloqueios_judiciais!G:G,df_bloqueios_judiciais!D:D,Conciliacao!A523,df_bloqueios_judiciais!G:G,"&gt;0")</f>
        <v/>
      </c>
      <c r="H523" s="7">
        <f>SUMIFS(df_extratos!I:I,df_extratos!F:F,"&gt;="&amp;Conciliacao!BE523,df_extratos!F:F,"&lt;"&amp;Conciliacao!BE523+1,df_extratos!G:G,"CREDITO")
+SUMIFS(df_extratos!I:I,df_extratos!F:F,"&gt;="&amp;Conciliacao!A523, df_extratos!F:F,"&lt;"&amp;Conciliacao!A523+1, df_extratos!G:G,"CREDITO")
+SUMIFS(df_extratos!I:I,df_extratos!F:F,"&gt;="&amp;Conciliacao!BF523,df_extratos!F:F,"&lt;"&amp;Conciliacao!BF523+1,df_extratos!G:G,"CREDITO")
+SUMIFS(df_extratos!I:I,df_extratos!F:F,"&gt;="&amp;Conciliacao!BG523,df_extratos!F:F,"&lt;"&amp;Conciliacao!BG523+1,df_extratos!G:G,"CREDITO")
+SUMIFS(df_extratos!I:I,df_extratos!F:F,"&gt;="&amp;Conciliacao!BH523,df_extratos!F:F,"&lt;"&amp;Conciliacao!BH523+1,df_extratos!G:G,"CREDITO")</f>
        <v/>
      </c>
      <c r="I523" s="9">
        <f>H523-SUM(B523:G523)</f>
        <v/>
      </c>
      <c r="J523" s="4">
        <f>SUMIFS(df_blueme_sem_parcelamento!E:E,df_blueme_sem_parcelamento!H:H,Conciliacao!A523)*(-1)</f>
        <v/>
      </c>
      <c r="K523" s="4">
        <f>SUMIFS(df_blueme_com_parcelamento!J:J,df_blueme_com_parcelamento!M:M,Conciliacao!A523)*(-1)</f>
        <v/>
      </c>
      <c r="L523" s="4">
        <f>SUMIFS(df_mutuos!N:N,df_mutuos!B:B,Conciliacao!A523)*(-1)</f>
        <v/>
      </c>
      <c r="M523" s="8">
        <f>SUMIFS(df_bloqueios_judiciais!G:G,df_bloqueios_judiciais!D:D,Conciliacao!A523,df_bloqueios_judiciais!G:G,"&lt;0")</f>
        <v/>
      </c>
      <c r="N523" s="10">
        <f>SUMIFS(df_extratos!I:I,df_extratos!F:F,"&gt;="&amp;Conciliacao!BE523,df_extratos!F:F,"&lt;"&amp;Conciliacao!BE523+1,df_extratos!G:G,"DEBITO")
+SUMIFS(df_extratos!I:I,df_extratos!F:F,"&gt;="&amp;Conciliacao!A523, df_extratos!F:F,"&lt;"&amp;Conciliacao!A523+1, df_extratos!G:G,"DEBITO")
+SUMIFS(df_extratos!I:I,df_extratos!F:F,"&gt;="&amp;Conciliacao!BF523,df_extratos!F:F,"&lt;"&amp;Conciliacao!BF523+1,df_extratos!G:G,"DEBITO")
+SUMIFS(df_extratos!I:I,df_extratos!F:F,"&gt;="&amp;Conciliacao!BG523,df_extratos!F:F,"&lt;"&amp;Conciliacao!BG523+1,df_extratos!G:G,"DEBITO")
+SUMIFS(df_extratos!I:I,df_extratos!F:F,"&gt;="&amp;Conciliacao!BH523,df_extratos!F:F,"&lt;"&amp;Conciliacao!BH523+1,df_extratos!G:G,"DEBITO")</f>
        <v/>
      </c>
      <c r="O523" s="11">
        <f>N523-SUM(J523:M523)</f>
        <v/>
      </c>
      <c r="P523" s="25">
        <f>SUMIFS(df_ajustes_conciliaco!D:D,df_ajustes_conciliaco!C:C,Conciliacao!A523)</f>
        <v/>
      </c>
      <c r="Q523" s="22">
        <f>O523+I523-P523</f>
        <v/>
      </c>
    </row>
    <row r="524">
      <c r="A524" s="5">
        <f>A523+1</f>
        <v/>
      </c>
      <c r="B524" s="3">
        <f>-SUMIFS(df_extrato_zig!G:G,df_extrato_zig!E:E,Conciliacao!A524,df_extrato_zig!D:D,"Saque")-SUMIFS(df_extrato_zig!G:G,df_extrato_zig!E:E,Conciliacao!A524,df_extrato_zig!D:D,"Antecipação")</f>
        <v/>
      </c>
      <c r="C524" s="3">
        <f>SUMIFS(df_extrato_zig!E:E,df_extrato_zig!L:L,Conciliacao!A524,df_extrato_zig!F:F,"DINHEIRO")</f>
        <v/>
      </c>
      <c r="D524" s="3">
        <f>SUMIFS(view_parc_agrup!H:H,view_parc_agrup!G:G,Conciliacao!A524)</f>
        <v/>
      </c>
      <c r="E524" s="3">
        <f>SUMIFS(df_eventos!F:F,df_eventos!H:H,Conciliacao!A524)</f>
        <v/>
      </c>
      <c r="F524" s="3">
        <f>SUMIFS(df_mutuos!M:M,df_mutuos!B:B,Conciliacao!A524)</f>
        <v/>
      </c>
      <c r="G524" s="6">
        <f>SUMIFS(df_bloqueios_judiciais!G:G,df_bloqueios_judiciais!D:D,Conciliacao!A524,df_bloqueios_judiciais!G:G,"&gt;0")</f>
        <v/>
      </c>
      <c r="H524" s="7">
        <f>SUMIFS(df_extratos!I:I,df_extratos!F:F,"&gt;="&amp;Conciliacao!BE524,df_extratos!F:F,"&lt;"&amp;Conciliacao!BE524+1,df_extratos!G:G,"CREDITO")
+SUMIFS(df_extratos!I:I,df_extratos!F:F,"&gt;="&amp;Conciliacao!A524, df_extratos!F:F,"&lt;"&amp;Conciliacao!A524+1, df_extratos!G:G,"CREDITO")
+SUMIFS(df_extratos!I:I,df_extratos!F:F,"&gt;="&amp;Conciliacao!BF524,df_extratos!F:F,"&lt;"&amp;Conciliacao!BF524+1,df_extratos!G:G,"CREDITO")
+SUMIFS(df_extratos!I:I,df_extratos!F:F,"&gt;="&amp;Conciliacao!BG524,df_extratos!F:F,"&lt;"&amp;Conciliacao!BG524+1,df_extratos!G:G,"CREDITO")
+SUMIFS(df_extratos!I:I,df_extratos!F:F,"&gt;="&amp;Conciliacao!BH524,df_extratos!F:F,"&lt;"&amp;Conciliacao!BH524+1,df_extratos!G:G,"CREDITO")</f>
        <v/>
      </c>
      <c r="I524" s="9">
        <f>H524-SUM(B524:G524)</f>
        <v/>
      </c>
      <c r="J524" s="4">
        <f>SUMIFS(df_blueme_sem_parcelamento!E:E,df_blueme_sem_parcelamento!H:H,Conciliacao!A524)*(-1)</f>
        <v/>
      </c>
      <c r="K524" s="4">
        <f>SUMIFS(df_blueme_com_parcelamento!J:J,df_blueme_com_parcelamento!M:M,Conciliacao!A524)*(-1)</f>
        <v/>
      </c>
      <c r="L524" s="4">
        <f>SUMIFS(df_mutuos!N:N,df_mutuos!B:B,Conciliacao!A524)*(-1)</f>
        <v/>
      </c>
      <c r="M524" s="8">
        <f>SUMIFS(df_bloqueios_judiciais!G:G,df_bloqueios_judiciais!D:D,Conciliacao!A524,df_bloqueios_judiciais!G:G,"&lt;0")</f>
        <v/>
      </c>
      <c r="N524" s="10">
        <f>SUMIFS(df_extratos!I:I,df_extratos!F:F,"&gt;="&amp;Conciliacao!BE524,df_extratos!F:F,"&lt;"&amp;Conciliacao!BE524+1,df_extratos!G:G,"DEBITO")
+SUMIFS(df_extratos!I:I,df_extratos!F:F,"&gt;="&amp;Conciliacao!A524, df_extratos!F:F,"&lt;"&amp;Conciliacao!A524+1, df_extratos!G:G,"DEBITO")
+SUMIFS(df_extratos!I:I,df_extratos!F:F,"&gt;="&amp;Conciliacao!BF524,df_extratos!F:F,"&lt;"&amp;Conciliacao!BF524+1,df_extratos!G:G,"DEBITO")
+SUMIFS(df_extratos!I:I,df_extratos!F:F,"&gt;="&amp;Conciliacao!BG524,df_extratos!F:F,"&lt;"&amp;Conciliacao!BG524+1,df_extratos!G:G,"DEBITO")
+SUMIFS(df_extratos!I:I,df_extratos!F:F,"&gt;="&amp;Conciliacao!BH524,df_extratos!F:F,"&lt;"&amp;Conciliacao!BH524+1,df_extratos!G:G,"DEBITO")</f>
        <v/>
      </c>
      <c r="O524" s="11">
        <f>N524-SUM(J524:M524)</f>
        <v/>
      </c>
      <c r="P524" s="25">
        <f>SUMIFS(df_ajustes_conciliaco!D:D,df_ajustes_conciliaco!C:C,Conciliacao!A524)</f>
        <v/>
      </c>
      <c r="Q524" s="22">
        <f>O524+I524-P524</f>
        <v/>
      </c>
    </row>
    <row r="525">
      <c r="A525" s="5">
        <f>A524+1</f>
        <v/>
      </c>
      <c r="B525" s="3">
        <f>-SUMIFS(df_extrato_zig!G:G,df_extrato_zig!E:E,Conciliacao!A525,df_extrato_zig!D:D,"Saque")-SUMIFS(df_extrato_zig!G:G,df_extrato_zig!E:E,Conciliacao!A525,df_extrato_zig!D:D,"Antecipação")</f>
        <v/>
      </c>
      <c r="C525" s="3">
        <f>SUMIFS(df_extrato_zig!E:E,df_extrato_zig!L:L,Conciliacao!A525,df_extrato_zig!F:F,"DINHEIRO")</f>
        <v/>
      </c>
      <c r="D525" s="3">
        <f>SUMIFS(view_parc_agrup!H:H,view_parc_agrup!G:G,Conciliacao!A525)</f>
        <v/>
      </c>
      <c r="E525" s="3">
        <f>SUMIFS(df_eventos!F:F,df_eventos!H:H,Conciliacao!A525)</f>
        <v/>
      </c>
      <c r="F525" s="3">
        <f>SUMIFS(df_mutuos!M:M,df_mutuos!B:B,Conciliacao!A525)</f>
        <v/>
      </c>
      <c r="G525" s="6">
        <f>SUMIFS(df_bloqueios_judiciais!G:G,df_bloqueios_judiciais!D:D,Conciliacao!A525,df_bloqueios_judiciais!G:G,"&gt;0")</f>
        <v/>
      </c>
      <c r="H525" s="7">
        <f>SUMIFS(df_extratos!I:I,df_extratos!F:F,"&gt;="&amp;Conciliacao!BE525,df_extratos!F:F,"&lt;"&amp;Conciliacao!BE525+1,df_extratos!G:G,"CREDITO")
+SUMIFS(df_extratos!I:I,df_extratos!F:F,"&gt;="&amp;Conciliacao!A525, df_extratos!F:F,"&lt;"&amp;Conciliacao!A525+1, df_extratos!G:G,"CREDITO")
+SUMIFS(df_extratos!I:I,df_extratos!F:F,"&gt;="&amp;Conciliacao!BF525,df_extratos!F:F,"&lt;"&amp;Conciliacao!BF525+1,df_extratos!G:G,"CREDITO")
+SUMIFS(df_extratos!I:I,df_extratos!F:F,"&gt;="&amp;Conciliacao!BG525,df_extratos!F:F,"&lt;"&amp;Conciliacao!BG525+1,df_extratos!G:G,"CREDITO")
+SUMIFS(df_extratos!I:I,df_extratos!F:F,"&gt;="&amp;Conciliacao!BH525,df_extratos!F:F,"&lt;"&amp;Conciliacao!BH525+1,df_extratos!G:G,"CREDITO")</f>
        <v/>
      </c>
      <c r="I525" s="9">
        <f>H525-SUM(B525:G525)</f>
        <v/>
      </c>
      <c r="J525" s="4">
        <f>SUMIFS(df_blueme_sem_parcelamento!E:E,df_blueme_sem_parcelamento!H:H,Conciliacao!A525)*(-1)</f>
        <v/>
      </c>
      <c r="K525" s="4">
        <f>SUMIFS(df_blueme_com_parcelamento!J:J,df_blueme_com_parcelamento!M:M,Conciliacao!A525)*(-1)</f>
        <v/>
      </c>
      <c r="L525" s="4">
        <f>SUMIFS(df_mutuos!N:N,df_mutuos!B:B,Conciliacao!A525)*(-1)</f>
        <v/>
      </c>
      <c r="M525" s="8">
        <f>SUMIFS(df_bloqueios_judiciais!G:G,df_bloqueios_judiciais!D:D,Conciliacao!A525,df_bloqueios_judiciais!G:G,"&lt;0")</f>
        <v/>
      </c>
      <c r="N525" s="10">
        <f>SUMIFS(df_extratos!I:I,df_extratos!F:F,"&gt;="&amp;Conciliacao!BE525,df_extratos!F:F,"&lt;"&amp;Conciliacao!BE525+1,df_extratos!G:G,"DEBITO")
+SUMIFS(df_extratos!I:I,df_extratos!F:F,"&gt;="&amp;Conciliacao!A525, df_extratos!F:F,"&lt;"&amp;Conciliacao!A525+1, df_extratos!G:G,"DEBITO")
+SUMIFS(df_extratos!I:I,df_extratos!F:F,"&gt;="&amp;Conciliacao!BF525,df_extratos!F:F,"&lt;"&amp;Conciliacao!BF525+1,df_extratos!G:G,"DEBITO")
+SUMIFS(df_extratos!I:I,df_extratos!F:F,"&gt;="&amp;Conciliacao!BG525,df_extratos!F:F,"&lt;"&amp;Conciliacao!BG525+1,df_extratos!G:G,"DEBITO")
+SUMIFS(df_extratos!I:I,df_extratos!F:F,"&gt;="&amp;Conciliacao!BH525,df_extratos!F:F,"&lt;"&amp;Conciliacao!BH525+1,df_extratos!G:G,"DEBITO")</f>
        <v/>
      </c>
      <c r="O525" s="11">
        <f>N525-SUM(J525:M525)</f>
        <v/>
      </c>
      <c r="P525" s="25">
        <f>SUMIFS(df_ajustes_conciliaco!D:D,df_ajustes_conciliaco!C:C,Conciliacao!A525)</f>
        <v/>
      </c>
      <c r="Q525" s="22">
        <f>O525+I525-P525</f>
        <v/>
      </c>
    </row>
    <row r="526">
      <c r="A526" s="5">
        <f>A525+1</f>
        <v/>
      </c>
      <c r="B526" s="3">
        <f>-SUMIFS(df_extrato_zig!G:G,df_extrato_zig!E:E,Conciliacao!A526,df_extrato_zig!D:D,"Saque")-SUMIFS(df_extrato_zig!G:G,df_extrato_zig!E:E,Conciliacao!A526,df_extrato_zig!D:D,"Antecipação")</f>
        <v/>
      </c>
      <c r="C526" s="3">
        <f>SUMIFS(df_extrato_zig!E:E,df_extrato_zig!L:L,Conciliacao!A526,df_extrato_zig!F:F,"DINHEIRO")</f>
        <v/>
      </c>
      <c r="D526" s="3">
        <f>SUMIFS(view_parc_agrup!H:H,view_parc_agrup!G:G,Conciliacao!A526)</f>
        <v/>
      </c>
      <c r="E526" s="3">
        <f>SUMIFS(df_eventos!F:F,df_eventos!H:H,Conciliacao!A526)</f>
        <v/>
      </c>
      <c r="F526" s="3">
        <f>SUMIFS(df_mutuos!M:M,df_mutuos!B:B,Conciliacao!A526)</f>
        <v/>
      </c>
      <c r="G526" s="6">
        <f>SUMIFS(df_bloqueios_judiciais!G:G,df_bloqueios_judiciais!D:D,Conciliacao!A526,df_bloqueios_judiciais!G:G,"&gt;0")</f>
        <v/>
      </c>
      <c r="H526" s="7">
        <f>SUMIFS(df_extratos!I:I,df_extratos!F:F,"&gt;="&amp;Conciliacao!BE526,df_extratos!F:F,"&lt;"&amp;Conciliacao!BE526+1,df_extratos!G:G,"CREDITO")
+SUMIFS(df_extratos!I:I,df_extratos!F:F,"&gt;="&amp;Conciliacao!A526, df_extratos!F:F,"&lt;"&amp;Conciliacao!A526+1, df_extratos!G:G,"CREDITO")
+SUMIFS(df_extratos!I:I,df_extratos!F:F,"&gt;="&amp;Conciliacao!BF526,df_extratos!F:F,"&lt;"&amp;Conciliacao!BF526+1,df_extratos!G:G,"CREDITO")
+SUMIFS(df_extratos!I:I,df_extratos!F:F,"&gt;="&amp;Conciliacao!BG526,df_extratos!F:F,"&lt;"&amp;Conciliacao!BG526+1,df_extratos!G:G,"CREDITO")
+SUMIFS(df_extratos!I:I,df_extratos!F:F,"&gt;="&amp;Conciliacao!BH526,df_extratos!F:F,"&lt;"&amp;Conciliacao!BH526+1,df_extratos!G:G,"CREDITO")</f>
        <v/>
      </c>
      <c r="I526" s="9">
        <f>H526-SUM(B526:G526)</f>
        <v/>
      </c>
      <c r="J526" s="4">
        <f>SUMIFS(df_blueme_sem_parcelamento!E:E,df_blueme_sem_parcelamento!H:H,Conciliacao!A526)*(-1)</f>
        <v/>
      </c>
      <c r="K526" s="4">
        <f>SUMIFS(df_blueme_com_parcelamento!J:J,df_blueme_com_parcelamento!M:M,Conciliacao!A526)*(-1)</f>
        <v/>
      </c>
      <c r="L526" s="4">
        <f>SUMIFS(df_mutuos!N:N,df_mutuos!B:B,Conciliacao!A526)*(-1)</f>
        <v/>
      </c>
      <c r="M526" s="8">
        <f>SUMIFS(df_bloqueios_judiciais!G:G,df_bloqueios_judiciais!D:D,Conciliacao!A526,df_bloqueios_judiciais!G:G,"&lt;0")</f>
        <v/>
      </c>
      <c r="N526" s="10">
        <f>SUMIFS(df_extratos!I:I,df_extratos!F:F,"&gt;="&amp;Conciliacao!BE526,df_extratos!F:F,"&lt;"&amp;Conciliacao!BE526+1,df_extratos!G:G,"DEBITO")
+SUMIFS(df_extratos!I:I,df_extratos!F:F,"&gt;="&amp;Conciliacao!A526, df_extratos!F:F,"&lt;"&amp;Conciliacao!A526+1, df_extratos!G:G,"DEBITO")
+SUMIFS(df_extratos!I:I,df_extratos!F:F,"&gt;="&amp;Conciliacao!BF526,df_extratos!F:F,"&lt;"&amp;Conciliacao!BF526+1,df_extratos!G:G,"DEBITO")
+SUMIFS(df_extratos!I:I,df_extratos!F:F,"&gt;="&amp;Conciliacao!BG526,df_extratos!F:F,"&lt;"&amp;Conciliacao!BG526+1,df_extratos!G:G,"DEBITO")
+SUMIFS(df_extratos!I:I,df_extratos!F:F,"&gt;="&amp;Conciliacao!BH526,df_extratos!F:F,"&lt;"&amp;Conciliacao!BH526+1,df_extratos!G:G,"DEBITO")</f>
        <v/>
      </c>
      <c r="O526" s="11">
        <f>N526-SUM(J526:M526)</f>
        <v/>
      </c>
      <c r="P526" s="25">
        <f>SUMIFS(df_ajustes_conciliaco!D:D,df_ajustes_conciliaco!C:C,Conciliacao!A526)</f>
        <v/>
      </c>
      <c r="Q526" s="22">
        <f>O526+I526-P526</f>
        <v/>
      </c>
    </row>
    <row r="527">
      <c r="A527" s="5">
        <f>A526+1</f>
        <v/>
      </c>
      <c r="B527" s="3">
        <f>-SUMIFS(df_extrato_zig!G:G,df_extrato_zig!E:E,Conciliacao!A527,df_extrato_zig!D:D,"Saque")-SUMIFS(df_extrato_zig!G:G,df_extrato_zig!E:E,Conciliacao!A527,df_extrato_zig!D:D,"Antecipação")</f>
        <v/>
      </c>
      <c r="C527" s="3">
        <f>SUMIFS(df_extrato_zig!E:E,df_extrato_zig!L:L,Conciliacao!A527,df_extrato_zig!F:F,"DINHEIRO")</f>
        <v/>
      </c>
      <c r="D527" s="3">
        <f>SUMIFS(view_parc_agrup!H:H,view_parc_agrup!G:G,Conciliacao!A527)</f>
        <v/>
      </c>
      <c r="E527" s="3">
        <f>SUMIFS(df_eventos!F:F,df_eventos!H:H,Conciliacao!A527)</f>
        <v/>
      </c>
      <c r="F527" s="3">
        <f>SUMIFS(df_mutuos!M:M,df_mutuos!B:B,Conciliacao!A527)</f>
        <v/>
      </c>
      <c r="G527" s="6">
        <f>SUMIFS(df_bloqueios_judiciais!G:G,df_bloqueios_judiciais!D:D,Conciliacao!A527,df_bloqueios_judiciais!G:G,"&gt;0")</f>
        <v/>
      </c>
      <c r="H527" s="7">
        <f>SUMIFS(df_extratos!I:I,df_extratos!F:F,"&gt;="&amp;Conciliacao!BE527,df_extratos!F:F,"&lt;"&amp;Conciliacao!BE527+1,df_extratos!G:G,"CREDITO")
+SUMIFS(df_extratos!I:I,df_extratos!F:F,"&gt;="&amp;Conciliacao!A527, df_extratos!F:F,"&lt;"&amp;Conciliacao!A527+1, df_extratos!G:G,"CREDITO")
+SUMIFS(df_extratos!I:I,df_extratos!F:F,"&gt;="&amp;Conciliacao!BF527,df_extratos!F:F,"&lt;"&amp;Conciliacao!BF527+1,df_extratos!G:G,"CREDITO")
+SUMIFS(df_extratos!I:I,df_extratos!F:F,"&gt;="&amp;Conciliacao!BG527,df_extratos!F:F,"&lt;"&amp;Conciliacao!BG527+1,df_extratos!G:G,"CREDITO")
+SUMIFS(df_extratos!I:I,df_extratos!F:F,"&gt;="&amp;Conciliacao!BH527,df_extratos!F:F,"&lt;"&amp;Conciliacao!BH527+1,df_extratos!G:G,"CREDITO")</f>
        <v/>
      </c>
      <c r="I527" s="9">
        <f>H527-SUM(B527:G527)</f>
        <v/>
      </c>
      <c r="J527" s="4">
        <f>SUMIFS(df_blueme_sem_parcelamento!E:E,df_blueme_sem_parcelamento!H:H,Conciliacao!A527)*(-1)</f>
        <v/>
      </c>
      <c r="K527" s="4">
        <f>SUMIFS(df_blueme_com_parcelamento!J:J,df_blueme_com_parcelamento!M:M,Conciliacao!A527)*(-1)</f>
        <v/>
      </c>
      <c r="L527" s="4">
        <f>SUMIFS(df_mutuos!N:N,df_mutuos!B:B,Conciliacao!A527)*(-1)</f>
        <v/>
      </c>
      <c r="M527" s="8">
        <f>SUMIFS(df_bloqueios_judiciais!G:G,df_bloqueios_judiciais!D:D,Conciliacao!A527,df_bloqueios_judiciais!G:G,"&lt;0")</f>
        <v/>
      </c>
      <c r="N527" s="10">
        <f>SUMIFS(df_extratos!I:I,df_extratos!F:F,"&gt;="&amp;Conciliacao!BE527,df_extratos!F:F,"&lt;"&amp;Conciliacao!BE527+1,df_extratos!G:G,"DEBITO")
+SUMIFS(df_extratos!I:I,df_extratos!F:F,"&gt;="&amp;Conciliacao!A527, df_extratos!F:F,"&lt;"&amp;Conciliacao!A527+1, df_extratos!G:G,"DEBITO")
+SUMIFS(df_extratos!I:I,df_extratos!F:F,"&gt;="&amp;Conciliacao!BF527,df_extratos!F:F,"&lt;"&amp;Conciliacao!BF527+1,df_extratos!G:G,"DEBITO")
+SUMIFS(df_extratos!I:I,df_extratos!F:F,"&gt;="&amp;Conciliacao!BG527,df_extratos!F:F,"&lt;"&amp;Conciliacao!BG527+1,df_extratos!G:G,"DEBITO")
+SUMIFS(df_extratos!I:I,df_extratos!F:F,"&gt;="&amp;Conciliacao!BH527,df_extratos!F:F,"&lt;"&amp;Conciliacao!BH527+1,df_extratos!G:G,"DEBITO")</f>
        <v/>
      </c>
      <c r="O527" s="11">
        <f>N527-SUM(J527:M527)</f>
        <v/>
      </c>
      <c r="P527" s="25">
        <f>SUMIFS(df_ajustes_conciliaco!D:D,df_ajustes_conciliaco!C:C,Conciliacao!A527)</f>
        <v/>
      </c>
      <c r="Q527" s="22">
        <f>O527+I527-P527</f>
        <v/>
      </c>
    </row>
    <row r="528">
      <c r="A528" s="5">
        <f>A527+1</f>
        <v/>
      </c>
      <c r="B528" s="3">
        <f>-SUMIFS(df_extrato_zig!G:G,df_extrato_zig!E:E,Conciliacao!A528,df_extrato_zig!D:D,"Saque")-SUMIFS(df_extrato_zig!G:G,df_extrato_zig!E:E,Conciliacao!A528,df_extrato_zig!D:D,"Antecipação")</f>
        <v/>
      </c>
      <c r="C528" s="3">
        <f>SUMIFS(df_extrato_zig!E:E,df_extrato_zig!L:L,Conciliacao!A528,df_extrato_zig!F:F,"DINHEIRO")</f>
        <v/>
      </c>
      <c r="D528" s="3">
        <f>SUMIFS(view_parc_agrup!H:H,view_parc_agrup!G:G,Conciliacao!A528)</f>
        <v/>
      </c>
      <c r="E528" s="3">
        <f>SUMIFS(df_eventos!F:F,df_eventos!H:H,Conciliacao!A528)</f>
        <v/>
      </c>
      <c r="F528" s="3">
        <f>SUMIFS(df_mutuos!M:M,df_mutuos!B:B,Conciliacao!A528)</f>
        <v/>
      </c>
      <c r="G528" s="6">
        <f>SUMIFS(df_bloqueios_judiciais!G:G,df_bloqueios_judiciais!D:D,Conciliacao!A528,df_bloqueios_judiciais!G:G,"&gt;0")</f>
        <v/>
      </c>
      <c r="H528" s="7">
        <f>SUMIFS(df_extratos!I:I,df_extratos!F:F,"&gt;="&amp;Conciliacao!BE528,df_extratos!F:F,"&lt;"&amp;Conciliacao!BE528+1,df_extratos!G:G,"CREDITO")
+SUMIFS(df_extratos!I:I,df_extratos!F:F,"&gt;="&amp;Conciliacao!A528, df_extratos!F:F,"&lt;"&amp;Conciliacao!A528+1, df_extratos!G:G,"CREDITO")
+SUMIFS(df_extratos!I:I,df_extratos!F:F,"&gt;="&amp;Conciliacao!BF528,df_extratos!F:F,"&lt;"&amp;Conciliacao!BF528+1,df_extratos!G:G,"CREDITO")
+SUMIFS(df_extratos!I:I,df_extratos!F:F,"&gt;="&amp;Conciliacao!BG528,df_extratos!F:F,"&lt;"&amp;Conciliacao!BG528+1,df_extratos!G:G,"CREDITO")
+SUMIFS(df_extratos!I:I,df_extratos!F:F,"&gt;="&amp;Conciliacao!BH528,df_extratos!F:F,"&lt;"&amp;Conciliacao!BH528+1,df_extratos!G:G,"CREDITO")</f>
        <v/>
      </c>
      <c r="I528" s="9">
        <f>H528-SUM(B528:G528)</f>
        <v/>
      </c>
      <c r="J528" s="4">
        <f>SUMIFS(df_blueme_sem_parcelamento!E:E,df_blueme_sem_parcelamento!H:H,Conciliacao!A528)*(-1)</f>
        <v/>
      </c>
      <c r="K528" s="4">
        <f>SUMIFS(df_blueme_com_parcelamento!J:J,df_blueme_com_parcelamento!M:M,Conciliacao!A528)*(-1)</f>
        <v/>
      </c>
      <c r="L528" s="4">
        <f>SUMIFS(df_mutuos!N:N,df_mutuos!B:B,Conciliacao!A528)*(-1)</f>
        <v/>
      </c>
      <c r="M528" s="8">
        <f>SUMIFS(df_bloqueios_judiciais!G:G,df_bloqueios_judiciais!D:D,Conciliacao!A528,df_bloqueios_judiciais!G:G,"&lt;0")</f>
        <v/>
      </c>
      <c r="N528" s="10">
        <f>SUMIFS(df_extratos!I:I,df_extratos!F:F,"&gt;="&amp;Conciliacao!BE528,df_extratos!F:F,"&lt;"&amp;Conciliacao!BE528+1,df_extratos!G:G,"DEBITO")
+SUMIFS(df_extratos!I:I,df_extratos!F:F,"&gt;="&amp;Conciliacao!A528, df_extratos!F:F,"&lt;"&amp;Conciliacao!A528+1, df_extratos!G:G,"DEBITO")
+SUMIFS(df_extratos!I:I,df_extratos!F:F,"&gt;="&amp;Conciliacao!BF528,df_extratos!F:F,"&lt;"&amp;Conciliacao!BF528+1,df_extratos!G:G,"DEBITO")
+SUMIFS(df_extratos!I:I,df_extratos!F:F,"&gt;="&amp;Conciliacao!BG528,df_extratos!F:F,"&lt;"&amp;Conciliacao!BG528+1,df_extratos!G:G,"DEBITO")
+SUMIFS(df_extratos!I:I,df_extratos!F:F,"&gt;="&amp;Conciliacao!BH528,df_extratos!F:F,"&lt;"&amp;Conciliacao!BH528+1,df_extratos!G:G,"DEBITO")</f>
        <v/>
      </c>
      <c r="O528" s="11">
        <f>N528-SUM(J528:M528)</f>
        <v/>
      </c>
      <c r="P528" s="25">
        <f>SUMIFS(df_ajustes_conciliaco!D:D,df_ajustes_conciliaco!C:C,Conciliacao!A528)</f>
        <v/>
      </c>
      <c r="Q528" s="22">
        <f>O528+I528-P528</f>
        <v/>
      </c>
    </row>
    <row r="529">
      <c r="A529" s="5">
        <f>A528+1</f>
        <v/>
      </c>
      <c r="B529" s="3">
        <f>-SUMIFS(df_extrato_zig!G:G,df_extrato_zig!E:E,Conciliacao!A529,df_extrato_zig!D:D,"Saque")-SUMIFS(df_extrato_zig!G:G,df_extrato_zig!E:E,Conciliacao!A529,df_extrato_zig!D:D,"Antecipação")</f>
        <v/>
      </c>
      <c r="C529" s="3">
        <f>SUMIFS(df_extrato_zig!E:E,df_extrato_zig!L:L,Conciliacao!A529,df_extrato_zig!F:F,"DINHEIRO")</f>
        <v/>
      </c>
      <c r="D529" s="3">
        <f>SUMIFS(view_parc_agrup!H:H,view_parc_agrup!G:G,Conciliacao!A529)</f>
        <v/>
      </c>
      <c r="E529" s="3">
        <f>SUMIFS(df_eventos!F:F,df_eventos!H:H,Conciliacao!A529)</f>
        <v/>
      </c>
      <c r="F529" s="3">
        <f>SUMIFS(df_mutuos!M:M,df_mutuos!B:B,Conciliacao!A529)</f>
        <v/>
      </c>
      <c r="G529" s="6">
        <f>SUMIFS(df_bloqueios_judiciais!G:G,df_bloqueios_judiciais!D:D,Conciliacao!A529,df_bloqueios_judiciais!G:G,"&gt;0")</f>
        <v/>
      </c>
      <c r="H529" s="7">
        <f>SUMIFS(df_extratos!I:I,df_extratos!F:F,"&gt;="&amp;Conciliacao!BE529,df_extratos!F:F,"&lt;"&amp;Conciliacao!BE529+1,df_extratos!G:G,"CREDITO")
+SUMIFS(df_extratos!I:I,df_extratos!F:F,"&gt;="&amp;Conciliacao!A529, df_extratos!F:F,"&lt;"&amp;Conciliacao!A529+1, df_extratos!G:G,"CREDITO")
+SUMIFS(df_extratos!I:I,df_extratos!F:F,"&gt;="&amp;Conciliacao!BF529,df_extratos!F:F,"&lt;"&amp;Conciliacao!BF529+1,df_extratos!G:G,"CREDITO")
+SUMIFS(df_extratos!I:I,df_extratos!F:F,"&gt;="&amp;Conciliacao!BG529,df_extratos!F:F,"&lt;"&amp;Conciliacao!BG529+1,df_extratos!G:G,"CREDITO")
+SUMIFS(df_extratos!I:I,df_extratos!F:F,"&gt;="&amp;Conciliacao!BH529,df_extratos!F:F,"&lt;"&amp;Conciliacao!BH529+1,df_extratos!G:G,"CREDITO")</f>
        <v/>
      </c>
      <c r="I529" s="9">
        <f>H529-SUM(B529:G529)</f>
        <v/>
      </c>
      <c r="J529" s="4">
        <f>SUMIFS(df_blueme_sem_parcelamento!E:E,df_blueme_sem_parcelamento!H:H,Conciliacao!A529)*(-1)</f>
        <v/>
      </c>
      <c r="K529" s="4">
        <f>SUMIFS(df_blueme_com_parcelamento!J:J,df_blueme_com_parcelamento!M:M,Conciliacao!A529)*(-1)</f>
        <v/>
      </c>
      <c r="L529" s="4">
        <f>SUMIFS(df_mutuos!N:N,df_mutuos!B:B,Conciliacao!A529)*(-1)</f>
        <v/>
      </c>
      <c r="M529" s="8">
        <f>SUMIFS(df_bloqueios_judiciais!G:G,df_bloqueios_judiciais!D:D,Conciliacao!A529,df_bloqueios_judiciais!G:G,"&lt;0")</f>
        <v/>
      </c>
      <c r="N529" s="10">
        <f>SUMIFS(df_extratos!I:I,df_extratos!F:F,"&gt;="&amp;Conciliacao!BE529,df_extratos!F:F,"&lt;"&amp;Conciliacao!BE529+1,df_extratos!G:G,"DEBITO")
+SUMIFS(df_extratos!I:I,df_extratos!F:F,"&gt;="&amp;Conciliacao!A529, df_extratos!F:F,"&lt;"&amp;Conciliacao!A529+1, df_extratos!G:G,"DEBITO")
+SUMIFS(df_extratos!I:I,df_extratos!F:F,"&gt;="&amp;Conciliacao!BF529,df_extratos!F:F,"&lt;"&amp;Conciliacao!BF529+1,df_extratos!G:G,"DEBITO")
+SUMIFS(df_extratos!I:I,df_extratos!F:F,"&gt;="&amp;Conciliacao!BG529,df_extratos!F:F,"&lt;"&amp;Conciliacao!BG529+1,df_extratos!G:G,"DEBITO")
+SUMIFS(df_extratos!I:I,df_extratos!F:F,"&gt;="&amp;Conciliacao!BH529,df_extratos!F:F,"&lt;"&amp;Conciliacao!BH529+1,df_extratos!G:G,"DEBITO")</f>
        <v/>
      </c>
      <c r="O529" s="11">
        <f>N529-SUM(J529:M529)</f>
        <v/>
      </c>
      <c r="P529" s="25">
        <f>SUMIFS(df_ajustes_conciliaco!D:D,df_ajustes_conciliaco!C:C,Conciliacao!A529)</f>
        <v/>
      </c>
      <c r="Q529" s="22">
        <f>O529+I529-P529</f>
        <v/>
      </c>
    </row>
    <row r="530">
      <c r="A530" s="5">
        <f>A529+1</f>
        <v/>
      </c>
      <c r="B530" s="3">
        <f>-SUMIFS(df_extrato_zig!G:G,df_extrato_zig!E:E,Conciliacao!A530,df_extrato_zig!D:D,"Saque")-SUMIFS(df_extrato_zig!G:G,df_extrato_zig!E:E,Conciliacao!A530,df_extrato_zig!D:D,"Antecipação")</f>
        <v/>
      </c>
      <c r="C530" s="3">
        <f>SUMIFS(df_extrato_zig!E:E,df_extrato_zig!L:L,Conciliacao!A530,df_extrato_zig!F:F,"DINHEIRO")</f>
        <v/>
      </c>
      <c r="D530" s="3">
        <f>SUMIFS(view_parc_agrup!H:H,view_parc_agrup!G:G,Conciliacao!A530)</f>
        <v/>
      </c>
      <c r="E530" s="3">
        <f>SUMIFS(df_eventos!F:F,df_eventos!H:H,Conciliacao!A530)</f>
        <v/>
      </c>
      <c r="F530" s="3">
        <f>SUMIFS(df_mutuos!M:M,df_mutuos!B:B,Conciliacao!A530)</f>
        <v/>
      </c>
      <c r="G530" s="6">
        <f>SUMIFS(df_bloqueios_judiciais!G:G,df_bloqueios_judiciais!D:D,Conciliacao!A530,df_bloqueios_judiciais!G:G,"&gt;0")</f>
        <v/>
      </c>
      <c r="H530" s="7">
        <f>SUMIFS(df_extratos!I:I,df_extratos!F:F,"&gt;="&amp;Conciliacao!BE530,df_extratos!F:F,"&lt;"&amp;Conciliacao!BE530+1,df_extratos!G:G,"CREDITO")
+SUMIFS(df_extratos!I:I,df_extratos!F:F,"&gt;="&amp;Conciliacao!A530, df_extratos!F:F,"&lt;"&amp;Conciliacao!A530+1, df_extratos!G:G,"CREDITO")
+SUMIFS(df_extratos!I:I,df_extratos!F:F,"&gt;="&amp;Conciliacao!BF530,df_extratos!F:F,"&lt;"&amp;Conciliacao!BF530+1,df_extratos!G:G,"CREDITO")
+SUMIFS(df_extratos!I:I,df_extratos!F:F,"&gt;="&amp;Conciliacao!BG530,df_extratos!F:F,"&lt;"&amp;Conciliacao!BG530+1,df_extratos!G:G,"CREDITO")
+SUMIFS(df_extratos!I:I,df_extratos!F:F,"&gt;="&amp;Conciliacao!BH530,df_extratos!F:F,"&lt;"&amp;Conciliacao!BH530+1,df_extratos!G:G,"CREDITO")</f>
        <v/>
      </c>
      <c r="I530" s="9">
        <f>H530-SUM(B530:G530)</f>
        <v/>
      </c>
      <c r="J530" s="4">
        <f>SUMIFS(df_blueme_sem_parcelamento!E:E,df_blueme_sem_parcelamento!H:H,Conciliacao!A530)*(-1)</f>
        <v/>
      </c>
      <c r="K530" s="4">
        <f>SUMIFS(df_blueme_com_parcelamento!J:J,df_blueme_com_parcelamento!M:M,Conciliacao!A530)*(-1)</f>
        <v/>
      </c>
      <c r="L530" s="4">
        <f>SUMIFS(df_mutuos!N:N,df_mutuos!B:B,Conciliacao!A530)*(-1)</f>
        <v/>
      </c>
      <c r="M530" s="8">
        <f>SUMIFS(df_bloqueios_judiciais!G:G,df_bloqueios_judiciais!D:D,Conciliacao!A530,df_bloqueios_judiciais!G:G,"&lt;0")</f>
        <v/>
      </c>
      <c r="N530" s="10">
        <f>SUMIFS(df_extratos!I:I,df_extratos!F:F,"&gt;="&amp;Conciliacao!BE530,df_extratos!F:F,"&lt;"&amp;Conciliacao!BE530+1,df_extratos!G:G,"DEBITO")
+SUMIFS(df_extratos!I:I,df_extratos!F:F,"&gt;="&amp;Conciliacao!A530, df_extratos!F:F,"&lt;"&amp;Conciliacao!A530+1, df_extratos!G:G,"DEBITO")
+SUMIFS(df_extratos!I:I,df_extratos!F:F,"&gt;="&amp;Conciliacao!BF530,df_extratos!F:F,"&lt;"&amp;Conciliacao!BF530+1,df_extratos!G:G,"DEBITO")
+SUMIFS(df_extratos!I:I,df_extratos!F:F,"&gt;="&amp;Conciliacao!BG530,df_extratos!F:F,"&lt;"&amp;Conciliacao!BG530+1,df_extratos!G:G,"DEBITO")
+SUMIFS(df_extratos!I:I,df_extratos!F:F,"&gt;="&amp;Conciliacao!BH530,df_extratos!F:F,"&lt;"&amp;Conciliacao!BH530+1,df_extratos!G:G,"DEBITO")</f>
        <v/>
      </c>
      <c r="O530" s="11">
        <f>N530-SUM(J530:M530)</f>
        <v/>
      </c>
      <c r="P530" s="25">
        <f>SUMIFS(df_ajustes_conciliaco!D:D,df_ajustes_conciliaco!C:C,Conciliacao!A530)</f>
        <v/>
      </c>
      <c r="Q530" s="22">
        <f>O530+I530-P530</f>
        <v/>
      </c>
    </row>
    <row r="531">
      <c r="A531" s="5">
        <f>A530+1</f>
        <v/>
      </c>
      <c r="B531" s="3">
        <f>-SUMIFS(df_extrato_zig!G:G,df_extrato_zig!E:E,Conciliacao!A531,df_extrato_zig!D:D,"Saque")-SUMIFS(df_extrato_zig!G:G,df_extrato_zig!E:E,Conciliacao!A531,df_extrato_zig!D:D,"Antecipação")</f>
        <v/>
      </c>
      <c r="C531" s="3">
        <f>SUMIFS(df_extrato_zig!E:E,df_extrato_zig!L:L,Conciliacao!A531,df_extrato_zig!F:F,"DINHEIRO")</f>
        <v/>
      </c>
      <c r="D531" s="3">
        <f>SUMIFS(view_parc_agrup!H:H,view_parc_agrup!G:G,Conciliacao!A531)</f>
        <v/>
      </c>
      <c r="E531" s="3">
        <f>SUMIFS(df_eventos!F:F,df_eventos!H:H,Conciliacao!A531)</f>
        <v/>
      </c>
      <c r="F531" s="3">
        <f>SUMIFS(df_mutuos!M:M,df_mutuos!B:B,Conciliacao!A531)</f>
        <v/>
      </c>
      <c r="G531" s="6">
        <f>SUMIFS(df_bloqueios_judiciais!G:G,df_bloqueios_judiciais!D:D,Conciliacao!A531,df_bloqueios_judiciais!G:G,"&gt;0")</f>
        <v/>
      </c>
      <c r="H531" s="7">
        <f>SUMIFS(df_extratos!I:I,df_extratos!F:F,"&gt;="&amp;Conciliacao!BE531,df_extratos!F:F,"&lt;"&amp;Conciliacao!BE531+1,df_extratos!G:G,"CREDITO")
+SUMIFS(df_extratos!I:I,df_extratos!F:F,"&gt;="&amp;Conciliacao!A531, df_extratos!F:F,"&lt;"&amp;Conciliacao!A531+1, df_extratos!G:G,"CREDITO")
+SUMIFS(df_extratos!I:I,df_extratos!F:F,"&gt;="&amp;Conciliacao!BF531,df_extratos!F:F,"&lt;"&amp;Conciliacao!BF531+1,df_extratos!G:G,"CREDITO")
+SUMIFS(df_extratos!I:I,df_extratos!F:F,"&gt;="&amp;Conciliacao!BG531,df_extratos!F:F,"&lt;"&amp;Conciliacao!BG531+1,df_extratos!G:G,"CREDITO")
+SUMIFS(df_extratos!I:I,df_extratos!F:F,"&gt;="&amp;Conciliacao!BH531,df_extratos!F:F,"&lt;"&amp;Conciliacao!BH531+1,df_extratos!G:G,"CREDITO")</f>
        <v/>
      </c>
      <c r="I531" s="9">
        <f>H531-SUM(B531:G531)</f>
        <v/>
      </c>
      <c r="J531" s="4">
        <f>SUMIFS(df_blueme_sem_parcelamento!E:E,df_blueme_sem_parcelamento!H:H,Conciliacao!A531)*(-1)</f>
        <v/>
      </c>
      <c r="K531" s="4">
        <f>SUMIFS(df_blueme_com_parcelamento!J:J,df_blueme_com_parcelamento!M:M,Conciliacao!A531)*(-1)</f>
        <v/>
      </c>
      <c r="L531" s="4">
        <f>SUMIFS(df_mutuos!N:N,df_mutuos!B:B,Conciliacao!A531)*(-1)</f>
        <v/>
      </c>
      <c r="M531" s="8">
        <f>SUMIFS(df_bloqueios_judiciais!G:G,df_bloqueios_judiciais!D:D,Conciliacao!A531,df_bloqueios_judiciais!G:G,"&lt;0")</f>
        <v/>
      </c>
      <c r="N531" s="10">
        <f>SUMIFS(df_extratos!I:I,df_extratos!F:F,"&gt;="&amp;Conciliacao!BE531,df_extratos!F:F,"&lt;"&amp;Conciliacao!BE531+1,df_extratos!G:G,"DEBITO")
+SUMIFS(df_extratos!I:I,df_extratos!F:F,"&gt;="&amp;Conciliacao!A531, df_extratos!F:F,"&lt;"&amp;Conciliacao!A531+1, df_extratos!G:G,"DEBITO")
+SUMIFS(df_extratos!I:I,df_extratos!F:F,"&gt;="&amp;Conciliacao!BF531,df_extratos!F:F,"&lt;"&amp;Conciliacao!BF531+1,df_extratos!G:G,"DEBITO")
+SUMIFS(df_extratos!I:I,df_extratos!F:F,"&gt;="&amp;Conciliacao!BG531,df_extratos!F:F,"&lt;"&amp;Conciliacao!BG531+1,df_extratos!G:G,"DEBITO")
+SUMIFS(df_extratos!I:I,df_extratos!F:F,"&gt;="&amp;Conciliacao!BH531,df_extratos!F:F,"&lt;"&amp;Conciliacao!BH531+1,df_extratos!G:G,"DEBITO")</f>
        <v/>
      </c>
      <c r="O531" s="11">
        <f>N531-SUM(J531:M531)</f>
        <v/>
      </c>
      <c r="P531" s="25">
        <f>SUMIFS(df_ajustes_conciliaco!D:D,df_ajustes_conciliaco!C:C,Conciliacao!A531)</f>
        <v/>
      </c>
      <c r="Q531" s="22">
        <f>O531+I531-P531</f>
        <v/>
      </c>
    </row>
    <row r="532">
      <c r="A532" s="5">
        <f>A531+1</f>
        <v/>
      </c>
      <c r="B532" s="3">
        <f>-SUMIFS(df_extrato_zig!G:G,df_extrato_zig!E:E,Conciliacao!A532,df_extrato_zig!D:D,"Saque")-SUMIFS(df_extrato_zig!G:G,df_extrato_zig!E:E,Conciliacao!A532,df_extrato_zig!D:D,"Antecipação")</f>
        <v/>
      </c>
      <c r="C532" s="3">
        <f>SUMIFS(df_extrato_zig!E:E,df_extrato_zig!L:L,Conciliacao!A532,df_extrato_zig!F:F,"DINHEIRO")</f>
        <v/>
      </c>
      <c r="D532" s="3">
        <f>SUMIFS(view_parc_agrup!H:H,view_parc_agrup!G:G,Conciliacao!A532)</f>
        <v/>
      </c>
      <c r="E532" s="3">
        <f>SUMIFS(df_eventos!F:F,df_eventos!H:H,Conciliacao!A532)</f>
        <v/>
      </c>
      <c r="F532" s="3">
        <f>SUMIFS(df_mutuos!M:M,df_mutuos!B:B,Conciliacao!A532)</f>
        <v/>
      </c>
      <c r="G532" s="6">
        <f>SUMIFS(df_bloqueios_judiciais!G:G,df_bloqueios_judiciais!D:D,Conciliacao!A532,df_bloqueios_judiciais!G:G,"&gt;0")</f>
        <v/>
      </c>
      <c r="H532" s="7">
        <f>SUMIFS(df_extratos!I:I,df_extratos!F:F,"&gt;="&amp;Conciliacao!BE532,df_extratos!F:F,"&lt;"&amp;Conciliacao!BE532+1,df_extratos!G:G,"CREDITO")
+SUMIFS(df_extratos!I:I,df_extratos!F:F,"&gt;="&amp;Conciliacao!A532, df_extratos!F:F,"&lt;"&amp;Conciliacao!A532+1, df_extratos!G:G,"CREDITO")
+SUMIFS(df_extratos!I:I,df_extratos!F:F,"&gt;="&amp;Conciliacao!BF532,df_extratos!F:F,"&lt;"&amp;Conciliacao!BF532+1,df_extratos!G:G,"CREDITO")
+SUMIFS(df_extratos!I:I,df_extratos!F:F,"&gt;="&amp;Conciliacao!BG532,df_extratos!F:F,"&lt;"&amp;Conciliacao!BG532+1,df_extratos!G:G,"CREDITO")
+SUMIFS(df_extratos!I:I,df_extratos!F:F,"&gt;="&amp;Conciliacao!BH532,df_extratos!F:F,"&lt;"&amp;Conciliacao!BH532+1,df_extratos!G:G,"CREDITO")</f>
        <v/>
      </c>
      <c r="I532" s="9">
        <f>H532-SUM(B532:G532)</f>
        <v/>
      </c>
      <c r="J532" s="4">
        <f>SUMIFS(df_blueme_sem_parcelamento!E:E,df_blueme_sem_parcelamento!H:H,Conciliacao!A532)*(-1)</f>
        <v/>
      </c>
      <c r="K532" s="4">
        <f>SUMIFS(df_blueme_com_parcelamento!J:J,df_blueme_com_parcelamento!M:M,Conciliacao!A532)*(-1)</f>
        <v/>
      </c>
      <c r="L532" s="4">
        <f>SUMIFS(df_mutuos!N:N,df_mutuos!B:B,Conciliacao!A532)*(-1)</f>
        <v/>
      </c>
      <c r="M532" s="8">
        <f>SUMIFS(df_bloqueios_judiciais!G:G,df_bloqueios_judiciais!D:D,Conciliacao!A532,df_bloqueios_judiciais!G:G,"&lt;0")</f>
        <v/>
      </c>
      <c r="N532" s="10">
        <f>SUMIFS(df_extratos!I:I,df_extratos!F:F,"&gt;="&amp;Conciliacao!BE532,df_extratos!F:F,"&lt;"&amp;Conciliacao!BE532+1,df_extratos!G:G,"DEBITO")
+SUMIFS(df_extratos!I:I,df_extratos!F:F,"&gt;="&amp;Conciliacao!A532, df_extratos!F:F,"&lt;"&amp;Conciliacao!A532+1, df_extratos!G:G,"DEBITO")
+SUMIFS(df_extratos!I:I,df_extratos!F:F,"&gt;="&amp;Conciliacao!BF532,df_extratos!F:F,"&lt;"&amp;Conciliacao!BF532+1,df_extratos!G:G,"DEBITO")
+SUMIFS(df_extratos!I:I,df_extratos!F:F,"&gt;="&amp;Conciliacao!BG532,df_extratos!F:F,"&lt;"&amp;Conciliacao!BG532+1,df_extratos!G:G,"DEBITO")
+SUMIFS(df_extratos!I:I,df_extratos!F:F,"&gt;="&amp;Conciliacao!BH532,df_extratos!F:F,"&lt;"&amp;Conciliacao!BH532+1,df_extratos!G:G,"DEBITO")</f>
        <v/>
      </c>
      <c r="O532" s="11">
        <f>N532-SUM(J532:M532)</f>
        <v/>
      </c>
      <c r="P532" s="25">
        <f>SUMIFS(df_ajustes_conciliaco!D:D,df_ajustes_conciliaco!C:C,Conciliacao!A532)</f>
        <v/>
      </c>
      <c r="Q532" s="22">
        <f>O532+I532-P532</f>
        <v/>
      </c>
    </row>
    <row r="533">
      <c r="A533" s="5">
        <f>A532+1</f>
        <v/>
      </c>
      <c r="B533" s="3">
        <f>-SUMIFS(df_extrato_zig!G:G,df_extrato_zig!E:E,Conciliacao!A533,df_extrato_zig!D:D,"Saque")-SUMIFS(df_extrato_zig!G:G,df_extrato_zig!E:E,Conciliacao!A533,df_extrato_zig!D:D,"Antecipação")</f>
        <v/>
      </c>
      <c r="C533" s="3">
        <f>SUMIFS(df_extrato_zig!E:E,df_extrato_zig!L:L,Conciliacao!A533,df_extrato_zig!F:F,"DINHEIRO")</f>
        <v/>
      </c>
      <c r="D533" s="3">
        <f>SUMIFS(view_parc_agrup!H:H,view_parc_agrup!G:G,Conciliacao!A533)</f>
        <v/>
      </c>
      <c r="E533" s="3">
        <f>SUMIFS(df_eventos!F:F,df_eventos!H:H,Conciliacao!A533)</f>
        <v/>
      </c>
      <c r="F533" s="3">
        <f>SUMIFS(df_mutuos!M:M,df_mutuos!B:B,Conciliacao!A533)</f>
        <v/>
      </c>
      <c r="G533" s="6">
        <f>SUMIFS(df_bloqueios_judiciais!G:G,df_bloqueios_judiciais!D:D,Conciliacao!A533,df_bloqueios_judiciais!G:G,"&gt;0")</f>
        <v/>
      </c>
      <c r="H533" s="7">
        <f>SUMIFS(df_extratos!I:I,df_extratos!F:F,"&gt;="&amp;Conciliacao!BE533,df_extratos!F:F,"&lt;"&amp;Conciliacao!BE533+1,df_extratos!G:G,"CREDITO")
+SUMIFS(df_extratos!I:I,df_extratos!F:F,"&gt;="&amp;Conciliacao!A533, df_extratos!F:F,"&lt;"&amp;Conciliacao!A533+1, df_extratos!G:G,"CREDITO")
+SUMIFS(df_extratos!I:I,df_extratos!F:F,"&gt;="&amp;Conciliacao!BF533,df_extratos!F:F,"&lt;"&amp;Conciliacao!BF533+1,df_extratos!G:G,"CREDITO")
+SUMIFS(df_extratos!I:I,df_extratos!F:F,"&gt;="&amp;Conciliacao!BG533,df_extratos!F:F,"&lt;"&amp;Conciliacao!BG533+1,df_extratos!G:G,"CREDITO")
+SUMIFS(df_extratos!I:I,df_extratos!F:F,"&gt;="&amp;Conciliacao!BH533,df_extratos!F:F,"&lt;"&amp;Conciliacao!BH533+1,df_extratos!G:G,"CREDITO")</f>
        <v/>
      </c>
      <c r="I533" s="9">
        <f>H533-SUM(B533:G533)</f>
        <v/>
      </c>
      <c r="J533" s="4">
        <f>SUMIFS(df_blueme_sem_parcelamento!E:E,df_blueme_sem_parcelamento!H:H,Conciliacao!A533)*(-1)</f>
        <v/>
      </c>
      <c r="K533" s="4">
        <f>SUMIFS(df_blueme_com_parcelamento!J:J,df_blueme_com_parcelamento!M:M,Conciliacao!A533)*(-1)</f>
        <v/>
      </c>
      <c r="L533" s="4">
        <f>SUMIFS(df_mutuos!N:N,df_mutuos!B:B,Conciliacao!A533)*(-1)</f>
        <v/>
      </c>
      <c r="M533" s="8">
        <f>SUMIFS(df_bloqueios_judiciais!G:G,df_bloqueios_judiciais!D:D,Conciliacao!A533,df_bloqueios_judiciais!G:G,"&lt;0")</f>
        <v/>
      </c>
      <c r="N533" s="10">
        <f>SUMIFS(df_extratos!I:I,df_extratos!F:F,"&gt;="&amp;Conciliacao!BE533,df_extratos!F:F,"&lt;"&amp;Conciliacao!BE533+1,df_extratos!G:G,"DEBITO")
+SUMIFS(df_extratos!I:I,df_extratos!F:F,"&gt;="&amp;Conciliacao!A533, df_extratos!F:F,"&lt;"&amp;Conciliacao!A533+1, df_extratos!G:G,"DEBITO")
+SUMIFS(df_extratos!I:I,df_extratos!F:F,"&gt;="&amp;Conciliacao!BF533,df_extratos!F:F,"&lt;"&amp;Conciliacao!BF533+1,df_extratos!G:G,"DEBITO")
+SUMIFS(df_extratos!I:I,df_extratos!F:F,"&gt;="&amp;Conciliacao!BG533,df_extratos!F:F,"&lt;"&amp;Conciliacao!BG533+1,df_extratos!G:G,"DEBITO")
+SUMIFS(df_extratos!I:I,df_extratos!F:F,"&gt;="&amp;Conciliacao!BH533,df_extratos!F:F,"&lt;"&amp;Conciliacao!BH533+1,df_extratos!G:G,"DEBITO")</f>
        <v/>
      </c>
      <c r="O533" s="11">
        <f>N533-SUM(J533:M533)</f>
        <v/>
      </c>
      <c r="P533" s="25">
        <f>SUMIFS(df_ajustes_conciliaco!D:D,df_ajustes_conciliaco!C:C,Conciliacao!A533)</f>
        <v/>
      </c>
      <c r="Q533" s="22">
        <f>O533+I533-P533</f>
        <v/>
      </c>
    </row>
    <row r="534">
      <c r="A534" s="5">
        <f>A533+1</f>
        <v/>
      </c>
      <c r="B534" s="3">
        <f>-SUMIFS(df_extrato_zig!G:G,df_extrato_zig!E:E,Conciliacao!A534,df_extrato_zig!D:D,"Saque")-SUMIFS(df_extrato_zig!G:G,df_extrato_zig!E:E,Conciliacao!A534,df_extrato_zig!D:D,"Antecipação")</f>
        <v/>
      </c>
      <c r="C534" s="3">
        <f>SUMIFS(df_extrato_zig!E:E,df_extrato_zig!L:L,Conciliacao!A534,df_extrato_zig!F:F,"DINHEIRO")</f>
        <v/>
      </c>
      <c r="D534" s="3">
        <f>SUMIFS(view_parc_agrup!H:H,view_parc_agrup!G:G,Conciliacao!A534)</f>
        <v/>
      </c>
      <c r="E534" s="3">
        <f>SUMIFS(df_eventos!F:F,df_eventos!H:H,Conciliacao!A534)</f>
        <v/>
      </c>
      <c r="F534" s="3">
        <f>SUMIFS(df_mutuos!M:M,df_mutuos!B:B,Conciliacao!A534)</f>
        <v/>
      </c>
      <c r="G534" s="6">
        <f>SUMIFS(df_bloqueios_judiciais!G:G,df_bloqueios_judiciais!D:D,Conciliacao!A534,df_bloqueios_judiciais!G:G,"&gt;0")</f>
        <v/>
      </c>
      <c r="H534" s="7">
        <f>SUMIFS(df_extratos!I:I,df_extratos!F:F,"&gt;="&amp;Conciliacao!BE534,df_extratos!F:F,"&lt;"&amp;Conciliacao!BE534+1,df_extratos!G:G,"CREDITO")
+SUMIFS(df_extratos!I:I,df_extratos!F:F,"&gt;="&amp;Conciliacao!A534, df_extratos!F:F,"&lt;"&amp;Conciliacao!A534+1, df_extratos!G:G,"CREDITO")
+SUMIFS(df_extratos!I:I,df_extratos!F:F,"&gt;="&amp;Conciliacao!BF534,df_extratos!F:F,"&lt;"&amp;Conciliacao!BF534+1,df_extratos!G:G,"CREDITO")
+SUMIFS(df_extratos!I:I,df_extratos!F:F,"&gt;="&amp;Conciliacao!BG534,df_extratos!F:F,"&lt;"&amp;Conciliacao!BG534+1,df_extratos!G:G,"CREDITO")
+SUMIFS(df_extratos!I:I,df_extratos!F:F,"&gt;="&amp;Conciliacao!BH534,df_extratos!F:F,"&lt;"&amp;Conciliacao!BH534+1,df_extratos!G:G,"CREDITO")</f>
        <v/>
      </c>
      <c r="I534" s="9">
        <f>H534-SUM(B534:G534)</f>
        <v/>
      </c>
      <c r="J534" s="4">
        <f>SUMIFS(df_blueme_sem_parcelamento!E:E,df_blueme_sem_parcelamento!H:H,Conciliacao!A534)*(-1)</f>
        <v/>
      </c>
      <c r="K534" s="4">
        <f>SUMIFS(df_blueme_com_parcelamento!J:J,df_blueme_com_parcelamento!M:M,Conciliacao!A534)*(-1)</f>
        <v/>
      </c>
      <c r="L534" s="4">
        <f>SUMIFS(df_mutuos!N:N,df_mutuos!B:B,Conciliacao!A534)*(-1)</f>
        <v/>
      </c>
      <c r="M534" s="8">
        <f>SUMIFS(df_bloqueios_judiciais!G:G,df_bloqueios_judiciais!D:D,Conciliacao!A534,df_bloqueios_judiciais!G:G,"&lt;0")</f>
        <v/>
      </c>
      <c r="N534" s="10">
        <f>SUMIFS(df_extratos!I:I,df_extratos!F:F,"&gt;="&amp;Conciliacao!BE534,df_extratos!F:F,"&lt;"&amp;Conciliacao!BE534+1,df_extratos!G:G,"DEBITO")
+SUMIFS(df_extratos!I:I,df_extratos!F:F,"&gt;="&amp;Conciliacao!A534, df_extratos!F:F,"&lt;"&amp;Conciliacao!A534+1, df_extratos!G:G,"DEBITO")
+SUMIFS(df_extratos!I:I,df_extratos!F:F,"&gt;="&amp;Conciliacao!BF534,df_extratos!F:F,"&lt;"&amp;Conciliacao!BF534+1,df_extratos!G:G,"DEBITO")
+SUMIFS(df_extratos!I:I,df_extratos!F:F,"&gt;="&amp;Conciliacao!BG534,df_extratos!F:F,"&lt;"&amp;Conciliacao!BG534+1,df_extratos!G:G,"DEBITO")
+SUMIFS(df_extratos!I:I,df_extratos!F:F,"&gt;="&amp;Conciliacao!BH534,df_extratos!F:F,"&lt;"&amp;Conciliacao!BH534+1,df_extratos!G:G,"DEBITO")</f>
        <v/>
      </c>
      <c r="O534" s="11">
        <f>N534-SUM(J534:M534)</f>
        <v/>
      </c>
      <c r="P534" s="25">
        <f>SUMIFS(df_ajustes_conciliaco!D:D,df_ajustes_conciliaco!C:C,Conciliacao!A534)</f>
        <v/>
      </c>
      <c r="Q534" s="22">
        <f>O534+I534-P534</f>
        <v/>
      </c>
    </row>
    <row r="535">
      <c r="A535" s="5">
        <f>A534+1</f>
        <v/>
      </c>
      <c r="B535" s="3">
        <f>-SUMIFS(df_extrato_zig!G:G,df_extrato_zig!E:E,Conciliacao!A535,df_extrato_zig!D:D,"Saque")-SUMIFS(df_extrato_zig!G:G,df_extrato_zig!E:E,Conciliacao!A535,df_extrato_zig!D:D,"Antecipação")</f>
        <v/>
      </c>
      <c r="C535" s="3">
        <f>SUMIFS(df_extrato_zig!E:E,df_extrato_zig!L:L,Conciliacao!A535,df_extrato_zig!F:F,"DINHEIRO")</f>
        <v/>
      </c>
      <c r="D535" s="3">
        <f>SUMIFS(view_parc_agrup!H:H,view_parc_agrup!G:G,Conciliacao!A535)</f>
        <v/>
      </c>
      <c r="E535" s="3">
        <f>SUMIFS(df_eventos!F:F,df_eventos!H:H,Conciliacao!A535)</f>
        <v/>
      </c>
      <c r="F535" s="3">
        <f>SUMIFS(df_mutuos!M:M,df_mutuos!B:B,Conciliacao!A535)</f>
        <v/>
      </c>
      <c r="G535" s="6">
        <f>SUMIFS(df_bloqueios_judiciais!G:G,df_bloqueios_judiciais!D:D,Conciliacao!A535,df_bloqueios_judiciais!G:G,"&gt;0")</f>
        <v/>
      </c>
      <c r="H535" s="7">
        <f>SUMIFS(df_extratos!I:I,df_extratos!F:F,"&gt;="&amp;Conciliacao!BE535,df_extratos!F:F,"&lt;"&amp;Conciliacao!BE535+1,df_extratos!G:G,"CREDITO")
+SUMIFS(df_extratos!I:I,df_extratos!F:F,"&gt;="&amp;Conciliacao!A535, df_extratos!F:F,"&lt;"&amp;Conciliacao!A535+1, df_extratos!G:G,"CREDITO")
+SUMIFS(df_extratos!I:I,df_extratos!F:F,"&gt;="&amp;Conciliacao!BF535,df_extratos!F:F,"&lt;"&amp;Conciliacao!BF535+1,df_extratos!G:G,"CREDITO")
+SUMIFS(df_extratos!I:I,df_extratos!F:F,"&gt;="&amp;Conciliacao!BG535,df_extratos!F:F,"&lt;"&amp;Conciliacao!BG535+1,df_extratos!G:G,"CREDITO")
+SUMIFS(df_extratos!I:I,df_extratos!F:F,"&gt;="&amp;Conciliacao!BH535,df_extratos!F:F,"&lt;"&amp;Conciliacao!BH535+1,df_extratos!G:G,"CREDITO")</f>
        <v/>
      </c>
      <c r="I535" s="9">
        <f>H535-SUM(B535:G535)</f>
        <v/>
      </c>
      <c r="J535" s="4">
        <f>SUMIFS(df_blueme_sem_parcelamento!E:E,df_blueme_sem_parcelamento!H:H,Conciliacao!A535)*(-1)</f>
        <v/>
      </c>
      <c r="K535" s="4">
        <f>SUMIFS(df_blueme_com_parcelamento!J:J,df_blueme_com_parcelamento!M:M,Conciliacao!A535)*(-1)</f>
        <v/>
      </c>
      <c r="L535" s="4">
        <f>SUMIFS(df_mutuos!N:N,df_mutuos!B:B,Conciliacao!A535)*(-1)</f>
        <v/>
      </c>
      <c r="M535" s="8">
        <f>SUMIFS(df_bloqueios_judiciais!G:G,df_bloqueios_judiciais!D:D,Conciliacao!A535,df_bloqueios_judiciais!G:G,"&lt;0")</f>
        <v/>
      </c>
      <c r="N535" s="10">
        <f>SUMIFS(df_extratos!I:I,df_extratos!F:F,"&gt;="&amp;Conciliacao!BE535,df_extratos!F:F,"&lt;"&amp;Conciliacao!BE535+1,df_extratos!G:G,"DEBITO")
+SUMIFS(df_extratos!I:I,df_extratos!F:F,"&gt;="&amp;Conciliacao!A535, df_extratos!F:F,"&lt;"&amp;Conciliacao!A535+1, df_extratos!G:G,"DEBITO")
+SUMIFS(df_extratos!I:I,df_extratos!F:F,"&gt;="&amp;Conciliacao!BF535,df_extratos!F:F,"&lt;"&amp;Conciliacao!BF535+1,df_extratos!G:G,"DEBITO")
+SUMIFS(df_extratos!I:I,df_extratos!F:F,"&gt;="&amp;Conciliacao!BG535,df_extratos!F:F,"&lt;"&amp;Conciliacao!BG535+1,df_extratos!G:G,"DEBITO")
+SUMIFS(df_extratos!I:I,df_extratos!F:F,"&gt;="&amp;Conciliacao!BH535,df_extratos!F:F,"&lt;"&amp;Conciliacao!BH535+1,df_extratos!G:G,"DEBITO")</f>
        <v/>
      </c>
      <c r="O535" s="11">
        <f>N535-SUM(J535:M535)</f>
        <v/>
      </c>
      <c r="P535" s="25">
        <f>SUMIFS(df_ajustes_conciliaco!D:D,df_ajustes_conciliaco!C:C,Conciliacao!A535)</f>
        <v/>
      </c>
      <c r="Q535" s="22">
        <f>O535+I535-P535</f>
        <v/>
      </c>
    </row>
    <row r="536">
      <c r="A536" s="5">
        <f>A535+1</f>
        <v/>
      </c>
      <c r="B536" s="3">
        <f>-SUMIFS(df_extrato_zig!G:G,df_extrato_zig!E:E,Conciliacao!A536,df_extrato_zig!D:D,"Saque")-SUMIFS(df_extrato_zig!G:G,df_extrato_zig!E:E,Conciliacao!A536,df_extrato_zig!D:D,"Antecipação")</f>
        <v/>
      </c>
      <c r="C536" s="3">
        <f>SUMIFS(df_extrato_zig!E:E,df_extrato_zig!L:L,Conciliacao!A536,df_extrato_zig!F:F,"DINHEIRO")</f>
        <v/>
      </c>
      <c r="D536" s="3">
        <f>SUMIFS(view_parc_agrup!H:H,view_parc_agrup!G:G,Conciliacao!A536)</f>
        <v/>
      </c>
      <c r="E536" s="3">
        <f>SUMIFS(df_eventos!F:F,df_eventos!H:H,Conciliacao!A536)</f>
        <v/>
      </c>
      <c r="F536" s="3">
        <f>SUMIFS(df_mutuos!M:M,df_mutuos!B:B,Conciliacao!A536)</f>
        <v/>
      </c>
      <c r="G536" s="6">
        <f>SUMIFS(df_bloqueios_judiciais!G:G,df_bloqueios_judiciais!D:D,Conciliacao!A536,df_bloqueios_judiciais!G:G,"&gt;0")</f>
        <v/>
      </c>
      <c r="H536" s="7">
        <f>SUMIFS(df_extratos!I:I,df_extratos!F:F,"&gt;="&amp;Conciliacao!BE536,df_extratos!F:F,"&lt;"&amp;Conciliacao!BE536+1,df_extratos!G:G,"CREDITO")
+SUMIFS(df_extratos!I:I,df_extratos!F:F,"&gt;="&amp;Conciliacao!A536, df_extratos!F:F,"&lt;"&amp;Conciliacao!A536+1, df_extratos!G:G,"CREDITO")
+SUMIFS(df_extratos!I:I,df_extratos!F:F,"&gt;="&amp;Conciliacao!BF536,df_extratos!F:F,"&lt;"&amp;Conciliacao!BF536+1,df_extratos!G:G,"CREDITO")
+SUMIFS(df_extratos!I:I,df_extratos!F:F,"&gt;="&amp;Conciliacao!BG536,df_extratos!F:F,"&lt;"&amp;Conciliacao!BG536+1,df_extratos!G:G,"CREDITO")
+SUMIFS(df_extratos!I:I,df_extratos!F:F,"&gt;="&amp;Conciliacao!BH536,df_extratos!F:F,"&lt;"&amp;Conciliacao!BH536+1,df_extratos!G:G,"CREDITO")</f>
        <v/>
      </c>
      <c r="I536" s="9">
        <f>H536-SUM(B536:G536)</f>
        <v/>
      </c>
      <c r="J536" s="4">
        <f>SUMIFS(df_blueme_sem_parcelamento!E:E,df_blueme_sem_parcelamento!H:H,Conciliacao!A536)*(-1)</f>
        <v/>
      </c>
      <c r="K536" s="4">
        <f>SUMIFS(df_blueme_com_parcelamento!J:J,df_blueme_com_parcelamento!M:M,Conciliacao!A536)*(-1)</f>
        <v/>
      </c>
      <c r="L536" s="4">
        <f>SUMIFS(df_mutuos!N:N,df_mutuos!B:B,Conciliacao!A536)*(-1)</f>
        <v/>
      </c>
      <c r="M536" s="8">
        <f>SUMIFS(df_bloqueios_judiciais!G:G,df_bloqueios_judiciais!D:D,Conciliacao!A536,df_bloqueios_judiciais!G:G,"&lt;0")</f>
        <v/>
      </c>
      <c r="N536" s="10">
        <f>SUMIFS(df_extratos!I:I,df_extratos!F:F,"&gt;="&amp;Conciliacao!BE536,df_extratos!F:F,"&lt;"&amp;Conciliacao!BE536+1,df_extratos!G:G,"DEBITO")
+SUMIFS(df_extratos!I:I,df_extratos!F:F,"&gt;="&amp;Conciliacao!A536, df_extratos!F:F,"&lt;"&amp;Conciliacao!A536+1, df_extratos!G:G,"DEBITO")
+SUMIFS(df_extratos!I:I,df_extratos!F:F,"&gt;="&amp;Conciliacao!BF536,df_extratos!F:F,"&lt;"&amp;Conciliacao!BF536+1,df_extratos!G:G,"DEBITO")
+SUMIFS(df_extratos!I:I,df_extratos!F:F,"&gt;="&amp;Conciliacao!BG536,df_extratos!F:F,"&lt;"&amp;Conciliacao!BG536+1,df_extratos!G:G,"DEBITO")
+SUMIFS(df_extratos!I:I,df_extratos!F:F,"&gt;="&amp;Conciliacao!BH536,df_extratos!F:F,"&lt;"&amp;Conciliacao!BH536+1,df_extratos!G:G,"DEBITO")</f>
        <v/>
      </c>
      <c r="O536" s="11">
        <f>N536-SUM(J536:M536)</f>
        <v/>
      </c>
      <c r="P536" s="25">
        <f>SUMIFS(df_ajustes_conciliaco!D:D,df_ajustes_conciliaco!C:C,Conciliacao!A536)</f>
        <v/>
      </c>
      <c r="Q536" s="22">
        <f>O536+I536-P536</f>
        <v/>
      </c>
    </row>
    <row r="537">
      <c r="A537" s="5">
        <f>A536+1</f>
        <v/>
      </c>
      <c r="B537" s="3">
        <f>-SUMIFS(df_extrato_zig!G:G,df_extrato_zig!E:E,Conciliacao!A537,df_extrato_zig!D:D,"Saque")-SUMIFS(df_extrato_zig!G:G,df_extrato_zig!E:E,Conciliacao!A537,df_extrato_zig!D:D,"Antecipação")</f>
        <v/>
      </c>
      <c r="C537" s="3">
        <f>SUMIFS(df_extrato_zig!E:E,df_extrato_zig!L:L,Conciliacao!A537,df_extrato_zig!F:F,"DINHEIRO")</f>
        <v/>
      </c>
      <c r="D537" s="3">
        <f>SUMIFS(view_parc_agrup!H:H,view_parc_agrup!G:G,Conciliacao!A537)</f>
        <v/>
      </c>
      <c r="E537" s="3">
        <f>SUMIFS(df_eventos!F:F,df_eventos!H:H,Conciliacao!A537)</f>
        <v/>
      </c>
      <c r="F537" s="3">
        <f>SUMIFS(df_mutuos!M:M,df_mutuos!B:B,Conciliacao!A537)</f>
        <v/>
      </c>
      <c r="G537" s="6">
        <f>SUMIFS(df_bloqueios_judiciais!G:G,df_bloqueios_judiciais!D:D,Conciliacao!A537,df_bloqueios_judiciais!G:G,"&gt;0")</f>
        <v/>
      </c>
      <c r="H537" s="7">
        <f>SUMIFS(df_extratos!I:I,df_extratos!F:F,"&gt;="&amp;Conciliacao!BE537,df_extratos!F:F,"&lt;"&amp;Conciliacao!BE537+1,df_extratos!G:G,"CREDITO")
+SUMIFS(df_extratos!I:I,df_extratos!F:F,"&gt;="&amp;Conciliacao!A537, df_extratos!F:F,"&lt;"&amp;Conciliacao!A537+1, df_extratos!G:G,"CREDITO")
+SUMIFS(df_extratos!I:I,df_extratos!F:F,"&gt;="&amp;Conciliacao!BF537,df_extratos!F:F,"&lt;"&amp;Conciliacao!BF537+1,df_extratos!G:G,"CREDITO")
+SUMIFS(df_extratos!I:I,df_extratos!F:F,"&gt;="&amp;Conciliacao!BG537,df_extratos!F:F,"&lt;"&amp;Conciliacao!BG537+1,df_extratos!G:G,"CREDITO")
+SUMIFS(df_extratos!I:I,df_extratos!F:F,"&gt;="&amp;Conciliacao!BH537,df_extratos!F:F,"&lt;"&amp;Conciliacao!BH537+1,df_extratos!G:G,"CREDITO")</f>
        <v/>
      </c>
      <c r="I537" s="9">
        <f>H537-SUM(B537:G537)</f>
        <v/>
      </c>
      <c r="J537" s="4">
        <f>SUMIFS(df_blueme_sem_parcelamento!E:E,df_blueme_sem_parcelamento!H:H,Conciliacao!A537)*(-1)</f>
        <v/>
      </c>
      <c r="K537" s="4">
        <f>SUMIFS(df_blueme_com_parcelamento!J:J,df_blueme_com_parcelamento!M:M,Conciliacao!A537)*(-1)</f>
        <v/>
      </c>
      <c r="L537" s="4">
        <f>SUMIFS(df_mutuos!N:N,df_mutuos!B:B,Conciliacao!A537)*(-1)</f>
        <v/>
      </c>
      <c r="M537" s="8">
        <f>SUMIFS(df_bloqueios_judiciais!G:G,df_bloqueios_judiciais!D:D,Conciliacao!A537,df_bloqueios_judiciais!G:G,"&lt;0")</f>
        <v/>
      </c>
      <c r="N537" s="10">
        <f>SUMIFS(df_extratos!I:I,df_extratos!F:F,"&gt;="&amp;Conciliacao!BE537,df_extratos!F:F,"&lt;"&amp;Conciliacao!BE537+1,df_extratos!G:G,"DEBITO")
+SUMIFS(df_extratos!I:I,df_extratos!F:F,"&gt;="&amp;Conciliacao!A537, df_extratos!F:F,"&lt;"&amp;Conciliacao!A537+1, df_extratos!G:G,"DEBITO")
+SUMIFS(df_extratos!I:I,df_extratos!F:F,"&gt;="&amp;Conciliacao!BF537,df_extratos!F:F,"&lt;"&amp;Conciliacao!BF537+1,df_extratos!G:G,"DEBITO")
+SUMIFS(df_extratos!I:I,df_extratos!F:F,"&gt;="&amp;Conciliacao!BG537,df_extratos!F:F,"&lt;"&amp;Conciliacao!BG537+1,df_extratos!G:G,"DEBITO")
+SUMIFS(df_extratos!I:I,df_extratos!F:F,"&gt;="&amp;Conciliacao!BH537,df_extratos!F:F,"&lt;"&amp;Conciliacao!BH537+1,df_extratos!G:G,"DEBITO")</f>
        <v/>
      </c>
      <c r="O537" s="11">
        <f>N537-SUM(J537:M537)</f>
        <v/>
      </c>
      <c r="P537" s="25">
        <f>SUMIFS(df_ajustes_conciliaco!D:D,df_ajustes_conciliaco!C:C,Conciliacao!A537)</f>
        <v/>
      </c>
      <c r="Q537" s="22">
        <f>O537+I537-P537</f>
        <v/>
      </c>
    </row>
    <row r="538">
      <c r="A538" s="5">
        <f>A537+1</f>
        <v/>
      </c>
      <c r="B538" s="3">
        <f>-SUMIFS(df_extrato_zig!G:G,df_extrato_zig!E:E,Conciliacao!A538,df_extrato_zig!D:D,"Saque")-SUMIFS(df_extrato_zig!G:G,df_extrato_zig!E:E,Conciliacao!A538,df_extrato_zig!D:D,"Antecipação")</f>
        <v/>
      </c>
      <c r="C538" s="3">
        <f>SUMIFS(df_extrato_zig!E:E,df_extrato_zig!L:L,Conciliacao!A538,df_extrato_zig!F:F,"DINHEIRO")</f>
        <v/>
      </c>
      <c r="D538" s="3">
        <f>SUMIFS(view_parc_agrup!H:H,view_parc_agrup!G:G,Conciliacao!A538)</f>
        <v/>
      </c>
      <c r="E538" s="3">
        <f>SUMIFS(df_eventos!F:F,df_eventos!H:H,Conciliacao!A538)</f>
        <v/>
      </c>
      <c r="F538" s="3">
        <f>SUMIFS(df_mutuos!M:M,df_mutuos!B:B,Conciliacao!A538)</f>
        <v/>
      </c>
      <c r="G538" s="6">
        <f>SUMIFS(df_bloqueios_judiciais!G:G,df_bloqueios_judiciais!D:D,Conciliacao!A538,df_bloqueios_judiciais!G:G,"&gt;0")</f>
        <v/>
      </c>
      <c r="H538" s="7">
        <f>SUMIFS(df_extratos!I:I,df_extratos!F:F,"&gt;="&amp;Conciliacao!BE538,df_extratos!F:F,"&lt;"&amp;Conciliacao!BE538+1,df_extratos!G:G,"CREDITO")
+SUMIFS(df_extratos!I:I,df_extratos!F:F,"&gt;="&amp;Conciliacao!A538, df_extratos!F:F,"&lt;"&amp;Conciliacao!A538+1, df_extratos!G:G,"CREDITO")
+SUMIFS(df_extratos!I:I,df_extratos!F:F,"&gt;="&amp;Conciliacao!BF538,df_extratos!F:F,"&lt;"&amp;Conciliacao!BF538+1,df_extratos!G:G,"CREDITO")
+SUMIFS(df_extratos!I:I,df_extratos!F:F,"&gt;="&amp;Conciliacao!BG538,df_extratos!F:F,"&lt;"&amp;Conciliacao!BG538+1,df_extratos!G:G,"CREDITO")
+SUMIFS(df_extratos!I:I,df_extratos!F:F,"&gt;="&amp;Conciliacao!BH538,df_extratos!F:F,"&lt;"&amp;Conciliacao!BH538+1,df_extratos!G:G,"CREDITO")</f>
        <v/>
      </c>
      <c r="I538" s="9">
        <f>H538-SUM(B538:G538)</f>
        <v/>
      </c>
      <c r="J538" s="4">
        <f>SUMIFS(df_blueme_sem_parcelamento!E:E,df_blueme_sem_parcelamento!H:H,Conciliacao!A538)*(-1)</f>
        <v/>
      </c>
      <c r="K538" s="4">
        <f>SUMIFS(df_blueme_com_parcelamento!J:J,df_blueme_com_parcelamento!M:M,Conciliacao!A538)*(-1)</f>
        <v/>
      </c>
      <c r="L538" s="4">
        <f>SUMIFS(df_mutuos!N:N,df_mutuos!B:B,Conciliacao!A538)*(-1)</f>
        <v/>
      </c>
      <c r="M538" s="8">
        <f>SUMIFS(df_bloqueios_judiciais!G:G,df_bloqueios_judiciais!D:D,Conciliacao!A538,df_bloqueios_judiciais!G:G,"&lt;0")</f>
        <v/>
      </c>
      <c r="N538" s="10">
        <f>SUMIFS(df_extratos!I:I,df_extratos!F:F,"&gt;="&amp;Conciliacao!BE538,df_extratos!F:F,"&lt;"&amp;Conciliacao!BE538+1,df_extratos!G:G,"DEBITO")
+SUMIFS(df_extratos!I:I,df_extratos!F:F,"&gt;="&amp;Conciliacao!A538, df_extratos!F:F,"&lt;"&amp;Conciliacao!A538+1, df_extratos!G:G,"DEBITO")
+SUMIFS(df_extratos!I:I,df_extratos!F:F,"&gt;="&amp;Conciliacao!BF538,df_extratos!F:F,"&lt;"&amp;Conciliacao!BF538+1,df_extratos!G:G,"DEBITO")
+SUMIFS(df_extratos!I:I,df_extratos!F:F,"&gt;="&amp;Conciliacao!BG538,df_extratos!F:F,"&lt;"&amp;Conciliacao!BG538+1,df_extratos!G:G,"DEBITO")
+SUMIFS(df_extratos!I:I,df_extratos!F:F,"&gt;="&amp;Conciliacao!BH538,df_extratos!F:F,"&lt;"&amp;Conciliacao!BH538+1,df_extratos!G:G,"DEBITO")</f>
        <v/>
      </c>
      <c r="O538" s="11">
        <f>N538-SUM(J538:M538)</f>
        <v/>
      </c>
      <c r="P538" s="25">
        <f>SUMIFS(df_ajustes_conciliaco!D:D,df_ajustes_conciliaco!C:C,Conciliacao!A538)</f>
        <v/>
      </c>
      <c r="Q538" s="22">
        <f>O538+I538-P538</f>
        <v/>
      </c>
    </row>
    <row r="539">
      <c r="A539" s="5">
        <f>A538+1</f>
        <v/>
      </c>
      <c r="B539" s="3">
        <f>-SUMIFS(df_extrato_zig!G:G,df_extrato_zig!E:E,Conciliacao!A539,df_extrato_zig!D:D,"Saque")-SUMIFS(df_extrato_zig!G:G,df_extrato_zig!E:E,Conciliacao!A539,df_extrato_zig!D:D,"Antecipação")</f>
        <v/>
      </c>
      <c r="C539" s="3">
        <f>SUMIFS(df_extrato_zig!E:E,df_extrato_zig!L:L,Conciliacao!A539,df_extrato_zig!F:F,"DINHEIRO")</f>
        <v/>
      </c>
      <c r="D539" s="3">
        <f>SUMIFS(view_parc_agrup!H:H,view_parc_agrup!G:G,Conciliacao!A539)</f>
        <v/>
      </c>
      <c r="E539" s="3">
        <f>SUMIFS(df_eventos!F:F,df_eventos!H:H,Conciliacao!A539)</f>
        <v/>
      </c>
      <c r="F539" s="3">
        <f>SUMIFS(df_mutuos!M:M,df_mutuos!B:B,Conciliacao!A539)</f>
        <v/>
      </c>
      <c r="G539" s="6">
        <f>SUMIFS(df_bloqueios_judiciais!G:G,df_bloqueios_judiciais!D:D,Conciliacao!A539,df_bloqueios_judiciais!G:G,"&gt;0")</f>
        <v/>
      </c>
      <c r="H539" s="7">
        <f>SUMIFS(df_extratos!I:I,df_extratos!F:F,"&gt;="&amp;Conciliacao!BE539,df_extratos!F:F,"&lt;"&amp;Conciliacao!BE539+1,df_extratos!G:G,"CREDITO")
+SUMIFS(df_extratos!I:I,df_extratos!F:F,"&gt;="&amp;Conciliacao!A539, df_extratos!F:F,"&lt;"&amp;Conciliacao!A539+1, df_extratos!G:G,"CREDITO")
+SUMIFS(df_extratos!I:I,df_extratos!F:F,"&gt;="&amp;Conciliacao!BF539,df_extratos!F:F,"&lt;"&amp;Conciliacao!BF539+1,df_extratos!G:G,"CREDITO")
+SUMIFS(df_extratos!I:I,df_extratos!F:F,"&gt;="&amp;Conciliacao!BG539,df_extratos!F:F,"&lt;"&amp;Conciliacao!BG539+1,df_extratos!G:G,"CREDITO")
+SUMIFS(df_extratos!I:I,df_extratos!F:F,"&gt;="&amp;Conciliacao!BH539,df_extratos!F:F,"&lt;"&amp;Conciliacao!BH539+1,df_extratos!G:G,"CREDITO")</f>
        <v/>
      </c>
      <c r="I539" s="9">
        <f>H539-SUM(B539:G539)</f>
        <v/>
      </c>
      <c r="J539" s="4">
        <f>SUMIFS(df_blueme_sem_parcelamento!E:E,df_blueme_sem_parcelamento!H:H,Conciliacao!A539)*(-1)</f>
        <v/>
      </c>
      <c r="K539" s="4">
        <f>SUMIFS(df_blueme_com_parcelamento!J:J,df_blueme_com_parcelamento!M:M,Conciliacao!A539)*(-1)</f>
        <v/>
      </c>
      <c r="L539" s="4">
        <f>SUMIFS(df_mutuos!N:N,df_mutuos!B:B,Conciliacao!A539)*(-1)</f>
        <v/>
      </c>
      <c r="M539" s="8">
        <f>SUMIFS(df_bloqueios_judiciais!G:G,df_bloqueios_judiciais!D:D,Conciliacao!A539,df_bloqueios_judiciais!G:G,"&lt;0")</f>
        <v/>
      </c>
      <c r="N539" s="10">
        <f>SUMIFS(df_extratos!I:I,df_extratos!F:F,"&gt;="&amp;Conciliacao!BE539,df_extratos!F:F,"&lt;"&amp;Conciliacao!BE539+1,df_extratos!G:G,"DEBITO")
+SUMIFS(df_extratos!I:I,df_extratos!F:F,"&gt;="&amp;Conciliacao!A539, df_extratos!F:F,"&lt;"&amp;Conciliacao!A539+1, df_extratos!G:G,"DEBITO")
+SUMIFS(df_extratos!I:I,df_extratos!F:F,"&gt;="&amp;Conciliacao!BF539,df_extratos!F:F,"&lt;"&amp;Conciliacao!BF539+1,df_extratos!G:G,"DEBITO")
+SUMIFS(df_extratos!I:I,df_extratos!F:F,"&gt;="&amp;Conciliacao!BG539,df_extratos!F:F,"&lt;"&amp;Conciliacao!BG539+1,df_extratos!G:G,"DEBITO")
+SUMIFS(df_extratos!I:I,df_extratos!F:F,"&gt;="&amp;Conciliacao!BH539,df_extratos!F:F,"&lt;"&amp;Conciliacao!BH539+1,df_extratos!G:G,"DEBITO")</f>
        <v/>
      </c>
      <c r="O539" s="11">
        <f>N539-SUM(J539:M539)</f>
        <v/>
      </c>
      <c r="P539" s="25">
        <f>SUMIFS(df_ajustes_conciliaco!D:D,df_ajustes_conciliaco!C:C,Conciliacao!A539)</f>
        <v/>
      </c>
      <c r="Q539" s="22">
        <f>O539+I539-P539</f>
        <v/>
      </c>
    </row>
    <row r="540">
      <c r="A540" s="5">
        <f>A539+1</f>
        <v/>
      </c>
      <c r="B540" s="3">
        <f>-SUMIFS(df_extrato_zig!G:G,df_extrato_zig!E:E,Conciliacao!A540,df_extrato_zig!D:D,"Saque")-SUMIFS(df_extrato_zig!G:G,df_extrato_zig!E:E,Conciliacao!A540,df_extrato_zig!D:D,"Antecipação")</f>
        <v/>
      </c>
      <c r="C540" s="3">
        <f>SUMIFS(df_extrato_zig!E:E,df_extrato_zig!L:L,Conciliacao!A540,df_extrato_zig!F:F,"DINHEIRO")</f>
        <v/>
      </c>
      <c r="D540" s="3">
        <f>SUMIFS(view_parc_agrup!H:H,view_parc_agrup!G:G,Conciliacao!A540)</f>
        <v/>
      </c>
      <c r="E540" s="3">
        <f>SUMIFS(df_eventos!F:F,df_eventos!H:H,Conciliacao!A540)</f>
        <v/>
      </c>
      <c r="F540" s="3">
        <f>SUMIFS(df_mutuos!M:M,df_mutuos!B:B,Conciliacao!A540)</f>
        <v/>
      </c>
      <c r="G540" s="6">
        <f>SUMIFS(df_bloqueios_judiciais!G:G,df_bloqueios_judiciais!D:D,Conciliacao!A540,df_bloqueios_judiciais!G:G,"&gt;0")</f>
        <v/>
      </c>
      <c r="H540" s="7">
        <f>SUMIFS(df_extratos!I:I,df_extratos!F:F,"&gt;="&amp;Conciliacao!BE540,df_extratos!F:F,"&lt;"&amp;Conciliacao!BE540+1,df_extratos!G:G,"CREDITO")
+SUMIFS(df_extratos!I:I,df_extratos!F:F,"&gt;="&amp;Conciliacao!A540, df_extratos!F:F,"&lt;"&amp;Conciliacao!A540+1, df_extratos!G:G,"CREDITO")
+SUMIFS(df_extratos!I:I,df_extratos!F:F,"&gt;="&amp;Conciliacao!BF540,df_extratos!F:F,"&lt;"&amp;Conciliacao!BF540+1,df_extratos!G:G,"CREDITO")
+SUMIFS(df_extratos!I:I,df_extratos!F:F,"&gt;="&amp;Conciliacao!BG540,df_extratos!F:F,"&lt;"&amp;Conciliacao!BG540+1,df_extratos!G:G,"CREDITO")
+SUMIFS(df_extratos!I:I,df_extratos!F:F,"&gt;="&amp;Conciliacao!BH540,df_extratos!F:F,"&lt;"&amp;Conciliacao!BH540+1,df_extratos!G:G,"CREDITO")</f>
        <v/>
      </c>
      <c r="I540" s="9">
        <f>H540-SUM(B540:G540)</f>
        <v/>
      </c>
      <c r="J540" s="4">
        <f>SUMIFS(df_blueme_sem_parcelamento!E:E,df_blueme_sem_parcelamento!H:H,Conciliacao!A540)*(-1)</f>
        <v/>
      </c>
      <c r="K540" s="4">
        <f>SUMIFS(df_blueme_com_parcelamento!J:J,df_blueme_com_parcelamento!M:M,Conciliacao!A540)*(-1)</f>
        <v/>
      </c>
      <c r="L540" s="4">
        <f>SUMIFS(df_mutuos!N:N,df_mutuos!B:B,Conciliacao!A540)*(-1)</f>
        <v/>
      </c>
      <c r="M540" s="8">
        <f>SUMIFS(df_bloqueios_judiciais!G:G,df_bloqueios_judiciais!D:D,Conciliacao!A540,df_bloqueios_judiciais!G:G,"&lt;0")</f>
        <v/>
      </c>
      <c r="N540" s="10">
        <f>SUMIFS(df_extratos!I:I,df_extratos!F:F,"&gt;="&amp;Conciliacao!BE540,df_extratos!F:F,"&lt;"&amp;Conciliacao!BE540+1,df_extratos!G:G,"DEBITO")
+SUMIFS(df_extratos!I:I,df_extratos!F:F,"&gt;="&amp;Conciliacao!A540, df_extratos!F:F,"&lt;"&amp;Conciliacao!A540+1, df_extratos!G:G,"DEBITO")
+SUMIFS(df_extratos!I:I,df_extratos!F:F,"&gt;="&amp;Conciliacao!BF540,df_extratos!F:F,"&lt;"&amp;Conciliacao!BF540+1,df_extratos!G:G,"DEBITO")
+SUMIFS(df_extratos!I:I,df_extratos!F:F,"&gt;="&amp;Conciliacao!BG540,df_extratos!F:F,"&lt;"&amp;Conciliacao!BG540+1,df_extratos!G:G,"DEBITO")
+SUMIFS(df_extratos!I:I,df_extratos!F:F,"&gt;="&amp;Conciliacao!BH540,df_extratos!F:F,"&lt;"&amp;Conciliacao!BH540+1,df_extratos!G:G,"DEBITO")</f>
        <v/>
      </c>
      <c r="O540" s="11">
        <f>N540-SUM(J540:M540)</f>
        <v/>
      </c>
      <c r="P540" s="25">
        <f>SUMIFS(df_ajustes_conciliaco!D:D,df_ajustes_conciliaco!C:C,Conciliacao!A540)</f>
        <v/>
      </c>
      <c r="Q540" s="22">
        <f>O540+I540-P540</f>
        <v/>
      </c>
    </row>
    <row r="541">
      <c r="A541" s="5">
        <f>A540+1</f>
        <v/>
      </c>
      <c r="B541" s="3">
        <f>-SUMIFS(df_extrato_zig!G:G,df_extrato_zig!E:E,Conciliacao!A541,df_extrato_zig!D:D,"Saque")-SUMIFS(df_extrato_zig!G:G,df_extrato_zig!E:E,Conciliacao!A541,df_extrato_zig!D:D,"Antecipação")</f>
        <v/>
      </c>
      <c r="C541" s="3">
        <f>SUMIFS(df_extrato_zig!E:E,df_extrato_zig!L:L,Conciliacao!A541,df_extrato_zig!F:F,"DINHEIRO")</f>
        <v/>
      </c>
      <c r="D541" s="3">
        <f>SUMIFS(view_parc_agrup!H:H,view_parc_agrup!G:G,Conciliacao!A541)</f>
        <v/>
      </c>
      <c r="E541" s="3">
        <f>SUMIFS(df_eventos!F:F,df_eventos!H:H,Conciliacao!A541)</f>
        <v/>
      </c>
      <c r="F541" s="3">
        <f>SUMIFS(df_mutuos!M:M,df_mutuos!B:B,Conciliacao!A541)</f>
        <v/>
      </c>
      <c r="G541" s="6">
        <f>SUMIFS(df_bloqueios_judiciais!G:G,df_bloqueios_judiciais!D:D,Conciliacao!A541,df_bloqueios_judiciais!G:G,"&gt;0")</f>
        <v/>
      </c>
      <c r="H541" s="7">
        <f>SUMIFS(df_extratos!I:I,df_extratos!F:F,"&gt;="&amp;Conciliacao!BE541,df_extratos!F:F,"&lt;"&amp;Conciliacao!BE541+1,df_extratos!G:G,"CREDITO")
+SUMIFS(df_extratos!I:I,df_extratos!F:F,"&gt;="&amp;Conciliacao!A541, df_extratos!F:F,"&lt;"&amp;Conciliacao!A541+1, df_extratos!G:G,"CREDITO")
+SUMIFS(df_extratos!I:I,df_extratos!F:F,"&gt;="&amp;Conciliacao!BF541,df_extratos!F:F,"&lt;"&amp;Conciliacao!BF541+1,df_extratos!G:G,"CREDITO")
+SUMIFS(df_extratos!I:I,df_extratos!F:F,"&gt;="&amp;Conciliacao!BG541,df_extratos!F:F,"&lt;"&amp;Conciliacao!BG541+1,df_extratos!G:G,"CREDITO")
+SUMIFS(df_extratos!I:I,df_extratos!F:F,"&gt;="&amp;Conciliacao!BH541,df_extratos!F:F,"&lt;"&amp;Conciliacao!BH541+1,df_extratos!G:G,"CREDITO")</f>
        <v/>
      </c>
      <c r="I541" s="9">
        <f>H541-SUM(B541:G541)</f>
        <v/>
      </c>
      <c r="J541" s="4">
        <f>SUMIFS(df_blueme_sem_parcelamento!E:E,df_blueme_sem_parcelamento!H:H,Conciliacao!A541)*(-1)</f>
        <v/>
      </c>
      <c r="K541" s="4">
        <f>SUMIFS(df_blueme_com_parcelamento!J:J,df_blueme_com_parcelamento!M:M,Conciliacao!A541)*(-1)</f>
        <v/>
      </c>
      <c r="L541" s="4">
        <f>SUMIFS(df_mutuos!N:N,df_mutuos!B:B,Conciliacao!A541)*(-1)</f>
        <v/>
      </c>
      <c r="M541" s="8">
        <f>SUMIFS(df_bloqueios_judiciais!G:G,df_bloqueios_judiciais!D:D,Conciliacao!A541,df_bloqueios_judiciais!G:G,"&lt;0")</f>
        <v/>
      </c>
      <c r="N541" s="10">
        <f>SUMIFS(df_extratos!I:I,df_extratos!F:F,"&gt;="&amp;Conciliacao!BE541,df_extratos!F:F,"&lt;"&amp;Conciliacao!BE541+1,df_extratos!G:G,"DEBITO")
+SUMIFS(df_extratos!I:I,df_extratos!F:F,"&gt;="&amp;Conciliacao!A541, df_extratos!F:F,"&lt;"&amp;Conciliacao!A541+1, df_extratos!G:G,"DEBITO")
+SUMIFS(df_extratos!I:I,df_extratos!F:F,"&gt;="&amp;Conciliacao!BF541,df_extratos!F:F,"&lt;"&amp;Conciliacao!BF541+1,df_extratos!G:G,"DEBITO")
+SUMIFS(df_extratos!I:I,df_extratos!F:F,"&gt;="&amp;Conciliacao!BG541,df_extratos!F:F,"&lt;"&amp;Conciliacao!BG541+1,df_extratos!G:G,"DEBITO")
+SUMIFS(df_extratos!I:I,df_extratos!F:F,"&gt;="&amp;Conciliacao!BH541,df_extratos!F:F,"&lt;"&amp;Conciliacao!BH541+1,df_extratos!G:G,"DEBITO")</f>
        <v/>
      </c>
      <c r="O541" s="11">
        <f>N541-SUM(J541:M541)</f>
        <v/>
      </c>
      <c r="P541" s="25">
        <f>SUMIFS(df_ajustes_conciliaco!D:D,df_ajustes_conciliaco!C:C,Conciliacao!A541)</f>
        <v/>
      </c>
      <c r="Q541" s="22">
        <f>O541+I541-P541</f>
        <v/>
      </c>
    </row>
    <row r="542">
      <c r="A542" s="5">
        <f>A541+1</f>
        <v/>
      </c>
      <c r="B542" s="3">
        <f>-SUMIFS(df_extrato_zig!G:G,df_extrato_zig!E:E,Conciliacao!A542,df_extrato_zig!D:D,"Saque")-SUMIFS(df_extrato_zig!G:G,df_extrato_zig!E:E,Conciliacao!A542,df_extrato_zig!D:D,"Antecipação")</f>
        <v/>
      </c>
      <c r="C542" s="3">
        <f>SUMIFS(df_extrato_zig!E:E,df_extrato_zig!L:L,Conciliacao!A542,df_extrato_zig!F:F,"DINHEIRO")</f>
        <v/>
      </c>
      <c r="D542" s="3">
        <f>SUMIFS(view_parc_agrup!H:H,view_parc_agrup!G:G,Conciliacao!A542)</f>
        <v/>
      </c>
      <c r="E542" s="3">
        <f>SUMIFS(df_eventos!F:F,df_eventos!H:H,Conciliacao!A542)</f>
        <v/>
      </c>
      <c r="F542" s="3">
        <f>SUMIFS(df_mutuos!M:M,df_mutuos!B:B,Conciliacao!A542)</f>
        <v/>
      </c>
      <c r="G542" s="6">
        <f>SUMIFS(df_bloqueios_judiciais!G:G,df_bloqueios_judiciais!D:D,Conciliacao!A542,df_bloqueios_judiciais!G:G,"&gt;0")</f>
        <v/>
      </c>
      <c r="H542" s="7">
        <f>SUMIFS(df_extratos!I:I,df_extratos!F:F,"&gt;="&amp;Conciliacao!BE542,df_extratos!F:F,"&lt;"&amp;Conciliacao!BE542+1,df_extratos!G:G,"CREDITO")
+SUMIFS(df_extratos!I:I,df_extratos!F:F,"&gt;="&amp;Conciliacao!A542, df_extratos!F:F,"&lt;"&amp;Conciliacao!A542+1, df_extratos!G:G,"CREDITO")
+SUMIFS(df_extratos!I:I,df_extratos!F:F,"&gt;="&amp;Conciliacao!BF542,df_extratos!F:F,"&lt;"&amp;Conciliacao!BF542+1,df_extratos!G:G,"CREDITO")
+SUMIFS(df_extratos!I:I,df_extratos!F:F,"&gt;="&amp;Conciliacao!BG542,df_extratos!F:F,"&lt;"&amp;Conciliacao!BG542+1,df_extratos!G:G,"CREDITO")
+SUMIFS(df_extratos!I:I,df_extratos!F:F,"&gt;="&amp;Conciliacao!BH542,df_extratos!F:F,"&lt;"&amp;Conciliacao!BH542+1,df_extratos!G:G,"CREDITO")</f>
        <v/>
      </c>
      <c r="I542" s="9">
        <f>H542-SUM(B542:G542)</f>
        <v/>
      </c>
      <c r="J542" s="4">
        <f>SUMIFS(df_blueme_sem_parcelamento!E:E,df_blueme_sem_parcelamento!H:H,Conciliacao!A542)*(-1)</f>
        <v/>
      </c>
      <c r="K542" s="4">
        <f>SUMIFS(df_blueme_com_parcelamento!J:J,df_blueme_com_parcelamento!M:M,Conciliacao!A542)*(-1)</f>
        <v/>
      </c>
      <c r="L542" s="4">
        <f>SUMIFS(df_mutuos!N:N,df_mutuos!B:B,Conciliacao!A542)*(-1)</f>
        <v/>
      </c>
      <c r="M542" s="8">
        <f>SUMIFS(df_bloqueios_judiciais!G:G,df_bloqueios_judiciais!D:D,Conciliacao!A542,df_bloqueios_judiciais!G:G,"&lt;0")</f>
        <v/>
      </c>
      <c r="N542" s="10">
        <f>SUMIFS(df_extratos!I:I,df_extratos!F:F,"&gt;="&amp;Conciliacao!BE542,df_extratos!F:F,"&lt;"&amp;Conciliacao!BE542+1,df_extratos!G:G,"DEBITO")
+SUMIFS(df_extratos!I:I,df_extratos!F:F,"&gt;="&amp;Conciliacao!A542, df_extratos!F:F,"&lt;"&amp;Conciliacao!A542+1, df_extratos!G:G,"DEBITO")
+SUMIFS(df_extratos!I:I,df_extratos!F:F,"&gt;="&amp;Conciliacao!BF542,df_extratos!F:F,"&lt;"&amp;Conciliacao!BF542+1,df_extratos!G:G,"DEBITO")
+SUMIFS(df_extratos!I:I,df_extratos!F:F,"&gt;="&amp;Conciliacao!BG542,df_extratos!F:F,"&lt;"&amp;Conciliacao!BG542+1,df_extratos!G:G,"DEBITO")
+SUMIFS(df_extratos!I:I,df_extratos!F:F,"&gt;="&amp;Conciliacao!BH542,df_extratos!F:F,"&lt;"&amp;Conciliacao!BH542+1,df_extratos!G:G,"DEBITO")</f>
        <v/>
      </c>
      <c r="O542" s="11">
        <f>N542-SUM(J542:M542)</f>
        <v/>
      </c>
      <c r="P542" s="25">
        <f>SUMIFS(df_ajustes_conciliaco!D:D,df_ajustes_conciliaco!C:C,Conciliacao!A542)</f>
        <v/>
      </c>
      <c r="Q542" s="22">
        <f>O542+I542-P542</f>
        <v/>
      </c>
    </row>
    <row r="543">
      <c r="A543" s="5">
        <f>A542+1</f>
        <v/>
      </c>
      <c r="B543" s="3">
        <f>-SUMIFS(df_extrato_zig!G:G,df_extrato_zig!E:E,Conciliacao!A543,df_extrato_zig!D:D,"Saque")-SUMIFS(df_extrato_zig!G:G,df_extrato_zig!E:E,Conciliacao!A543,df_extrato_zig!D:D,"Antecipação")</f>
        <v/>
      </c>
      <c r="C543" s="3">
        <f>SUMIFS(df_extrato_zig!E:E,df_extrato_zig!L:L,Conciliacao!A543,df_extrato_zig!F:F,"DINHEIRO")</f>
        <v/>
      </c>
      <c r="D543" s="3">
        <f>SUMIFS(view_parc_agrup!H:H,view_parc_agrup!G:G,Conciliacao!A543)</f>
        <v/>
      </c>
      <c r="E543" s="3">
        <f>SUMIFS(df_eventos!F:F,df_eventos!H:H,Conciliacao!A543)</f>
        <v/>
      </c>
      <c r="F543" s="3">
        <f>SUMIFS(df_mutuos!M:M,df_mutuos!B:B,Conciliacao!A543)</f>
        <v/>
      </c>
      <c r="G543" s="6">
        <f>SUMIFS(df_bloqueios_judiciais!G:G,df_bloqueios_judiciais!D:D,Conciliacao!A543,df_bloqueios_judiciais!G:G,"&gt;0")</f>
        <v/>
      </c>
      <c r="H543" s="7">
        <f>SUMIFS(df_extratos!I:I,df_extratos!F:F,"&gt;="&amp;Conciliacao!BE543,df_extratos!F:F,"&lt;"&amp;Conciliacao!BE543+1,df_extratos!G:G,"CREDITO")
+SUMIFS(df_extratos!I:I,df_extratos!F:F,"&gt;="&amp;Conciliacao!A543, df_extratos!F:F,"&lt;"&amp;Conciliacao!A543+1, df_extratos!G:G,"CREDITO")
+SUMIFS(df_extratos!I:I,df_extratos!F:F,"&gt;="&amp;Conciliacao!BF543,df_extratos!F:F,"&lt;"&amp;Conciliacao!BF543+1,df_extratos!G:G,"CREDITO")
+SUMIFS(df_extratos!I:I,df_extratos!F:F,"&gt;="&amp;Conciliacao!BG543,df_extratos!F:F,"&lt;"&amp;Conciliacao!BG543+1,df_extratos!G:G,"CREDITO")
+SUMIFS(df_extratos!I:I,df_extratos!F:F,"&gt;="&amp;Conciliacao!BH543,df_extratos!F:F,"&lt;"&amp;Conciliacao!BH543+1,df_extratos!G:G,"CREDITO")</f>
        <v/>
      </c>
      <c r="I543" s="9">
        <f>H543-SUM(B543:G543)</f>
        <v/>
      </c>
      <c r="J543" s="4">
        <f>SUMIFS(df_blueme_sem_parcelamento!E:E,df_blueme_sem_parcelamento!H:H,Conciliacao!A543)*(-1)</f>
        <v/>
      </c>
      <c r="K543" s="4">
        <f>SUMIFS(df_blueme_com_parcelamento!J:J,df_blueme_com_parcelamento!M:M,Conciliacao!A543)*(-1)</f>
        <v/>
      </c>
      <c r="L543" s="4">
        <f>SUMIFS(df_mutuos!N:N,df_mutuos!B:B,Conciliacao!A543)*(-1)</f>
        <v/>
      </c>
      <c r="M543" s="8">
        <f>SUMIFS(df_bloqueios_judiciais!G:G,df_bloqueios_judiciais!D:D,Conciliacao!A543,df_bloqueios_judiciais!G:G,"&lt;0")</f>
        <v/>
      </c>
      <c r="N543" s="10">
        <f>SUMIFS(df_extratos!I:I,df_extratos!F:F,"&gt;="&amp;Conciliacao!BE543,df_extratos!F:F,"&lt;"&amp;Conciliacao!BE543+1,df_extratos!G:G,"DEBITO")
+SUMIFS(df_extratos!I:I,df_extratos!F:F,"&gt;="&amp;Conciliacao!A543, df_extratos!F:F,"&lt;"&amp;Conciliacao!A543+1, df_extratos!G:G,"DEBITO")
+SUMIFS(df_extratos!I:I,df_extratos!F:F,"&gt;="&amp;Conciliacao!BF543,df_extratos!F:F,"&lt;"&amp;Conciliacao!BF543+1,df_extratos!G:G,"DEBITO")
+SUMIFS(df_extratos!I:I,df_extratos!F:F,"&gt;="&amp;Conciliacao!BG543,df_extratos!F:F,"&lt;"&amp;Conciliacao!BG543+1,df_extratos!G:G,"DEBITO")
+SUMIFS(df_extratos!I:I,df_extratos!F:F,"&gt;="&amp;Conciliacao!BH543,df_extratos!F:F,"&lt;"&amp;Conciliacao!BH543+1,df_extratos!G:G,"DEBITO")</f>
        <v/>
      </c>
      <c r="O543" s="11">
        <f>N543-SUM(J543:M543)</f>
        <v/>
      </c>
      <c r="P543" s="25">
        <f>SUMIFS(df_ajustes_conciliaco!D:D,df_ajustes_conciliaco!C:C,Conciliacao!A543)</f>
        <v/>
      </c>
      <c r="Q543" s="22">
        <f>O543+I543-P543</f>
        <v/>
      </c>
    </row>
    <row r="544">
      <c r="A544" s="5">
        <f>A543+1</f>
        <v/>
      </c>
      <c r="B544" s="3">
        <f>-SUMIFS(df_extrato_zig!G:G,df_extrato_zig!E:E,Conciliacao!A544,df_extrato_zig!D:D,"Saque")-SUMIFS(df_extrato_zig!G:G,df_extrato_zig!E:E,Conciliacao!A544,df_extrato_zig!D:D,"Antecipação")</f>
        <v/>
      </c>
      <c r="C544" s="3">
        <f>SUMIFS(df_extrato_zig!E:E,df_extrato_zig!L:L,Conciliacao!A544,df_extrato_zig!F:F,"DINHEIRO")</f>
        <v/>
      </c>
      <c r="D544" s="3">
        <f>SUMIFS(view_parc_agrup!H:H,view_parc_agrup!G:G,Conciliacao!A544)</f>
        <v/>
      </c>
      <c r="E544" s="3">
        <f>SUMIFS(df_eventos!F:F,df_eventos!H:H,Conciliacao!A544)</f>
        <v/>
      </c>
      <c r="F544" s="3">
        <f>SUMIFS(df_mutuos!M:M,df_mutuos!B:B,Conciliacao!A544)</f>
        <v/>
      </c>
      <c r="G544" s="6">
        <f>SUMIFS(df_bloqueios_judiciais!G:G,df_bloqueios_judiciais!D:D,Conciliacao!A544,df_bloqueios_judiciais!G:G,"&gt;0")</f>
        <v/>
      </c>
      <c r="H544" s="7">
        <f>SUMIFS(df_extratos!I:I,df_extratos!F:F,"&gt;="&amp;Conciliacao!BE544,df_extratos!F:F,"&lt;"&amp;Conciliacao!BE544+1,df_extratos!G:G,"CREDITO")
+SUMIFS(df_extratos!I:I,df_extratos!F:F,"&gt;="&amp;Conciliacao!A544, df_extratos!F:F,"&lt;"&amp;Conciliacao!A544+1, df_extratos!G:G,"CREDITO")
+SUMIFS(df_extratos!I:I,df_extratos!F:F,"&gt;="&amp;Conciliacao!BF544,df_extratos!F:F,"&lt;"&amp;Conciliacao!BF544+1,df_extratos!G:G,"CREDITO")
+SUMIFS(df_extratos!I:I,df_extratos!F:F,"&gt;="&amp;Conciliacao!BG544,df_extratos!F:F,"&lt;"&amp;Conciliacao!BG544+1,df_extratos!G:G,"CREDITO")
+SUMIFS(df_extratos!I:I,df_extratos!F:F,"&gt;="&amp;Conciliacao!BH544,df_extratos!F:F,"&lt;"&amp;Conciliacao!BH544+1,df_extratos!G:G,"CREDITO")</f>
        <v/>
      </c>
      <c r="I544" s="9">
        <f>H544-SUM(B544:G544)</f>
        <v/>
      </c>
      <c r="J544" s="4">
        <f>SUMIFS(df_blueme_sem_parcelamento!E:E,df_blueme_sem_parcelamento!H:H,Conciliacao!A544)*(-1)</f>
        <v/>
      </c>
      <c r="K544" s="4">
        <f>SUMIFS(df_blueme_com_parcelamento!J:J,df_blueme_com_parcelamento!M:M,Conciliacao!A544)*(-1)</f>
        <v/>
      </c>
      <c r="L544" s="4">
        <f>SUMIFS(df_mutuos!N:N,df_mutuos!B:B,Conciliacao!A544)*(-1)</f>
        <v/>
      </c>
      <c r="M544" s="8">
        <f>SUMIFS(df_bloqueios_judiciais!G:G,df_bloqueios_judiciais!D:D,Conciliacao!A544,df_bloqueios_judiciais!G:G,"&lt;0")</f>
        <v/>
      </c>
      <c r="N544" s="10">
        <f>SUMIFS(df_extratos!I:I,df_extratos!F:F,"&gt;="&amp;Conciliacao!BE544,df_extratos!F:F,"&lt;"&amp;Conciliacao!BE544+1,df_extratos!G:G,"DEBITO")
+SUMIFS(df_extratos!I:I,df_extratos!F:F,"&gt;="&amp;Conciliacao!A544, df_extratos!F:F,"&lt;"&amp;Conciliacao!A544+1, df_extratos!G:G,"DEBITO")
+SUMIFS(df_extratos!I:I,df_extratos!F:F,"&gt;="&amp;Conciliacao!BF544,df_extratos!F:F,"&lt;"&amp;Conciliacao!BF544+1,df_extratos!G:G,"DEBITO")
+SUMIFS(df_extratos!I:I,df_extratos!F:F,"&gt;="&amp;Conciliacao!BG544,df_extratos!F:F,"&lt;"&amp;Conciliacao!BG544+1,df_extratos!G:G,"DEBITO")
+SUMIFS(df_extratos!I:I,df_extratos!F:F,"&gt;="&amp;Conciliacao!BH544,df_extratos!F:F,"&lt;"&amp;Conciliacao!BH544+1,df_extratos!G:G,"DEBITO")</f>
        <v/>
      </c>
      <c r="O544" s="11">
        <f>N544-SUM(J544:M544)</f>
        <v/>
      </c>
      <c r="P544" s="25">
        <f>SUMIFS(df_ajustes_conciliaco!D:D,df_ajustes_conciliaco!C:C,Conciliacao!A544)</f>
        <v/>
      </c>
      <c r="Q544" s="22">
        <f>O544+I544-P544</f>
        <v/>
      </c>
    </row>
    <row r="545">
      <c r="A545" s="5">
        <f>A544+1</f>
        <v/>
      </c>
      <c r="B545" s="3">
        <f>-SUMIFS(df_extrato_zig!G:G,df_extrato_zig!E:E,Conciliacao!A545,df_extrato_zig!D:D,"Saque")-SUMIFS(df_extrato_zig!G:G,df_extrato_zig!E:E,Conciliacao!A545,df_extrato_zig!D:D,"Antecipação")</f>
        <v/>
      </c>
      <c r="C545" s="3">
        <f>SUMIFS(df_extrato_zig!E:E,df_extrato_zig!L:L,Conciliacao!A545,df_extrato_zig!F:F,"DINHEIRO")</f>
        <v/>
      </c>
      <c r="D545" s="3">
        <f>SUMIFS(view_parc_agrup!H:H,view_parc_agrup!G:G,Conciliacao!A545)</f>
        <v/>
      </c>
      <c r="E545" s="3">
        <f>SUMIFS(df_eventos!F:F,df_eventos!H:H,Conciliacao!A545)</f>
        <v/>
      </c>
      <c r="F545" s="3">
        <f>SUMIFS(df_mutuos!M:M,df_mutuos!B:B,Conciliacao!A545)</f>
        <v/>
      </c>
      <c r="G545" s="6">
        <f>SUMIFS(df_bloqueios_judiciais!G:G,df_bloqueios_judiciais!D:D,Conciliacao!A545,df_bloqueios_judiciais!G:G,"&gt;0")</f>
        <v/>
      </c>
      <c r="H545" s="7">
        <f>SUMIFS(df_extratos!I:I,df_extratos!F:F,"&gt;="&amp;Conciliacao!BE545,df_extratos!F:F,"&lt;"&amp;Conciliacao!BE545+1,df_extratos!G:G,"CREDITO")
+SUMIFS(df_extratos!I:I,df_extratos!F:F,"&gt;="&amp;Conciliacao!A545, df_extratos!F:F,"&lt;"&amp;Conciliacao!A545+1, df_extratos!G:G,"CREDITO")
+SUMIFS(df_extratos!I:I,df_extratos!F:F,"&gt;="&amp;Conciliacao!BF545,df_extratos!F:F,"&lt;"&amp;Conciliacao!BF545+1,df_extratos!G:G,"CREDITO")
+SUMIFS(df_extratos!I:I,df_extratos!F:F,"&gt;="&amp;Conciliacao!BG545,df_extratos!F:F,"&lt;"&amp;Conciliacao!BG545+1,df_extratos!G:G,"CREDITO")
+SUMIFS(df_extratos!I:I,df_extratos!F:F,"&gt;="&amp;Conciliacao!BH545,df_extratos!F:F,"&lt;"&amp;Conciliacao!BH545+1,df_extratos!G:G,"CREDITO")</f>
        <v/>
      </c>
      <c r="I545" s="9">
        <f>H545-SUM(B545:G545)</f>
        <v/>
      </c>
      <c r="J545" s="4">
        <f>SUMIFS(df_blueme_sem_parcelamento!E:E,df_blueme_sem_parcelamento!H:H,Conciliacao!A545)*(-1)</f>
        <v/>
      </c>
      <c r="K545" s="4">
        <f>SUMIFS(df_blueme_com_parcelamento!J:J,df_blueme_com_parcelamento!M:M,Conciliacao!A545)*(-1)</f>
        <v/>
      </c>
      <c r="L545" s="4">
        <f>SUMIFS(df_mutuos!N:N,df_mutuos!B:B,Conciliacao!A545)*(-1)</f>
        <v/>
      </c>
      <c r="M545" s="8">
        <f>SUMIFS(df_bloqueios_judiciais!G:G,df_bloqueios_judiciais!D:D,Conciliacao!A545,df_bloqueios_judiciais!G:G,"&lt;0")</f>
        <v/>
      </c>
      <c r="N545" s="10">
        <f>SUMIFS(df_extratos!I:I,df_extratos!F:F,"&gt;="&amp;Conciliacao!BE545,df_extratos!F:F,"&lt;"&amp;Conciliacao!BE545+1,df_extratos!G:G,"DEBITO")
+SUMIFS(df_extratos!I:I,df_extratos!F:F,"&gt;="&amp;Conciliacao!A545, df_extratos!F:F,"&lt;"&amp;Conciliacao!A545+1, df_extratos!G:G,"DEBITO")
+SUMIFS(df_extratos!I:I,df_extratos!F:F,"&gt;="&amp;Conciliacao!BF545,df_extratos!F:F,"&lt;"&amp;Conciliacao!BF545+1,df_extratos!G:G,"DEBITO")
+SUMIFS(df_extratos!I:I,df_extratos!F:F,"&gt;="&amp;Conciliacao!BG545,df_extratos!F:F,"&lt;"&amp;Conciliacao!BG545+1,df_extratos!G:G,"DEBITO")
+SUMIFS(df_extratos!I:I,df_extratos!F:F,"&gt;="&amp;Conciliacao!BH545,df_extratos!F:F,"&lt;"&amp;Conciliacao!BH545+1,df_extratos!G:G,"DEBITO")</f>
        <v/>
      </c>
      <c r="O545" s="11">
        <f>N545-SUM(J545:M545)</f>
        <v/>
      </c>
      <c r="P545" s="25">
        <f>SUMIFS(df_ajustes_conciliaco!D:D,df_ajustes_conciliaco!C:C,Conciliacao!A545)</f>
        <v/>
      </c>
      <c r="Q545" s="22">
        <f>O545+I545-P545</f>
        <v/>
      </c>
    </row>
    <row r="546">
      <c r="A546" s="5">
        <f>A545+1</f>
        <v/>
      </c>
      <c r="B546" s="3">
        <f>-SUMIFS(df_extrato_zig!G:G,df_extrato_zig!E:E,Conciliacao!A546,df_extrato_zig!D:D,"Saque")-SUMIFS(df_extrato_zig!G:G,df_extrato_zig!E:E,Conciliacao!A546,df_extrato_zig!D:D,"Antecipação")</f>
        <v/>
      </c>
      <c r="C546" s="3">
        <f>SUMIFS(df_extrato_zig!E:E,df_extrato_zig!L:L,Conciliacao!A546,df_extrato_zig!F:F,"DINHEIRO")</f>
        <v/>
      </c>
      <c r="D546" s="3">
        <f>SUMIFS(view_parc_agrup!H:H,view_parc_agrup!G:G,Conciliacao!A546)</f>
        <v/>
      </c>
      <c r="E546" s="3">
        <f>SUMIFS(df_eventos!F:F,df_eventos!H:H,Conciliacao!A546)</f>
        <v/>
      </c>
      <c r="F546" s="3">
        <f>SUMIFS(df_mutuos!M:M,df_mutuos!B:B,Conciliacao!A546)</f>
        <v/>
      </c>
      <c r="G546" s="6">
        <f>SUMIFS(df_bloqueios_judiciais!G:G,df_bloqueios_judiciais!D:D,Conciliacao!A546,df_bloqueios_judiciais!G:G,"&gt;0")</f>
        <v/>
      </c>
      <c r="H546" s="7">
        <f>SUMIFS(df_extratos!I:I,df_extratos!F:F,"&gt;="&amp;Conciliacao!BE546,df_extratos!F:F,"&lt;"&amp;Conciliacao!BE546+1,df_extratos!G:G,"CREDITO")
+SUMIFS(df_extratos!I:I,df_extratos!F:F,"&gt;="&amp;Conciliacao!A546, df_extratos!F:F,"&lt;"&amp;Conciliacao!A546+1, df_extratos!G:G,"CREDITO")
+SUMIFS(df_extratos!I:I,df_extratos!F:F,"&gt;="&amp;Conciliacao!BF546,df_extratos!F:F,"&lt;"&amp;Conciliacao!BF546+1,df_extratos!G:G,"CREDITO")
+SUMIFS(df_extratos!I:I,df_extratos!F:F,"&gt;="&amp;Conciliacao!BG546,df_extratos!F:F,"&lt;"&amp;Conciliacao!BG546+1,df_extratos!G:G,"CREDITO")
+SUMIFS(df_extratos!I:I,df_extratos!F:F,"&gt;="&amp;Conciliacao!BH546,df_extratos!F:F,"&lt;"&amp;Conciliacao!BH546+1,df_extratos!G:G,"CREDITO")</f>
        <v/>
      </c>
      <c r="I546" s="9">
        <f>H546-SUM(B546:G546)</f>
        <v/>
      </c>
      <c r="J546" s="4">
        <f>SUMIFS(df_blueme_sem_parcelamento!E:E,df_blueme_sem_parcelamento!H:H,Conciliacao!A546)*(-1)</f>
        <v/>
      </c>
      <c r="K546" s="4">
        <f>SUMIFS(df_blueme_com_parcelamento!J:J,df_blueme_com_parcelamento!M:M,Conciliacao!A546)*(-1)</f>
        <v/>
      </c>
      <c r="L546" s="4">
        <f>SUMIFS(df_mutuos!N:N,df_mutuos!B:B,Conciliacao!A546)*(-1)</f>
        <v/>
      </c>
      <c r="M546" s="8">
        <f>SUMIFS(df_bloqueios_judiciais!G:G,df_bloqueios_judiciais!D:D,Conciliacao!A546,df_bloqueios_judiciais!G:G,"&lt;0")</f>
        <v/>
      </c>
      <c r="N546" s="10">
        <f>SUMIFS(df_extratos!I:I,df_extratos!F:F,"&gt;="&amp;Conciliacao!BE546,df_extratos!F:F,"&lt;"&amp;Conciliacao!BE546+1,df_extratos!G:G,"DEBITO")
+SUMIFS(df_extratos!I:I,df_extratos!F:F,"&gt;="&amp;Conciliacao!A546, df_extratos!F:F,"&lt;"&amp;Conciliacao!A546+1, df_extratos!G:G,"DEBITO")
+SUMIFS(df_extratos!I:I,df_extratos!F:F,"&gt;="&amp;Conciliacao!BF546,df_extratos!F:F,"&lt;"&amp;Conciliacao!BF546+1,df_extratos!G:G,"DEBITO")
+SUMIFS(df_extratos!I:I,df_extratos!F:F,"&gt;="&amp;Conciliacao!BG546,df_extratos!F:F,"&lt;"&amp;Conciliacao!BG546+1,df_extratos!G:G,"DEBITO")
+SUMIFS(df_extratos!I:I,df_extratos!F:F,"&gt;="&amp;Conciliacao!BH546,df_extratos!F:F,"&lt;"&amp;Conciliacao!BH546+1,df_extratos!G:G,"DEBITO")</f>
        <v/>
      </c>
      <c r="O546" s="11">
        <f>N546-SUM(J546:M546)</f>
        <v/>
      </c>
      <c r="P546" s="25">
        <f>SUMIFS(df_ajustes_conciliaco!D:D,df_ajustes_conciliaco!C:C,Conciliacao!A546)</f>
        <v/>
      </c>
      <c r="Q546" s="22">
        <f>O546+I546-P546</f>
        <v/>
      </c>
    </row>
    <row r="547">
      <c r="A547" s="5">
        <f>A546+1</f>
        <v/>
      </c>
      <c r="B547" s="3">
        <f>-SUMIFS(df_extrato_zig!G:G,df_extrato_zig!E:E,Conciliacao!A547,df_extrato_zig!D:D,"Saque")-SUMIFS(df_extrato_zig!G:G,df_extrato_zig!E:E,Conciliacao!A547,df_extrato_zig!D:D,"Antecipação")</f>
        <v/>
      </c>
      <c r="C547" s="3">
        <f>SUMIFS(df_extrato_zig!E:E,df_extrato_zig!L:L,Conciliacao!A547,df_extrato_zig!F:F,"DINHEIRO")</f>
        <v/>
      </c>
      <c r="D547" s="3">
        <f>SUMIFS(view_parc_agrup!H:H,view_parc_agrup!G:G,Conciliacao!A547)</f>
        <v/>
      </c>
      <c r="E547" s="3">
        <f>SUMIFS(df_eventos!F:F,df_eventos!H:H,Conciliacao!A547)</f>
        <v/>
      </c>
      <c r="F547" s="3">
        <f>SUMIFS(df_mutuos!M:M,df_mutuos!B:B,Conciliacao!A547)</f>
        <v/>
      </c>
      <c r="G547" s="6">
        <f>SUMIFS(df_bloqueios_judiciais!G:G,df_bloqueios_judiciais!D:D,Conciliacao!A547,df_bloqueios_judiciais!G:G,"&gt;0")</f>
        <v/>
      </c>
      <c r="H547" s="7">
        <f>SUMIFS(df_extratos!I:I,df_extratos!F:F,"&gt;="&amp;Conciliacao!BE547,df_extratos!F:F,"&lt;"&amp;Conciliacao!BE547+1,df_extratos!G:G,"CREDITO")
+SUMIFS(df_extratos!I:I,df_extratos!F:F,"&gt;="&amp;Conciliacao!A547, df_extratos!F:F,"&lt;"&amp;Conciliacao!A547+1, df_extratos!G:G,"CREDITO")
+SUMIFS(df_extratos!I:I,df_extratos!F:F,"&gt;="&amp;Conciliacao!BF547,df_extratos!F:F,"&lt;"&amp;Conciliacao!BF547+1,df_extratos!G:G,"CREDITO")
+SUMIFS(df_extratos!I:I,df_extratos!F:F,"&gt;="&amp;Conciliacao!BG547,df_extratos!F:F,"&lt;"&amp;Conciliacao!BG547+1,df_extratos!G:G,"CREDITO")
+SUMIFS(df_extratos!I:I,df_extratos!F:F,"&gt;="&amp;Conciliacao!BH547,df_extratos!F:F,"&lt;"&amp;Conciliacao!BH547+1,df_extratos!G:G,"CREDITO")</f>
        <v/>
      </c>
      <c r="I547" s="9">
        <f>H547-SUM(B547:G547)</f>
        <v/>
      </c>
      <c r="J547" s="4">
        <f>SUMIFS(df_blueme_sem_parcelamento!E:E,df_blueme_sem_parcelamento!H:H,Conciliacao!A547)*(-1)</f>
        <v/>
      </c>
      <c r="K547" s="4">
        <f>SUMIFS(df_blueme_com_parcelamento!J:J,df_blueme_com_parcelamento!M:M,Conciliacao!A547)*(-1)</f>
        <v/>
      </c>
      <c r="L547" s="4">
        <f>SUMIFS(df_mutuos!N:N,df_mutuos!B:B,Conciliacao!A547)*(-1)</f>
        <v/>
      </c>
      <c r="M547" s="8">
        <f>SUMIFS(df_bloqueios_judiciais!G:G,df_bloqueios_judiciais!D:D,Conciliacao!A547,df_bloqueios_judiciais!G:G,"&lt;0")</f>
        <v/>
      </c>
      <c r="N547" s="10">
        <f>SUMIFS(df_extratos!I:I,df_extratos!F:F,"&gt;="&amp;Conciliacao!BE547,df_extratos!F:F,"&lt;"&amp;Conciliacao!BE547+1,df_extratos!G:G,"DEBITO")
+SUMIFS(df_extratos!I:I,df_extratos!F:F,"&gt;="&amp;Conciliacao!A547, df_extratos!F:F,"&lt;"&amp;Conciliacao!A547+1, df_extratos!G:G,"DEBITO")
+SUMIFS(df_extratos!I:I,df_extratos!F:F,"&gt;="&amp;Conciliacao!BF547,df_extratos!F:F,"&lt;"&amp;Conciliacao!BF547+1,df_extratos!G:G,"DEBITO")
+SUMIFS(df_extratos!I:I,df_extratos!F:F,"&gt;="&amp;Conciliacao!BG547,df_extratos!F:F,"&lt;"&amp;Conciliacao!BG547+1,df_extratos!G:G,"DEBITO")
+SUMIFS(df_extratos!I:I,df_extratos!F:F,"&gt;="&amp;Conciliacao!BH547,df_extratos!F:F,"&lt;"&amp;Conciliacao!BH547+1,df_extratos!G:G,"DEBITO")</f>
        <v/>
      </c>
      <c r="O547" s="11">
        <f>N547-SUM(J547:M547)</f>
        <v/>
      </c>
      <c r="P547" s="25">
        <f>SUMIFS(df_ajustes_conciliaco!D:D,df_ajustes_conciliaco!C:C,Conciliacao!A547)</f>
        <v/>
      </c>
      <c r="Q547" s="22">
        <f>O547+I547-P547</f>
        <v/>
      </c>
    </row>
    <row r="548">
      <c r="A548" s="5">
        <f>A547+1</f>
        <v/>
      </c>
      <c r="B548" s="3">
        <f>-SUMIFS(df_extrato_zig!G:G,df_extrato_zig!E:E,Conciliacao!A548,df_extrato_zig!D:D,"Saque")-SUMIFS(df_extrato_zig!G:G,df_extrato_zig!E:E,Conciliacao!A548,df_extrato_zig!D:D,"Antecipação")</f>
        <v/>
      </c>
      <c r="C548" s="3">
        <f>SUMIFS(df_extrato_zig!E:E,df_extrato_zig!L:L,Conciliacao!A548,df_extrato_zig!F:F,"DINHEIRO")</f>
        <v/>
      </c>
      <c r="D548" s="3">
        <f>SUMIFS(view_parc_agrup!H:H,view_parc_agrup!G:G,Conciliacao!A548)</f>
        <v/>
      </c>
      <c r="E548" s="3">
        <f>SUMIFS(df_eventos!F:F,df_eventos!H:H,Conciliacao!A548)</f>
        <v/>
      </c>
      <c r="F548" s="3">
        <f>SUMIFS(df_mutuos!M:M,df_mutuos!B:B,Conciliacao!A548)</f>
        <v/>
      </c>
      <c r="G548" s="6">
        <f>SUMIFS(df_bloqueios_judiciais!G:G,df_bloqueios_judiciais!D:D,Conciliacao!A548,df_bloqueios_judiciais!G:G,"&gt;0")</f>
        <v/>
      </c>
      <c r="H548" s="7">
        <f>SUMIFS(df_extratos!I:I,df_extratos!F:F,"&gt;="&amp;Conciliacao!BE548,df_extratos!F:F,"&lt;"&amp;Conciliacao!BE548+1,df_extratos!G:G,"CREDITO")
+SUMIFS(df_extratos!I:I,df_extratos!F:F,"&gt;="&amp;Conciliacao!A548, df_extratos!F:F,"&lt;"&amp;Conciliacao!A548+1, df_extratos!G:G,"CREDITO")
+SUMIFS(df_extratos!I:I,df_extratos!F:F,"&gt;="&amp;Conciliacao!BF548,df_extratos!F:F,"&lt;"&amp;Conciliacao!BF548+1,df_extratos!G:G,"CREDITO")
+SUMIFS(df_extratos!I:I,df_extratos!F:F,"&gt;="&amp;Conciliacao!BG548,df_extratos!F:F,"&lt;"&amp;Conciliacao!BG548+1,df_extratos!G:G,"CREDITO")
+SUMIFS(df_extratos!I:I,df_extratos!F:F,"&gt;="&amp;Conciliacao!BH548,df_extratos!F:F,"&lt;"&amp;Conciliacao!BH548+1,df_extratos!G:G,"CREDITO")</f>
        <v/>
      </c>
      <c r="I548" s="9">
        <f>H548-SUM(B548:G548)</f>
        <v/>
      </c>
      <c r="J548" s="4">
        <f>SUMIFS(df_blueme_sem_parcelamento!E:E,df_blueme_sem_parcelamento!H:H,Conciliacao!A548)*(-1)</f>
        <v/>
      </c>
      <c r="K548" s="4">
        <f>SUMIFS(df_blueme_com_parcelamento!J:J,df_blueme_com_parcelamento!M:M,Conciliacao!A548)*(-1)</f>
        <v/>
      </c>
      <c r="L548" s="4">
        <f>SUMIFS(df_mutuos!N:N,df_mutuos!B:B,Conciliacao!A548)*(-1)</f>
        <v/>
      </c>
      <c r="M548" s="8">
        <f>SUMIFS(df_bloqueios_judiciais!G:G,df_bloqueios_judiciais!D:D,Conciliacao!A548,df_bloqueios_judiciais!G:G,"&lt;0")</f>
        <v/>
      </c>
      <c r="N548" s="10">
        <f>SUMIFS(df_extratos!I:I,df_extratos!F:F,"&gt;="&amp;Conciliacao!BE548,df_extratos!F:F,"&lt;"&amp;Conciliacao!BE548+1,df_extratos!G:G,"DEBITO")
+SUMIFS(df_extratos!I:I,df_extratos!F:F,"&gt;="&amp;Conciliacao!A548, df_extratos!F:F,"&lt;"&amp;Conciliacao!A548+1, df_extratos!G:G,"DEBITO")
+SUMIFS(df_extratos!I:I,df_extratos!F:F,"&gt;="&amp;Conciliacao!BF548,df_extratos!F:F,"&lt;"&amp;Conciliacao!BF548+1,df_extratos!G:G,"DEBITO")
+SUMIFS(df_extratos!I:I,df_extratos!F:F,"&gt;="&amp;Conciliacao!BG548,df_extratos!F:F,"&lt;"&amp;Conciliacao!BG548+1,df_extratos!G:G,"DEBITO")
+SUMIFS(df_extratos!I:I,df_extratos!F:F,"&gt;="&amp;Conciliacao!BH548,df_extratos!F:F,"&lt;"&amp;Conciliacao!BH548+1,df_extratos!G:G,"DEBITO")</f>
        <v/>
      </c>
      <c r="O548" s="11">
        <f>N548-SUM(J548:M548)</f>
        <v/>
      </c>
      <c r="P548" s="25">
        <f>SUMIFS(df_ajustes_conciliaco!D:D,df_ajustes_conciliaco!C:C,Conciliacao!A548)</f>
        <v/>
      </c>
      <c r="Q548" s="22">
        <f>O548+I548-P548</f>
        <v/>
      </c>
    </row>
    <row r="549">
      <c r="A549" s="5">
        <f>A548+1</f>
        <v/>
      </c>
      <c r="B549" s="3">
        <f>-SUMIFS(df_extrato_zig!G:G,df_extrato_zig!E:E,Conciliacao!A549,df_extrato_zig!D:D,"Saque")-SUMIFS(df_extrato_zig!G:G,df_extrato_zig!E:E,Conciliacao!A549,df_extrato_zig!D:D,"Antecipação")</f>
        <v/>
      </c>
      <c r="C549" s="3">
        <f>SUMIFS(df_extrato_zig!E:E,df_extrato_zig!L:L,Conciliacao!A549,df_extrato_zig!F:F,"DINHEIRO")</f>
        <v/>
      </c>
      <c r="D549" s="3">
        <f>SUMIFS(view_parc_agrup!H:H,view_parc_agrup!G:G,Conciliacao!A549)</f>
        <v/>
      </c>
      <c r="E549" s="3">
        <f>SUMIFS(df_eventos!F:F,df_eventos!H:H,Conciliacao!A549)</f>
        <v/>
      </c>
      <c r="F549" s="3">
        <f>SUMIFS(df_mutuos!M:M,df_mutuos!B:B,Conciliacao!A549)</f>
        <v/>
      </c>
      <c r="G549" s="6">
        <f>SUMIFS(df_bloqueios_judiciais!G:G,df_bloqueios_judiciais!D:D,Conciliacao!A549,df_bloqueios_judiciais!G:G,"&gt;0")</f>
        <v/>
      </c>
      <c r="H549" s="7">
        <f>SUMIFS(df_extratos!I:I,df_extratos!F:F,"&gt;="&amp;Conciliacao!BE549,df_extratos!F:F,"&lt;"&amp;Conciliacao!BE549+1,df_extratos!G:G,"CREDITO")
+SUMIFS(df_extratos!I:I,df_extratos!F:F,"&gt;="&amp;Conciliacao!A549, df_extratos!F:F,"&lt;"&amp;Conciliacao!A549+1, df_extratos!G:G,"CREDITO")
+SUMIFS(df_extratos!I:I,df_extratos!F:F,"&gt;="&amp;Conciliacao!BF549,df_extratos!F:F,"&lt;"&amp;Conciliacao!BF549+1,df_extratos!G:G,"CREDITO")
+SUMIFS(df_extratos!I:I,df_extratos!F:F,"&gt;="&amp;Conciliacao!BG549,df_extratos!F:F,"&lt;"&amp;Conciliacao!BG549+1,df_extratos!G:G,"CREDITO")
+SUMIFS(df_extratos!I:I,df_extratos!F:F,"&gt;="&amp;Conciliacao!BH549,df_extratos!F:F,"&lt;"&amp;Conciliacao!BH549+1,df_extratos!G:G,"CREDITO")</f>
        <v/>
      </c>
      <c r="I549" s="9">
        <f>H549-SUM(B549:G549)</f>
        <v/>
      </c>
      <c r="J549" s="4">
        <f>SUMIFS(df_blueme_sem_parcelamento!E:E,df_blueme_sem_parcelamento!H:H,Conciliacao!A549)*(-1)</f>
        <v/>
      </c>
      <c r="K549" s="4">
        <f>SUMIFS(df_blueme_com_parcelamento!J:J,df_blueme_com_parcelamento!M:M,Conciliacao!A549)*(-1)</f>
        <v/>
      </c>
      <c r="L549" s="4">
        <f>SUMIFS(df_mutuos!N:N,df_mutuos!B:B,Conciliacao!A549)*(-1)</f>
        <v/>
      </c>
      <c r="M549" s="8">
        <f>SUMIFS(df_bloqueios_judiciais!G:G,df_bloqueios_judiciais!D:D,Conciliacao!A549,df_bloqueios_judiciais!G:G,"&lt;0")</f>
        <v/>
      </c>
      <c r="N549" s="10">
        <f>SUMIFS(df_extratos!I:I,df_extratos!F:F,"&gt;="&amp;Conciliacao!BE549,df_extratos!F:F,"&lt;"&amp;Conciliacao!BE549+1,df_extratos!G:G,"DEBITO")
+SUMIFS(df_extratos!I:I,df_extratos!F:F,"&gt;="&amp;Conciliacao!A549, df_extratos!F:F,"&lt;"&amp;Conciliacao!A549+1, df_extratos!G:G,"DEBITO")
+SUMIFS(df_extratos!I:I,df_extratos!F:F,"&gt;="&amp;Conciliacao!BF549,df_extratos!F:F,"&lt;"&amp;Conciliacao!BF549+1,df_extratos!G:G,"DEBITO")
+SUMIFS(df_extratos!I:I,df_extratos!F:F,"&gt;="&amp;Conciliacao!BG549,df_extratos!F:F,"&lt;"&amp;Conciliacao!BG549+1,df_extratos!G:G,"DEBITO")
+SUMIFS(df_extratos!I:I,df_extratos!F:F,"&gt;="&amp;Conciliacao!BH549,df_extratos!F:F,"&lt;"&amp;Conciliacao!BH549+1,df_extratos!G:G,"DEBITO")</f>
        <v/>
      </c>
      <c r="O549" s="11">
        <f>N549-SUM(J549:M549)</f>
        <v/>
      </c>
      <c r="P549" s="25">
        <f>SUMIFS(df_ajustes_conciliaco!D:D,df_ajustes_conciliaco!C:C,Conciliacao!A549)</f>
        <v/>
      </c>
      <c r="Q549" s="22">
        <f>O549+I549-P549</f>
        <v/>
      </c>
    </row>
    <row r="550">
      <c r="A550" s="5">
        <f>A549+1</f>
        <v/>
      </c>
      <c r="B550" s="3">
        <f>-SUMIFS(df_extrato_zig!G:G,df_extrato_zig!E:E,Conciliacao!A550,df_extrato_zig!D:D,"Saque")-SUMIFS(df_extrato_zig!G:G,df_extrato_zig!E:E,Conciliacao!A550,df_extrato_zig!D:D,"Antecipação")</f>
        <v/>
      </c>
      <c r="C550" s="3">
        <f>SUMIFS(df_extrato_zig!E:E,df_extrato_zig!L:L,Conciliacao!A550,df_extrato_zig!F:F,"DINHEIRO")</f>
        <v/>
      </c>
      <c r="D550" s="3">
        <f>SUMIFS(view_parc_agrup!H:H,view_parc_agrup!G:G,Conciliacao!A550)</f>
        <v/>
      </c>
      <c r="E550" s="3">
        <f>SUMIFS(df_eventos!F:F,df_eventos!H:H,Conciliacao!A550)</f>
        <v/>
      </c>
      <c r="F550" s="3">
        <f>SUMIFS(df_mutuos!M:M,df_mutuos!B:B,Conciliacao!A550)</f>
        <v/>
      </c>
      <c r="G550" s="6">
        <f>SUMIFS(df_bloqueios_judiciais!G:G,df_bloqueios_judiciais!D:D,Conciliacao!A550,df_bloqueios_judiciais!G:G,"&gt;0")</f>
        <v/>
      </c>
      <c r="H550" s="7">
        <f>SUMIFS(df_extratos!I:I,df_extratos!F:F,"&gt;="&amp;Conciliacao!BE550,df_extratos!F:F,"&lt;"&amp;Conciliacao!BE550+1,df_extratos!G:G,"CREDITO")
+SUMIFS(df_extratos!I:I,df_extratos!F:F,"&gt;="&amp;Conciliacao!A550, df_extratos!F:F,"&lt;"&amp;Conciliacao!A550+1, df_extratos!G:G,"CREDITO")
+SUMIFS(df_extratos!I:I,df_extratos!F:F,"&gt;="&amp;Conciliacao!BF550,df_extratos!F:F,"&lt;"&amp;Conciliacao!BF550+1,df_extratos!G:G,"CREDITO")
+SUMIFS(df_extratos!I:I,df_extratos!F:F,"&gt;="&amp;Conciliacao!BG550,df_extratos!F:F,"&lt;"&amp;Conciliacao!BG550+1,df_extratos!G:G,"CREDITO")
+SUMIFS(df_extratos!I:I,df_extratos!F:F,"&gt;="&amp;Conciliacao!BH550,df_extratos!F:F,"&lt;"&amp;Conciliacao!BH550+1,df_extratos!G:G,"CREDITO")</f>
        <v/>
      </c>
      <c r="I550" s="9">
        <f>H550-SUM(B550:G550)</f>
        <v/>
      </c>
      <c r="J550" s="4">
        <f>SUMIFS(df_blueme_sem_parcelamento!E:E,df_blueme_sem_parcelamento!H:H,Conciliacao!A550)*(-1)</f>
        <v/>
      </c>
      <c r="K550" s="4">
        <f>SUMIFS(df_blueme_com_parcelamento!J:J,df_blueme_com_parcelamento!M:M,Conciliacao!A550)*(-1)</f>
        <v/>
      </c>
      <c r="L550" s="4">
        <f>SUMIFS(df_mutuos!N:N,df_mutuos!B:B,Conciliacao!A550)*(-1)</f>
        <v/>
      </c>
      <c r="M550" s="8">
        <f>SUMIFS(df_bloqueios_judiciais!G:G,df_bloqueios_judiciais!D:D,Conciliacao!A550,df_bloqueios_judiciais!G:G,"&lt;0")</f>
        <v/>
      </c>
      <c r="N550" s="10">
        <f>SUMIFS(df_extratos!I:I,df_extratos!F:F,"&gt;="&amp;Conciliacao!BE550,df_extratos!F:F,"&lt;"&amp;Conciliacao!BE550+1,df_extratos!G:G,"DEBITO")
+SUMIFS(df_extratos!I:I,df_extratos!F:F,"&gt;="&amp;Conciliacao!A550, df_extratos!F:F,"&lt;"&amp;Conciliacao!A550+1, df_extratos!G:G,"DEBITO")
+SUMIFS(df_extratos!I:I,df_extratos!F:F,"&gt;="&amp;Conciliacao!BF550,df_extratos!F:F,"&lt;"&amp;Conciliacao!BF550+1,df_extratos!G:G,"DEBITO")
+SUMIFS(df_extratos!I:I,df_extratos!F:F,"&gt;="&amp;Conciliacao!BG550,df_extratos!F:F,"&lt;"&amp;Conciliacao!BG550+1,df_extratos!G:G,"DEBITO")
+SUMIFS(df_extratos!I:I,df_extratos!F:F,"&gt;="&amp;Conciliacao!BH550,df_extratos!F:F,"&lt;"&amp;Conciliacao!BH550+1,df_extratos!G:G,"DEBITO")</f>
        <v/>
      </c>
      <c r="O550" s="11">
        <f>N550-SUM(J550:M550)</f>
        <v/>
      </c>
      <c r="P550" s="25">
        <f>SUMIFS(df_ajustes_conciliaco!D:D,df_ajustes_conciliaco!C:C,Conciliacao!A550)</f>
        <v/>
      </c>
      <c r="Q550" s="22">
        <f>O550+I550-P550</f>
        <v/>
      </c>
    </row>
    <row r="551">
      <c r="A551" s="5">
        <f>A550+1</f>
        <v/>
      </c>
      <c r="B551" s="3">
        <f>-SUMIFS(df_extrato_zig!G:G,df_extrato_zig!E:E,Conciliacao!A551,df_extrato_zig!D:D,"Saque")-SUMIFS(df_extrato_zig!G:G,df_extrato_zig!E:E,Conciliacao!A551,df_extrato_zig!D:D,"Antecipação")</f>
        <v/>
      </c>
      <c r="C551" s="3">
        <f>SUMIFS(df_extrato_zig!E:E,df_extrato_zig!L:L,Conciliacao!A551,df_extrato_zig!F:F,"DINHEIRO")</f>
        <v/>
      </c>
      <c r="D551" s="3">
        <f>SUMIFS(view_parc_agrup!H:H,view_parc_agrup!G:G,Conciliacao!A551)</f>
        <v/>
      </c>
      <c r="E551" s="3">
        <f>SUMIFS(df_eventos!F:F,df_eventos!H:H,Conciliacao!A551)</f>
        <v/>
      </c>
      <c r="F551" s="3">
        <f>SUMIFS(df_mutuos!M:M,df_mutuos!B:B,Conciliacao!A551)</f>
        <v/>
      </c>
      <c r="G551" s="6">
        <f>SUMIFS(df_bloqueios_judiciais!G:G,df_bloqueios_judiciais!D:D,Conciliacao!A551,df_bloqueios_judiciais!G:G,"&gt;0")</f>
        <v/>
      </c>
      <c r="H551" s="7">
        <f>SUMIFS(df_extratos!I:I,df_extratos!F:F,"&gt;="&amp;Conciliacao!BE551,df_extratos!F:F,"&lt;"&amp;Conciliacao!BE551+1,df_extratos!G:G,"CREDITO")
+SUMIFS(df_extratos!I:I,df_extratos!F:F,"&gt;="&amp;Conciliacao!A551, df_extratos!F:F,"&lt;"&amp;Conciliacao!A551+1, df_extratos!G:G,"CREDITO")
+SUMIFS(df_extratos!I:I,df_extratos!F:F,"&gt;="&amp;Conciliacao!BF551,df_extratos!F:F,"&lt;"&amp;Conciliacao!BF551+1,df_extratos!G:G,"CREDITO")
+SUMIFS(df_extratos!I:I,df_extratos!F:F,"&gt;="&amp;Conciliacao!BG551,df_extratos!F:F,"&lt;"&amp;Conciliacao!BG551+1,df_extratos!G:G,"CREDITO")
+SUMIFS(df_extratos!I:I,df_extratos!F:F,"&gt;="&amp;Conciliacao!BH551,df_extratos!F:F,"&lt;"&amp;Conciliacao!BH551+1,df_extratos!G:G,"CREDITO")</f>
        <v/>
      </c>
      <c r="I551" s="9">
        <f>H551-SUM(B551:G551)</f>
        <v/>
      </c>
      <c r="J551" s="4">
        <f>SUMIFS(df_blueme_sem_parcelamento!E:E,df_blueme_sem_parcelamento!H:H,Conciliacao!A551)*(-1)</f>
        <v/>
      </c>
      <c r="K551" s="4">
        <f>SUMIFS(df_blueme_com_parcelamento!J:J,df_blueme_com_parcelamento!M:M,Conciliacao!A551)*(-1)</f>
        <v/>
      </c>
      <c r="L551" s="4">
        <f>SUMIFS(df_mutuos!N:N,df_mutuos!B:B,Conciliacao!A551)*(-1)</f>
        <v/>
      </c>
      <c r="M551" s="8">
        <f>SUMIFS(df_bloqueios_judiciais!G:G,df_bloqueios_judiciais!D:D,Conciliacao!A551,df_bloqueios_judiciais!G:G,"&lt;0")</f>
        <v/>
      </c>
      <c r="N551" s="10">
        <f>SUMIFS(df_extratos!I:I,df_extratos!F:F,"&gt;="&amp;Conciliacao!BE551,df_extratos!F:F,"&lt;"&amp;Conciliacao!BE551+1,df_extratos!G:G,"DEBITO")
+SUMIFS(df_extratos!I:I,df_extratos!F:F,"&gt;="&amp;Conciliacao!A551, df_extratos!F:F,"&lt;"&amp;Conciliacao!A551+1, df_extratos!G:G,"DEBITO")
+SUMIFS(df_extratos!I:I,df_extratos!F:F,"&gt;="&amp;Conciliacao!BF551,df_extratos!F:F,"&lt;"&amp;Conciliacao!BF551+1,df_extratos!G:G,"DEBITO")
+SUMIFS(df_extratos!I:I,df_extratos!F:F,"&gt;="&amp;Conciliacao!BG551,df_extratos!F:F,"&lt;"&amp;Conciliacao!BG551+1,df_extratos!G:G,"DEBITO")
+SUMIFS(df_extratos!I:I,df_extratos!F:F,"&gt;="&amp;Conciliacao!BH551,df_extratos!F:F,"&lt;"&amp;Conciliacao!BH551+1,df_extratos!G:G,"DEBITO")</f>
        <v/>
      </c>
      <c r="O551" s="11">
        <f>N551-SUM(J551:M551)</f>
        <v/>
      </c>
      <c r="P551" s="25">
        <f>SUMIFS(df_ajustes_conciliaco!D:D,df_ajustes_conciliaco!C:C,Conciliacao!A551)</f>
        <v/>
      </c>
      <c r="Q551" s="22">
        <f>O551+I551-P551</f>
        <v/>
      </c>
    </row>
    <row r="552">
      <c r="A552" s="5">
        <f>A551+1</f>
        <v/>
      </c>
      <c r="B552" s="3">
        <f>-SUMIFS(df_extrato_zig!G:G,df_extrato_zig!E:E,Conciliacao!A552,df_extrato_zig!D:D,"Saque")-SUMIFS(df_extrato_zig!G:G,df_extrato_zig!E:E,Conciliacao!A552,df_extrato_zig!D:D,"Antecipação")</f>
        <v/>
      </c>
      <c r="C552" s="3">
        <f>SUMIFS(df_extrato_zig!E:E,df_extrato_zig!L:L,Conciliacao!A552,df_extrato_zig!F:F,"DINHEIRO")</f>
        <v/>
      </c>
      <c r="D552" s="3">
        <f>SUMIFS(view_parc_agrup!H:H,view_parc_agrup!G:G,Conciliacao!A552)</f>
        <v/>
      </c>
      <c r="E552" s="3">
        <f>SUMIFS(df_eventos!F:F,df_eventos!H:H,Conciliacao!A552)</f>
        <v/>
      </c>
      <c r="F552" s="3">
        <f>SUMIFS(df_mutuos!M:M,df_mutuos!B:B,Conciliacao!A552)</f>
        <v/>
      </c>
      <c r="G552" s="6">
        <f>SUMIFS(df_bloqueios_judiciais!G:G,df_bloqueios_judiciais!D:D,Conciliacao!A552,df_bloqueios_judiciais!G:G,"&gt;0")</f>
        <v/>
      </c>
      <c r="H552" s="7">
        <f>SUMIFS(df_extratos!I:I,df_extratos!F:F,"&gt;="&amp;Conciliacao!BE552,df_extratos!F:F,"&lt;"&amp;Conciliacao!BE552+1,df_extratos!G:G,"CREDITO")
+SUMIFS(df_extratos!I:I,df_extratos!F:F,"&gt;="&amp;Conciliacao!A552, df_extratos!F:F,"&lt;"&amp;Conciliacao!A552+1, df_extratos!G:G,"CREDITO")
+SUMIFS(df_extratos!I:I,df_extratos!F:F,"&gt;="&amp;Conciliacao!BF552,df_extratos!F:F,"&lt;"&amp;Conciliacao!BF552+1,df_extratos!G:G,"CREDITO")
+SUMIFS(df_extratos!I:I,df_extratos!F:F,"&gt;="&amp;Conciliacao!BG552,df_extratos!F:F,"&lt;"&amp;Conciliacao!BG552+1,df_extratos!G:G,"CREDITO")
+SUMIFS(df_extratos!I:I,df_extratos!F:F,"&gt;="&amp;Conciliacao!BH552,df_extratos!F:F,"&lt;"&amp;Conciliacao!BH552+1,df_extratos!G:G,"CREDITO")</f>
        <v/>
      </c>
      <c r="I552" s="9">
        <f>H552-SUM(B552:G552)</f>
        <v/>
      </c>
      <c r="J552" s="4">
        <f>SUMIFS(df_blueme_sem_parcelamento!E:E,df_blueme_sem_parcelamento!H:H,Conciliacao!A552)*(-1)</f>
        <v/>
      </c>
      <c r="K552" s="4">
        <f>SUMIFS(df_blueme_com_parcelamento!J:J,df_blueme_com_parcelamento!M:M,Conciliacao!A552)*(-1)</f>
        <v/>
      </c>
      <c r="L552" s="4">
        <f>SUMIFS(df_mutuos!N:N,df_mutuos!B:B,Conciliacao!A552)*(-1)</f>
        <v/>
      </c>
      <c r="M552" s="8">
        <f>SUMIFS(df_bloqueios_judiciais!G:G,df_bloqueios_judiciais!D:D,Conciliacao!A552,df_bloqueios_judiciais!G:G,"&lt;0")</f>
        <v/>
      </c>
      <c r="N552" s="10">
        <f>SUMIFS(df_extratos!I:I,df_extratos!F:F,"&gt;="&amp;Conciliacao!BE552,df_extratos!F:F,"&lt;"&amp;Conciliacao!BE552+1,df_extratos!G:G,"DEBITO")
+SUMIFS(df_extratos!I:I,df_extratos!F:F,"&gt;="&amp;Conciliacao!A552, df_extratos!F:F,"&lt;"&amp;Conciliacao!A552+1, df_extratos!G:G,"DEBITO")
+SUMIFS(df_extratos!I:I,df_extratos!F:F,"&gt;="&amp;Conciliacao!BF552,df_extratos!F:F,"&lt;"&amp;Conciliacao!BF552+1,df_extratos!G:G,"DEBITO")
+SUMIFS(df_extratos!I:I,df_extratos!F:F,"&gt;="&amp;Conciliacao!BG552,df_extratos!F:F,"&lt;"&amp;Conciliacao!BG552+1,df_extratos!G:G,"DEBITO")
+SUMIFS(df_extratos!I:I,df_extratos!F:F,"&gt;="&amp;Conciliacao!BH552,df_extratos!F:F,"&lt;"&amp;Conciliacao!BH552+1,df_extratos!G:G,"DEBITO")</f>
        <v/>
      </c>
      <c r="O552" s="11">
        <f>N552-SUM(J552:M552)</f>
        <v/>
      </c>
      <c r="P552" s="25">
        <f>SUMIFS(df_ajustes_conciliaco!D:D,df_ajustes_conciliaco!C:C,Conciliacao!A552)</f>
        <v/>
      </c>
      <c r="Q552" s="22">
        <f>O552+I552-P552</f>
        <v/>
      </c>
    </row>
    <row r="553">
      <c r="A553" s="5">
        <f>A552+1</f>
        <v/>
      </c>
      <c r="B553" s="3">
        <f>-SUMIFS(df_extrato_zig!G:G,df_extrato_zig!E:E,Conciliacao!A553,df_extrato_zig!D:D,"Saque")-SUMIFS(df_extrato_zig!G:G,df_extrato_zig!E:E,Conciliacao!A553,df_extrato_zig!D:D,"Antecipação")</f>
        <v/>
      </c>
      <c r="C553" s="3">
        <f>SUMIFS(df_extrato_zig!E:E,df_extrato_zig!L:L,Conciliacao!A553,df_extrato_zig!F:F,"DINHEIRO")</f>
        <v/>
      </c>
      <c r="D553" s="3">
        <f>SUMIFS(view_parc_agrup!H:H,view_parc_agrup!G:G,Conciliacao!A553)</f>
        <v/>
      </c>
      <c r="E553" s="3">
        <f>SUMIFS(df_eventos!F:F,df_eventos!H:H,Conciliacao!A553)</f>
        <v/>
      </c>
      <c r="F553" s="3">
        <f>SUMIFS(df_mutuos!M:M,df_mutuos!B:B,Conciliacao!A553)</f>
        <v/>
      </c>
      <c r="G553" s="6">
        <f>SUMIFS(df_bloqueios_judiciais!G:G,df_bloqueios_judiciais!D:D,Conciliacao!A553,df_bloqueios_judiciais!G:G,"&gt;0")</f>
        <v/>
      </c>
      <c r="H553" s="7">
        <f>SUMIFS(df_extratos!I:I,df_extratos!F:F,"&gt;="&amp;Conciliacao!BE553,df_extratos!F:F,"&lt;"&amp;Conciliacao!BE553+1,df_extratos!G:G,"CREDITO")
+SUMIFS(df_extratos!I:I,df_extratos!F:F,"&gt;="&amp;Conciliacao!A553, df_extratos!F:F,"&lt;"&amp;Conciliacao!A553+1, df_extratos!G:G,"CREDITO")
+SUMIFS(df_extratos!I:I,df_extratos!F:F,"&gt;="&amp;Conciliacao!BF553,df_extratos!F:F,"&lt;"&amp;Conciliacao!BF553+1,df_extratos!G:G,"CREDITO")
+SUMIFS(df_extratos!I:I,df_extratos!F:F,"&gt;="&amp;Conciliacao!BG553,df_extratos!F:F,"&lt;"&amp;Conciliacao!BG553+1,df_extratos!G:G,"CREDITO")
+SUMIFS(df_extratos!I:I,df_extratos!F:F,"&gt;="&amp;Conciliacao!BH553,df_extratos!F:F,"&lt;"&amp;Conciliacao!BH553+1,df_extratos!G:G,"CREDITO")</f>
        <v/>
      </c>
      <c r="I553" s="9">
        <f>H553-SUM(B553:G553)</f>
        <v/>
      </c>
      <c r="J553" s="4">
        <f>SUMIFS(df_blueme_sem_parcelamento!E:E,df_blueme_sem_parcelamento!H:H,Conciliacao!A553)*(-1)</f>
        <v/>
      </c>
      <c r="K553" s="4">
        <f>SUMIFS(df_blueme_com_parcelamento!J:J,df_blueme_com_parcelamento!M:M,Conciliacao!A553)*(-1)</f>
        <v/>
      </c>
      <c r="L553" s="4">
        <f>SUMIFS(df_mutuos!N:N,df_mutuos!B:B,Conciliacao!A553)*(-1)</f>
        <v/>
      </c>
      <c r="M553" s="8">
        <f>SUMIFS(df_bloqueios_judiciais!G:G,df_bloqueios_judiciais!D:D,Conciliacao!A553,df_bloqueios_judiciais!G:G,"&lt;0")</f>
        <v/>
      </c>
      <c r="N553" s="10">
        <f>SUMIFS(df_extratos!I:I,df_extratos!F:F,"&gt;="&amp;Conciliacao!BE553,df_extratos!F:F,"&lt;"&amp;Conciliacao!BE553+1,df_extratos!G:G,"DEBITO")
+SUMIFS(df_extratos!I:I,df_extratos!F:F,"&gt;="&amp;Conciliacao!A553, df_extratos!F:F,"&lt;"&amp;Conciliacao!A553+1, df_extratos!G:G,"DEBITO")
+SUMIFS(df_extratos!I:I,df_extratos!F:F,"&gt;="&amp;Conciliacao!BF553,df_extratos!F:F,"&lt;"&amp;Conciliacao!BF553+1,df_extratos!G:G,"DEBITO")
+SUMIFS(df_extratos!I:I,df_extratos!F:F,"&gt;="&amp;Conciliacao!BG553,df_extratos!F:F,"&lt;"&amp;Conciliacao!BG553+1,df_extratos!G:G,"DEBITO")
+SUMIFS(df_extratos!I:I,df_extratos!F:F,"&gt;="&amp;Conciliacao!BH553,df_extratos!F:F,"&lt;"&amp;Conciliacao!BH553+1,df_extratos!G:G,"DEBITO")</f>
        <v/>
      </c>
      <c r="O553" s="11">
        <f>N553-SUM(J553:M553)</f>
        <v/>
      </c>
      <c r="P553" s="25">
        <f>SUMIFS(df_ajustes_conciliaco!D:D,df_ajustes_conciliaco!C:C,Conciliacao!A553)</f>
        <v/>
      </c>
      <c r="Q553" s="22">
        <f>O553+I553-P553</f>
        <v/>
      </c>
    </row>
    <row r="554">
      <c r="A554" s="5">
        <f>A553+1</f>
        <v/>
      </c>
      <c r="B554" s="3">
        <f>-SUMIFS(df_extrato_zig!G:G,df_extrato_zig!E:E,Conciliacao!A554,df_extrato_zig!D:D,"Saque")-SUMIFS(df_extrato_zig!G:G,df_extrato_zig!E:E,Conciliacao!A554,df_extrato_zig!D:D,"Antecipação")</f>
        <v/>
      </c>
      <c r="C554" s="3">
        <f>SUMIFS(df_extrato_zig!E:E,df_extrato_zig!L:L,Conciliacao!A554,df_extrato_zig!F:F,"DINHEIRO")</f>
        <v/>
      </c>
      <c r="D554" s="3">
        <f>SUMIFS(view_parc_agrup!H:H,view_parc_agrup!G:G,Conciliacao!A554)</f>
        <v/>
      </c>
      <c r="E554" s="3">
        <f>SUMIFS(df_eventos!F:F,df_eventos!H:H,Conciliacao!A554)</f>
        <v/>
      </c>
      <c r="F554" s="3">
        <f>SUMIFS(df_mutuos!M:M,df_mutuos!B:B,Conciliacao!A554)</f>
        <v/>
      </c>
      <c r="G554" s="6">
        <f>SUMIFS(df_bloqueios_judiciais!G:G,df_bloqueios_judiciais!D:D,Conciliacao!A554,df_bloqueios_judiciais!G:G,"&gt;0")</f>
        <v/>
      </c>
      <c r="H554" s="7">
        <f>SUMIFS(df_extratos!I:I,df_extratos!F:F,"&gt;="&amp;Conciliacao!BE554,df_extratos!F:F,"&lt;"&amp;Conciliacao!BE554+1,df_extratos!G:G,"CREDITO")
+SUMIFS(df_extratos!I:I,df_extratos!F:F,"&gt;="&amp;Conciliacao!A554, df_extratos!F:F,"&lt;"&amp;Conciliacao!A554+1, df_extratos!G:G,"CREDITO")
+SUMIFS(df_extratos!I:I,df_extratos!F:F,"&gt;="&amp;Conciliacao!BF554,df_extratos!F:F,"&lt;"&amp;Conciliacao!BF554+1,df_extratos!G:G,"CREDITO")
+SUMIFS(df_extratos!I:I,df_extratos!F:F,"&gt;="&amp;Conciliacao!BG554,df_extratos!F:F,"&lt;"&amp;Conciliacao!BG554+1,df_extratos!G:G,"CREDITO")
+SUMIFS(df_extratos!I:I,df_extratos!F:F,"&gt;="&amp;Conciliacao!BH554,df_extratos!F:F,"&lt;"&amp;Conciliacao!BH554+1,df_extratos!G:G,"CREDITO")</f>
        <v/>
      </c>
      <c r="I554" s="9">
        <f>H554-SUM(B554:G554)</f>
        <v/>
      </c>
      <c r="J554" s="4">
        <f>SUMIFS(df_blueme_sem_parcelamento!E:E,df_blueme_sem_parcelamento!H:H,Conciliacao!A554)*(-1)</f>
        <v/>
      </c>
      <c r="K554" s="4">
        <f>SUMIFS(df_blueme_com_parcelamento!J:J,df_blueme_com_parcelamento!M:M,Conciliacao!A554)*(-1)</f>
        <v/>
      </c>
      <c r="L554" s="4">
        <f>SUMIFS(df_mutuos!N:N,df_mutuos!B:B,Conciliacao!A554)*(-1)</f>
        <v/>
      </c>
      <c r="M554" s="8">
        <f>SUMIFS(df_bloqueios_judiciais!G:G,df_bloqueios_judiciais!D:D,Conciliacao!A554,df_bloqueios_judiciais!G:G,"&lt;0")</f>
        <v/>
      </c>
      <c r="N554" s="10">
        <f>SUMIFS(df_extratos!I:I,df_extratos!F:F,"&gt;="&amp;Conciliacao!BE554,df_extratos!F:F,"&lt;"&amp;Conciliacao!BE554+1,df_extratos!G:G,"DEBITO")
+SUMIFS(df_extratos!I:I,df_extratos!F:F,"&gt;="&amp;Conciliacao!A554, df_extratos!F:F,"&lt;"&amp;Conciliacao!A554+1, df_extratos!G:G,"DEBITO")
+SUMIFS(df_extratos!I:I,df_extratos!F:F,"&gt;="&amp;Conciliacao!BF554,df_extratos!F:F,"&lt;"&amp;Conciliacao!BF554+1,df_extratos!G:G,"DEBITO")
+SUMIFS(df_extratos!I:I,df_extratos!F:F,"&gt;="&amp;Conciliacao!BG554,df_extratos!F:F,"&lt;"&amp;Conciliacao!BG554+1,df_extratos!G:G,"DEBITO")
+SUMIFS(df_extratos!I:I,df_extratos!F:F,"&gt;="&amp;Conciliacao!BH554,df_extratos!F:F,"&lt;"&amp;Conciliacao!BH554+1,df_extratos!G:G,"DEBITO")</f>
        <v/>
      </c>
      <c r="O554" s="11">
        <f>N554-SUM(J554:M554)</f>
        <v/>
      </c>
      <c r="P554" s="25">
        <f>SUMIFS(df_ajustes_conciliaco!D:D,df_ajustes_conciliaco!C:C,Conciliacao!A554)</f>
        <v/>
      </c>
      <c r="Q554" s="22">
        <f>O554+I554-P554</f>
        <v/>
      </c>
    </row>
    <row r="555">
      <c r="A555" s="5">
        <f>A554+1</f>
        <v/>
      </c>
      <c r="B555" s="3">
        <f>-SUMIFS(df_extrato_zig!G:G,df_extrato_zig!E:E,Conciliacao!A555,df_extrato_zig!D:D,"Saque")-SUMIFS(df_extrato_zig!G:G,df_extrato_zig!E:E,Conciliacao!A555,df_extrato_zig!D:D,"Antecipação")</f>
        <v/>
      </c>
      <c r="C555" s="3">
        <f>SUMIFS(df_extrato_zig!E:E,df_extrato_zig!L:L,Conciliacao!A555,df_extrato_zig!F:F,"DINHEIRO")</f>
        <v/>
      </c>
      <c r="D555" s="3">
        <f>SUMIFS(view_parc_agrup!H:H,view_parc_agrup!G:G,Conciliacao!A555)</f>
        <v/>
      </c>
      <c r="E555" s="3">
        <f>SUMIFS(df_eventos!F:F,df_eventos!H:H,Conciliacao!A555)</f>
        <v/>
      </c>
      <c r="F555" s="3">
        <f>SUMIFS(df_mutuos!M:M,df_mutuos!B:B,Conciliacao!A555)</f>
        <v/>
      </c>
      <c r="G555" s="6">
        <f>SUMIFS(df_bloqueios_judiciais!G:G,df_bloqueios_judiciais!D:D,Conciliacao!A555,df_bloqueios_judiciais!G:G,"&gt;0")</f>
        <v/>
      </c>
      <c r="H555" s="7">
        <f>SUMIFS(df_extratos!I:I,df_extratos!F:F,"&gt;="&amp;Conciliacao!BE555,df_extratos!F:F,"&lt;"&amp;Conciliacao!BE555+1,df_extratos!G:G,"CREDITO")
+SUMIFS(df_extratos!I:I,df_extratos!F:F,"&gt;="&amp;Conciliacao!A555, df_extratos!F:F,"&lt;"&amp;Conciliacao!A555+1, df_extratos!G:G,"CREDITO")
+SUMIFS(df_extratos!I:I,df_extratos!F:F,"&gt;="&amp;Conciliacao!BF555,df_extratos!F:F,"&lt;"&amp;Conciliacao!BF555+1,df_extratos!G:G,"CREDITO")
+SUMIFS(df_extratos!I:I,df_extratos!F:F,"&gt;="&amp;Conciliacao!BG555,df_extratos!F:F,"&lt;"&amp;Conciliacao!BG555+1,df_extratos!G:G,"CREDITO")
+SUMIFS(df_extratos!I:I,df_extratos!F:F,"&gt;="&amp;Conciliacao!BH555,df_extratos!F:F,"&lt;"&amp;Conciliacao!BH555+1,df_extratos!G:G,"CREDITO")</f>
        <v/>
      </c>
      <c r="I555" s="9">
        <f>H555-SUM(B555:G555)</f>
        <v/>
      </c>
      <c r="J555" s="4">
        <f>SUMIFS(df_blueme_sem_parcelamento!E:E,df_blueme_sem_parcelamento!H:H,Conciliacao!A555)*(-1)</f>
        <v/>
      </c>
      <c r="K555" s="4">
        <f>SUMIFS(df_blueme_com_parcelamento!J:J,df_blueme_com_parcelamento!M:M,Conciliacao!A555)*(-1)</f>
        <v/>
      </c>
      <c r="L555" s="4">
        <f>SUMIFS(df_mutuos!N:N,df_mutuos!B:B,Conciliacao!A555)*(-1)</f>
        <v/>
      </c>
      <c r="M555" s="8">
        <f>SUMIFS(df_bloqueios_judiciais!G:G,df_bloqueios_judiciais!D:D,Conciliacao!A555,df_bloqueios_judiciais!G:G,"&lt;0")</f>
        <v/>
      </c>
      <c r="N555" s="10">
        <f>SUMIFS(df_extratos!I:I,df_extratos!F:F,"&gt;="&amp;Conciliacao!BE555,df_extratos!F:F,"&lt;"&amp;Conciliacao!BE555+1,df_extratos!G:G,"DEBITO")
+SUMIFS(df_extratos!I:I,df_extratos!F:F,"&gt;="&amp;Conciliacao!A555, df_extratos!F:F,"&lt;"&amp;Conciliacao!A555+1, df_extratos!G:G,"DEBITO")
+SUMIFS(df_extratos!I:I,df_extratos!F:F,"&gt;="&amp;Conciliacao!BF555,df_extratos!F:F,"&lt;"&amp;Conciliacao!BF555+1,df_extratos!G:G,"DEBITO")
+SUMIFS(df_extratos!I:I,df_extratos!F:F,"&gt;="&amp;Conciliacao!BG555,df_extratos!F:F,"&lt;"&amp;Conciliacao!BG555+1,df_extratos!G:G,"DEBITO")
+SUMIFS(df_extratos!I:I,df_extratos!F:F,"&gt;="&amp;Conciliacao!BH555,df_extratos!F:F,"&lt;"&amp;Conciliacao!BH555+1,df_extratos!G:G,"DEBITO")</f>
        <v/>
      </c>
      <c r="O555" s="11">
        <f>N555-SUM(J555:M555)</f>
        <v/>
      </c>
      <c r="P555" s="25">
        <f>SUMIFS(df_ajustes_conciliaco!D:D,df_ajustes_conciliaco!C:C,Conciliacao!A555)</f>
        <v/>
      </c>
      <c r="Q555" s="22">
        <f>O555+I555-P555</f>
        <v/>
      </c>
    </row>
    <row r="556">
      <c r="A556" s="5">
        <f>A555+1</f>
        <v/>
      </c>
      <c r="B556" s="3">
        <f>-SUMIFS(df_extrato_zig!G:G,df_extrato_zig!E:E,Conciliacao!A556,df_extrato_zig!D:D,"Saque")-SUMIFS(df_extrato_zig!G:G,df_extrato_zig!E:E,Conciliacao!A556,df_extrato_zig!D:D,"Antecipação")</f>
        <v/>
      </c>
      <c r="C556" s="3">
        <f>SUMIFS(df_extrato_zig!E:E,df_extrato_zig!L:L,Conciliacao!A556,df_extrato_zig!F:F,"DINHEIRO")</f>
        <v/>
      </c>
      <c r="D556" s="3">
        <f>SUMIFS(view_parc_agrup!H:H,view_parc_agrup!G:G,Conciliacao!A556)</f>
        <v/>
      </c>
      <c r="E556" s="3">
        <f>SUMIFS(df_eventos!F:F,df_eventos!H:H,Conciliacao!A556)</f>
        <v/>
      </c>
      <c r="F556" s="3">
        <f>SUMIFS(df_mutuos!M:M,df_mutuos!B:B,Conciliacao!A556)</f>
        <v/>
      </c>
      <c r="G556" s="6">
        <f>SUMIFS(df_bloqueios_judiciais!G:G,df_bloqueios_judiciais!D:D,Conciliacao!A556,df_bloqueios_judiciais!G:G,"&gt;0")</f>
        <v/>
      </c>
      <c r="H556" s="7">
        <f>SUMIFS(df_extratos!I:I,df_extratos!F:F,"&gt;="&amp;Conciliacao!BE556,df_extratos!F:F,"&lt;"&amp;Conciliacao!BE556+1,df_extratos!G:G,"CREDITO")
+SUMIFS(df_extratos!I:I,df_extratos!F:F,"&gt;="&amp;Conciliacao!A556, df_extratos!F:F,"&lt;"&amp;Conciliacao!A556+1, df_extratos!G:G,"CREDITO")
+SUMIFS(df_extratos!I:I,df_extratos!F:F,"&gt;="&amp;Conciliacao!BF556,df_extratos!F:F,"&lt;"&amp;Conciliacao!BF556+1,df_extratos!G:G,"CREDITO")
+SUMIFS(df_extratos!I:I,df_extratos!F:F,"&gt;="&amp;Conciliacao!BG556,df_extratos!F:F,"&lt;"&amp;Conciliacao!BG556+1,df_extratos!G:G,"CREDITO")
+SUMIFS(df_extratos!I:I,df_extratos!F:F,"&gt;="&amp;Conciliacao!BH556,df_extratos!F:F,"&lt;"&amp;Conciliacao!BH556+1,df_extratos!G:G,"CREDITO")</f>
        <v/>
      </c>
      <c r="I556" s="9">
        <f>H556-SUM(B556:G556)</f>
        <v/>
      </c>
      <c r="J556" s="4">
        <f>SUMIFS(df_blueme_sem_parcelamento!E:E,df_blueme_sem_parcelamento!H:H,Conciliacao!A556)*(-1)</f>
        <v/>
      </c>
      <c r="K556" s="4">
        <f>SUMIFS(df_blueme_com_parcelamento!J:J,df_blueme_com_parcelamento!M:M,Conciliacao!A556)*(-1)</f>
        <v/>
      </c>
      <c r="L556" s="4">
        <f>SUMIFS(df_mutuos!N:N,df_mutuos!B:B,Conciliacao!A556)*(-1)</f>
        <v/>
      </c>
      <c r="M556" s="8">
        <f>SUMIFS(df_bloqueios_judiciais!G:G,df_bloqueios_judiciais!D:D,Conciliacao!A556,df_bloqueios_judiciais!G:G,"&lt;0")</f>
        <v/>
      </c>
      <c r="N556" s="10">
        <f>SUMIFS(df_extratos!I:I,df_extratos!F:F,"&gt;="&amp;Conciliacao!BE556,df_extratos!F:F,"&lt;"&amp;Conciliacao!BE556+1,df_extratos!G:G,"DEBITO")
+SUMIFS(df_extratos!I:I,df_extratos!F:F,"&gt;="&amp;Conciliacao!A556, df_extratos!F:F,"&lt;"&amp;Conciliacao!A556+1, df_extratos!G:G,"DEBITO")
+SUMIFS(df_extratos!I:I,df_extratos!F:F,"&gt;="&amp;Conciliacao!BF556,df_extratos!F:F,"&lt;"&amp;Conciliacao!BF556+1,df_extratos!G:G,"DEBITO")
+SUMIFS(df_extratos!I:I,df_extratos!F:F,"&gt;="&amp;Conciliacao!BG556,df_extratos!F:F,"&lt;"&amp;Conciliacao!BG556+1,df_extratos!G:G,"DEBITO")
+SUMIFS(df_extratos!I:I,df_extratos!F:F,"&gt;="&amp;Conciliacao!BH556,df_extratos!F:F,"&lt;"&amp;Conciliacao!BH556+1,df_extratos!G:G,"DEBITO")</f>
        <v/>
      </c>
      <c r="O556" s="11">
        <f>N556-SUM(J556:M556)</f>
        <v/>
      </c>
      <c r="P556" s="25">
        <f>SUMIFS(df_ajustes_conciliaco!D:D,df_ajustes_conciliaco!C:C,Conciliacao!A556)</f>
        <v/>
      </c>
      <c r="Q556" s="22">
        <f>O556+I556-P556</f>
        <v/>
      </c>
    </row>
    <row r="557">
      <c r="A557" s="5">
        <f>A556+1</f>
        <v/>
      </c>
      <c r="B557" s="3">
        <f>-SUMIFS(df_extrato_zig!G:G,df_extrato_zig!E:E,Conciliacao!A557,df_extrato_zig!D:D,"Saque")-SUMIFS(df_extrato_zig!G:G,df_extrato_zig!E:E,Conciliacao!A557,df_extrato_zig!D:D,"Antecipação")</f>
        <v/>
      </c>
      <c r="C557" s="3">
        <f>SUMIFS(df_extrato_zig!E:E,df_extrato_zig!L:L,Conciliacao!A557,df_extrato_zig!F:F,"DINHEIRO")</f>
        <v/>
      </c>
      <c r="D557" s="3">
        <f>SUMIFS(view_parc_agrup!H:H,view_parc_agrup!G:G,Conciliacao!A557)</f>
        <v/>
      </c>
      <c r="E557" s="3">
        <f>SUMIFS(df_eventos!F:F,df_eventos!H:H,Conciliacao!A557)</f>
        <v/>
      </c>
      <c r="F557" s="3">
        <f>SUMIFS(df_mutuos!M:M,df_mutuos!B:B,Conciliacao!A557)</f>
        <v/>
      </c>
      <c r="G557" s="6">
        <f>SUMIFS(df_bloqueios_judiciais!G:G,df_bloqueios_judiciais!D:D,Conciliacao!A557,df_bloqueios_judiciais!G:G,"&gt;0")</f>
        <v/>
      </c>
      <c r="H557" s="7">
        <f>SUMIFS(df_extratos!I:I,df_extratos!F:F,"&gt;="&amp;Conciliacao!BE557,df_extratos!F:F,"&lt;"&amp;Conciliacao!BE557+1,df_extratos!G:G,"CREDITO")
+SUMIFS(df_extratos!I:I,df_extratos!F:F,"&gt;="&amp;Conciliacao!A557, df_extratos!F:F,"&lt;"&amp;Conciliacao!A557+1, df_extratos!G:G,"CREDITO")
+SUMIFS(df_extratos!I:I,df_extratos!F:F,"&gt;="&amp;Conciliacao!BF557,df_extratos!F:F,"&lt;"&amp;Conciliacao!BF557+1,df_extratos!G:G,"CREDITO")
+SUMIFS(df_extratos!I:I,df_extratos!F:F,"&gt;="&amp;Conciliacao!BG557,df_extratos!F:F,"&lt;"&amp;Conciliacao!BG557+1,df_extratos!G:G,"CREDITO")
+SUMIFS(df_extratos!I:I,df_extratos!F:F,"&gt;="&amp;Conciliacao!BH557,df_extratos!F:F,"&lt;"&amp;Conciliacao!BH557+1,df_extratos!G:G,"CREDITO")</f>
        <v/>
      </c>
      <c r="I557" s="9">
        <f>H557-SUM(B557:G557)</f>
        <v/>
      </c>
      <c r="J557" s="4">
        <f>SUMIFS(df_blueme_sem_parcelamento!E:E,df_blueme_sem_parcelamento!H:H,Conciliacao!A557)*(-1)</f>
        <v/>
      </c>
      <c r="K557" s="4">
        <f>SUMIFS(df_blueme_com_parcelamento!J:J,df_blueme_com_parcelamento!M:M,Conciliacao!A557)*(-1)</f>
        <v/>
      </c>
      <c r="L557" s="4">
        <f>SUMIFS(df_mutuos!N:N,df_mutuos!B:B,Conciliacao!A557)*(-1)</f>
        <v/>
      </c>
      <c r="M557" s="8">
        <f>SUMIFS(df_bloqueios_judiciais!G:G,df_bloqueios_judiciais!D:D,Conciliacao!A557,df_bloqueios_judiciais!G:G,"&lt;0")</f>
        <v/>
      </c>
      <c r="N557" s="10">
        <f>SUMIFS(df_extratos!I:I,df_extratos!F:F,"&gt;="&amp;Conciliacao!BE557,df_extratos!F:F,"&lt;"&amp;Conciliacao!BE557+1,df_extratos!G:G,"DEBITO")
+SUMIFS(df_extratos!I:I,df_extratos!F:F,"&gt;="&amp;Conciliacao!A557, df_extratos!F:F,"&lt;"&amp;Conciliacao!A557+1, df_extratos!G:G,"DEBITO")
+SUMIFS(df_extratos!I:I,df_extratos!F:F,"&gt;="&amp;Conciliacao!BF557,df_extratos!F:F,"&lt;"&amp;Conciliacao!BF557+1,df_extratos!G:G,"DEBITO")
+SUMIFS(df_extratos!I:I,df_extratos!F:F,"&gt;="&amp;Conciliacao!BG557,df_extratos!F:F,"&lt;"&amp;Conciliacao!BG557+1,df_extratos!G:G,"DEBITO")
+SUMIFS(df_extratos!I:I,df_extratos!F:F,"&gt;="&amp;Conciliacao!BH557,df_extratos!F:F,"&lt;"&amp;Conciliacao!BH557+1,df_extratos!G:G,"DEBITO")</f>
        <v/>
      </c>
      <c r="O557" s="11">
        <f>N557-SUM(J557:M557)</f>
        <v/>
      </c>
      <c r="P557" s="25">
        <f>SUMIFS(df_ajustes_conciliaco!D:D,df_ajustes_conciliaco!C:C,Conciliacao!A557)</f>
        <v/>
      </c>
      <c r="Q557" s="22">
        <f>O557+I557-P557</f>
        <v/>
      </c>
    </row>
    <row r="558">
      <c r="A558" s="5">
        <f>A557+1</f>
        <v/>
      </c>
      <c r="B558" s="3">
        <f>-SUMIFS(df_extrato_zig!G:G,df_extrato_zig!E:E,Conciliacao!A558,df_extrato_zig!D:D,"Saque")-SUMIFS(df_extrato_zig!G:G,df_extrato_zig!E:E,Conciliacao!A558,df_extrato_zig!D:D,"Antecipação")</f>
        <v/>
      </c>
      <c r="C558" s="3">
        <f>SUMIFS(df_extrato_zig!E:E,df_extrato_zig!L:L,Conciliacao!A558,df_extrato_zig!F:F,"DINHEIRO")</f>
        <v/>
      </c>
      <c r="D558" s="3">
        <f>SUMIFS(view_parc_agrup!H:H,view_parc_agrup!G:G,Conciliacao!A558)</f>
        <v/>
      </c>
      <c r="E558" s="3">
        <f>SUMIFS(df_eventos!F:F,df_eventos!H:H,Conciliacao!A558)</f>
        <v/>
      </c>
      <c r="F558" s="3">
        <f>SUMIFS(df_mutuos!M:M,df_mutuos!B:B,Conciliacao!A558)</f>
        <v/>
      </c>
      <c r="G558" s="6">
        <f>SUMIFS(df_bloqueios_judiciais!G:G,df_bloqueios_judiciais!D:D,Conciliacao!A558,df_bloqueios_judiciais!G:G,"&gt;0")</f>
        <v/>
      </c>
      <c r="H558" s="7">
        <f>SUMIFS(df_extratos!I:I,df_extratos!F:F,"&gt;="&amp;Conciliacao!BE558,df_extratos!F:F,"&lt;"&amp;Conciliacao!BE558+1,df_extratos!G:G,"CREDITO")
+SUMIFS(df_extratos!I:I,df_extratos!F:F,"&gt;="&amp;Conciliacao!A558, df_extratos!F:F,"&lt;"&amp;Conciliacao!A558+1, df_extratos!G:G,"CREDITO")
+SUMIFS(df_extratos!I:I,df_extratos!F:F,"&gt;="&amp;Conciliacao!BF558,df_extratos!F:F,"&lt;"&amp;Conciliacao!BF558+1,df_extratos!G:G,"CREDITO")
+SUMIFS(df_extratos!I:I,df_extratos!F:F,"&gt;="&amp;Conciliacao!BG558,df_extratos!F:F,"&lt;"&amp;Conciliacao!BG558+1,df_extratos!G:G,"CREDITO")
+SUMIFS(df_extratos!I:I,df_extratos!F:F,"&gt;="&amp;Conciliacao!BH558,df_extratos!F:F,"&lt;"&amp;Conciliacao!BH558+1,df_extratos!G:G,"CREDITO")</f>
        <v/>
      </c>
      <c r="I558" s="9">
        <f>H558-SUM(B558:G558)</f>
        <v/>
      </c>
      <c r="J558" s="4">
        <f>SUMIFS(df_blueme_sem_parcelamento!E:E,df_blueme_sem_parcelamento!H:H,Conciliacao!A558)*(-1)</f>
        <v/>
      </c>
      <c r="K558" s="4">
        <f>SUMIFS(df_blueme_com_parcelamento!J:J,df_blueme_com_parcelamento!M:M,Conciliacao!A558)*(-1)</f>
        <v/>
      </c>
      <c r="L558" s="4">
        <f>SUMIFS(df_mutuos!N:N,df_mutuos!B:B,Conciliacao!A558)*(-1)</f>
        <v/>
      </c>
      <c r="M558" s="8">
        <f>SUMIFS(df_bloqueios_judiciais!G:G,df_bloqueios_judiciais!D:D,Conciliacao!A558,df_bloqueios_judiciais!G:G,"&lt;0")</f>
        <v/>
      </c>
      <c r="N558" s="10">
        <f>SUMIFS(df_extratos!I:I,df_extratos!F:F,"&gt;="&amp;Conciliacao!BE558,df_extratos!F:F,"&lt;"&amp;Conciliacao!BE558+1,df_extratos!G:G,"DEBITO")
+SUMIFS(df_extratos!I:I,df_extratos!F:F,"&gt;="&amp;Conciliacao!A558, df_extratos!F:F,"&lt;"&amp;Conciliacao!A558+1, df_extratos!G:G,"DEBITO")
+SUMIFS(df_extratos!I:I,df_extratos!F:F,"&gt;="&amp;Conciliacao!BF558,df_extratos!F:F,"&lt;"&amp;Conciliacao!BF558+1,df_extratos!G:G,"DEBITO")
+SUMIFS(df_extratos!I:I,df_extratos!F:F,"&gt;="&amp;Conciliacao!BG558,df_extratos!F:F,"&lt;"&amp;Conciliacao!BG558+1,df_extratos!G:G,"DEBITO")
+SUMIFS(df_extratos!I:I,df_extratos!F:F,"&gt;="&amp;Conciliacao!BH558,df_extratos!F:F,"&lt;"&amp;Conciliacao!BH558+1,df_extratos!G:G,"DEBITO")</f>
        <v/>
      </c>
      <c r="O558" s="11">
        <f>N558-SUM(J558:M558)</f>
        <v/>
      </c>
      <c r="P558" s="25">
        <f>SUMIFS(df_ajustes_conciliaco!D:D,df_ajustes_conciliaco!C:C,Conciliacao!A558)</f>
        <v/>
      </c>
      <c r="Q558" s="22">
        <f>O558+I558-P558</f>
        <v/>
      </c>
    </row>
    <row r="559">
      <c r="A559" s="5">
        <f>A558+1</f>
        <v/>
      </c>
      <c r="B559" s="3">
        <f>-SUMIFS(df_extrato_zig!G:G,df_extrato_zig!E:E,Conciliacao!A559,df_extrato_zig!D:D,"Saque")-SUMIFS(df_extrato_zig!G:G,df_extrato_zig!E:E,Conciliacao!A559,df_extrato_zig!D:D,"Antecipação")</f>
        <v/>
      </c>
      <c r="C559" s="3">
        <f>SUMIFS(df_extrato_zig!E:E,df_extrato_zig!L:L,Conciliacao!A559,df_extrato_zig!F:F,"DINHEIRO")</f>
        <v/>
      </c>
      <c r="D559" s="3">
        <f>SUMIFS(view_parc_agrup!H:H,view_parc_agrup!G:G,Conciliacao!A559)</f>
        <v/>
      </c>
      <c r="E559" s="3">
        <f>SUMIFS(df_eventos!F:F,df_eventos!H:H,Conciliacao!A559)</f>
        <v/>
      </c>
      <c r="F559" s="3">
        <f>SUMIFS(df_mutuos!M:M,df_mutuos!B:B,Conciliacao!A559)</f>
        <v/>
      </c>
      <c r="G559" s="6">
        <f>SUMIFS(df_bloqueios_judiciais!G:G,df_bloqueios_judiciais!D:D,Conciliacao!A559,df_bloqueios_judiciais!G:G,"&gt;0")</f>
        <v/>
      </c>
      <c r="H559" s="7">
        <f>SUMIFS(df_extratos!I:I,df_extratos!F:F,"&gt;="&amp;Conciliacao!BE559,df_extratos!F:F,"&lt;"&amp;Conciliacao!BE559+1,df_extratos!G:G,"CREDITO")
+SUMIFS(df_extratos!I:I,df_extratos!F:F,"&gt;="&amp;Conciliacao!A559, df_extratos!F:F,"&lt;"&amp;Conciliacao!A559+1, df_extratos!G:G,"CREDITO")
+SUMIFS(df_extratos!I:I,df_extratos!F:F,"&gt;="&amp;Conciliacao!BF559,df_extratos!F:F,"&lt;"&amp;Conciliacao!BF559+1,df_extratos!G:G,"CREDITO")
+SUMIFS(df_extratos!I:I,df_extratos!F:F,"&gt;="&amp;Conciliacao!BG559,df_extratos!F:F,"&lt;"&amp;Conciliacao!BG559+1,df_extratos!G:G,"CREDITO")
+SUMIFS(df_extratos!I:I,df_extratos!F:F,"&gt;="&amp;Conciliacao!BH559,df_extratos!F:F,"&lt;"&amp;Conciliacao!BH559+1,df_extratos!G:G,"CREDITO")</f>
        <v/>
      </c>
      <c r="I559" s="9">
        <f>H559-SUM(B559:G559)</f>
        <v/>
      </c>
      <c r="J559" s="4">
        <f>SUMIFS(df_blueme_sem_parcelamento!E:E,df_blueme_sem_parcelamento!H:H,Conciliacao!A559)*(-1)</f>
        <v/>
      </c>
      <c r="K559" s="4">
        <f>SUMIFS(df_blueme_com_parcelamento!J:J,df_blueme_com_parcelamento!M:M,Conciliacao!A559)*(-1)</f>
        <v/>
      </c>
      <c r="L559" s="4">
        <f>SUMIFS(df_mutuos!N:N,df_mutuos!B:B,Conciliacao!A559)*(-1)</f>
        <v/>
      </c>
      <c r="M559" s="8">
        <f>SUMIFS(df_bloqueios_judiciais!G:G,df_bloqueios_judiciais!D:D,Conciliacao!A559,df_bloqueios_judiciais!G:G,"&lt;0")</f>
        <v/>
      </c>
      <c r="N559" s="10">
        <f>SUMIFS(df_extratos!I:I,df_extratos!F:F,"&gt;="&amp;Conciliacao!BE559,df_extratos!F:F,"&lt;"&amp;Conciliacao!BE559+1,df_extratos!G:G,"DEBITO")
+SUMIFS(df_extratos!I:I,df_extratos!F:F,"&gt;="&amp;Conciliacao!A559, df_extratos!F:F,"&lt;"&amp;Conciliacao!A559+1, df_extratos!G:G,"DEBITO")
+SUMIFS(df_extratos!I:I,df_extratos!F:F,"&gt;="&amp;Conciliacao!BF559,df_extratos!F:F,"&lt;"&amp;Conciliacao!BF559+1,df_extratos!G:G,"DEBITO")
+SUMIFS(df_extratos!I:I,df_extratos!F:F,"&gt;="&amp;Conciliacao!BG559,df_extratos!F:F,"&lt;"&amp;Conciliacao!BG559+1,df_extratos!G:G,"DEBITO")
+SUMIFS(df_extratos!I:I,df_extratos!F:F,"&gt;="&amp;Conciliacao!BH559,df_extratos!F:F,"&lt;"&amp;Conciliacao!BH559+1,df_extratos!G:G,"DEBITO")</f>
        <v/>
      </c>
      <c r="O559" s="11">
        <f>N559-SUM(J559:M559)</f>
        <v/>
      </c>
      <c r="P559" s="25">
        <f>SUMIFS(df_ajustes_conciliaco!D:D,df_ajustes_conciliaco!C:C,Conciliacao!A559)</f>
        <v/>
      </c>
      <c r="Q559" s="22">
        <f>O559+I559-P559</f>
        <v/>
      </c>
    </row>
    <row r="560">
      <c r="A560" s="5">
        <f>A559+1</f>
        <v/>
      </c>
      <c r="B560" s="3">
        <f>-SUMIFS(df_extrato_zig!G:G,df_extrato_zig!E:E,Conciliacao!A560,df_extrato_zig!D:D,"Saque")-SUMIFS(df_extrato_zig!G:G,df_extrato_zig!E:E,Conciliacao!A560,df_extrato_zig!D:D,"Antecipação")</f>
        <v/>
      </c>
      <c r="C560" s="3">
        <f>SUMIFS(df_extrato_zig!E:E,df_extrato_zig!L:L,Conciliacao!A560,df_extrato_zig!F:F,"DINHEIRO")</f>
        <v/>
      </c>
      <c r="D560" s="3">
        <f>SUMIFS(view_parc_agrup!H:H,view_parc_agrup!G:G,Conciliacao!A560)</f>
        <v/>
      </c>
      <c r="E560" s="3">
        <f>SUMIFS(df_eventos!F:F,df_eventos!H:H,Conciliacao!A560)</f>
        <v/>
      </c>
      <c r="F560" s="3">
        <f>SUMIFS(df_mutuos!M:M,df_mutuos!B:B,Conciliacao!A560)</f>
        <v/>
      </c>
      <c r="G560" s="6">
        <f>SUMIFS(df_bloqueios_judiciais!G:G,df_bloqueios_judiciais!D:D,Conciliacao!A560,df_bloqueios_judiciais!G:G,"&gt;0")</f>
        <v/>
      </c>
      <c r="H560" s="7">
        <f>SUMIFS(df_extratos!I:I,df_extratos!F:F,"&gt;="&amp;Conciliacao!BE560,df_extratos!F:F,"&lt;"&amp;Conciliacao!BE560+1,df_extratos!G:G,"CREDITO")
+SUMIFS(df_extratos!I:I,df_extratos!F:F,"&gt;="&amp;Conciliacao!A560, df_extratos!F:F,"&lt;"&amp;Conciliacao!A560+1, df_extratos!G:G,"CREDITO")
+SUMIFS(df_extratos!I:I,df_extratos!F:F,"&gt;="&amp;Conciliacao!BF560,df_extratos!F:F,"&lt;"&amp;Conciliacao!BF560+1,df_extratos!G:G,"CREDITO")
+SUMIFS(df_extratos!I:I,df_extratos!F:F,"&gt;="&amp;Conciliacao!BG560,df_extratos!F:F,"&lt;"&amp;Conciliacao!BG560+1,df_extratos!G:G,"CREDITO")
+SUMIFS(df_extratos!I:I,df_extratos!F:F,"&gt;="&amp;Conciliacao!BH560,df_extratos!F:F,"&lt;"&amp;Conciliacao!BH560+1,df_extratos!G:G,"CREDITO")</f>
        <v/>
      </c>
      <c r="I560" s="9">
        <f>H560-SUM(B560:G560)</f>
        <v/>
      </c>
      <c r="J560" s="4">
        <f>SUMIFS(df_blueme_sem_parcelamento!E:E,df_blueme_sem_parcelamento!H:H,Conciliacao!A560)*(-1)</f>
        <v/>
      </c>
      <c r="K560" s="4">
        <f>SUMIFS(df_blueme_com_parcelamento!J:J,df_blueme_com_parcelamento!M:M,Conciliacao!A560)*(-1)</f>
        <v/>
      </c>
      <c r="L560" s="4">
        <f>SUMIFS(df_mutuos!N:N,df_mutuos!B:B,Conciliacao!A560)*(-1)</f>
        <v/>
      </c>
      <c r="M560" s="8">
        <f>SUMIFS(df_bloqueios_judiciais!G:G,df_bloqueios_judiciais!D:D,Conciliacao!A560,df_bloqueios_judiciais!G:G,"&lt;0")</f>
        <v/>
      </c>
      <c r="N560" s="10">
        <f>SUMIFS(df_extratos!I:I,df_extratos!F:F,"&gt;="&amp;Conciliacao!BE560,df_extratos!F:F,"&lt;"&amp;Conciliacao!BE560+1,df_extratos!G:G,"DEBITO")
+SUMIFS(df_extratos!I:I,df_extratos!F:F,"&gt;="&amp;Conciliacao!A560, df_extratos!F:F,"&lt;"&amp;Conciliacao!A560+1, df_extratos!G:G,"DEBITO")
+SUMIFS(df_extratos!I:I,df_extratos!F:F,"&gt;="&amp;Conciliacao!BF560,df_extratos!F:F,"&lt;"&amp;Conciliacao!BF560+1,df_extratos!G:G,"DEBITO")
+SUMIFS(df_extratos!I:I,df_extratos!F:F,"&gt;="&amp;Conciliacao!BG560,df_extratos!F:F,"&lt;"&amp;Conciliacao!BG560+1,df_extratos!G:G,"DEBITO")
+SUMIFS(df_extratos!I:I,df_extratos!F:F,"&gt;="&amp;Conciliacao!BH560,df_extratos!F:F,"&lt;"&amp;Conciliacao!BH560+1,df_extratos!G:G,"DEBITO")</f>
        <v/>
      </c>
      <c r="O560" s="11">
        <f>N560-SUM(J560:M560)</f>
        <v/>
      </c>
      <c r="P560" s="25">
        <f>SUMIFS(df_ajustes_conciliaco!D:D,df_ajustes_conciliaco!C:C,Conciliacao!A560)</f>
        <v/>
      </c>
      <c r="Q560" s="22">
        <f>O560+I560-P560</f>
        <v/>
      </c>
    </row>
    <row r="561">
      <c r="A561" s="5">
        <f>A560+1</f>
        <v/>
      </c>
      <c r="B561" s="3">
        <f>-SUMIFS(df_extrato_zig!G:G,df_extrato_zig!E:E,Conciliacao!A561,df_extrato_zig!D:D,"Saque")-SUMIFS(df_extrato_zig!G:G,df_extrato_zig!E:E,Conciliacao!A561,df_extrato_zig!D:D,"Antecipação")</f>
        <v/>
      </c>
      <c r="C561" s="3">
        <f>SUMIFS(df_extrato_zig!E:E,df_extrato_zig!L:L,Conciliacao!A561,df_extrato_zig!F:F,"DINHEIRO")</f>
        <v/>
      </c>
      <c r="D561" s="3">
        <f>SUMIFS(view_parc_agrup!H:H,view_parc_agrup!G:G,Conciliacao!A561)</f>
        <v/>
      </c>
      <c r="E561" s="3">
        <f>SUMIFS(df_eventos!F:F,df_eventos!H:H,Conciliacao!A561)</f>
        <v/>
      </c>
      <c r="F561" s="3">
        <f>SUMIFS(df_mutuos!M:M,df_mutuos!B:B,Conciliacao!A561)</f>
        <v/>
      </c>
      <c r="G561" s="6">
        <f>SUMIFS(df_bloqueios_judiciais!G:G,df_bloqueios_judiciais!D:D,Conciliacao!A561,df_bloqueios_judiciais!G:G,"&gt;0")</f>
        <v/>
      </c>
      <c r="H561" s="7">
        <f>SUMIFS(df_extratos!I:I,df_extratos!F:F,"&gt;="&amp;Conciliacao!BE561,df_extratos!F:F,"&lt;"&amp;Conciliacao!BE561+1,df_extratos!G:G,"CREDITO")
+SUMIFS(df_extratos!I:I,df_extratos!F:F,"&gt;="&amp;Conciliacao!A561, df_extratos!F:F,"&lt;"&amp;Conciliacao!A561+1, df_extratos!G:G,"CREDITO")
+SUMIFS(df_extratos!I:I,df_extratos!F:F,"&gt;="&amp;Conciliacao!BF561,df_extratos!F:F,"&lt;"&amp;Conciliacao!BF561+1,df_extratos!G:G,"CREDITO")
+SUMIFS(df_extratos!I:I,df_extratos!F:F,"&gt;="&amp;Conciliacao!BG561,df_extratos!F:F,"&lt;"&amp;Conciliacao!BG561+1,df_extratos!G:G,"CREDITO")
+SUMIFS(df_extratos!I:I,df_extratos!F:F,"&gt;="&amp;Conciliacao!BH561,df_extratos!F:F,"&lt;"&amp;Conciliacao!BH561+1,df_extratos!G:G,"CREDITO")</f>
        <v/>
      </c>
      <c r="I561" s="9">
        <f>H561-SUM(B561:G561)</f>
        <v/>
      </c>
      <c r="J561" s="4">
        <f>SUMIFS(df_blueme_sem_parcelamento!E:E,df_blueme_sem_parcelamento!H:H,Conciliacao!A561)*(-1)</f>
        <v/>
      </c>
      <c r="K561" s="4">
        <f>SUMIFS(df_blueme_com_parcelamento!J:J,df_blueme_com_parcelamento!M:M,Conciliacao!A561)*(-1)</f>
        <v/>
      </c>
      <c r="L561" s="4">
        <f>SUMIFS(df_mutuos!N:N,df_mutuos!B:B,Conciliacao!A561)*(-1)</f>
        <v/>
      </c>
      <c r="M561" s="8">
        <f>SUMIFS(df_bloqueios_judiciais!G:G,df_bloqueios_judiciais!D:D,Conciliacao!A561,df_bloqueios_judiciais!G:G,"&lt;0")</f>
        <v/>
      </c>
      <c r="N561" s="10">
        <f>SUMIFS(df_extratos!I:I,df_extratos!F:F,"&gt;="&amp;Conciliacao!BE561,df_extratos!F:F,"&lt;"&amp;Conciliacao!BE561+1,df_extratos!G:G,"DEBITO")
+SUMIFS(df_extratos!I:I,df_extratos!F:F,"&gt;="&amp;Conciliacao!A561, df_extratos!F:F,"&lt;"&amp;Conciliacao!A561+1, df_extratos!G:G,"DEBITO")
+SUMIFS(df_extratos!I:I,df_extratos!F:F,"&gt;="&amp;Conciliacao!BF561,df_extratos!F:F,"&lt;"&amp;Conciliacao!BF561+1,df_extratos!G:G,"DEBITO")
+SUMIFS(df_extratos!I:I,df_extratos!F:F,"&gt;="&amp;Conciliacao!BG561,df_extratos!F:F,"&lt;"&amp;Conciliacao!BG561+1,df_extratos!G:G,"DEBITO")
+SUMIFS(df_extratos!I:I,df_extratos!F:F,"&gt;="&amp;Conciliacao!BH561,df_extratos!F:F,"&lt;"&amp;Conciliacao!BH561+1,df_extratos!G:G,"DEBITO")</f>
        <v/>
      </c>
      <c r="O561" s="11">
        <f>N561-SUM(J561:M561)</f>
        <v/>
      </c>
      <c r="P561" s="25">
        <f>SUMIFS(df_ajustes_conciliaco!D:D,df_ajustes_conciliaco!C:C,Conciliacao!A561)</f>
        <v/>
      </c>
      <c r="Q561" s="22">
        <f>O561+I561-P561</f>
        <v/>
      </c>
    </row>
    <row r="562">
      <c r="A562" s="5">
        <f>A561+1</f>
        <v/>
      </c>
      <c r="B562" s="3">
        <f>-SUMIFS(df_extrato_zig!G:G,df_extrato_zig!E:E,Conciliacao!A562,df_extrato_zig!D:D,"Saque")-SUMIFS(df_extrato_zig!G:G,df_extrato_zig!E:E,Conciliacao!A562,df_extrato_zig!D:D,"Antecipação")</f>
        <v/>
      </c>
      <c r="C562" s="3">
        <f>SUMIFS(df_extrato_zig!E:E,df_extrato_zig!L:L,Conciliacao!A562,df_extrato_zig!F:F,"DINHEIRO")</f>
        <v/>
      </c>
      <c r="D562" s="3">
        <f>SUMIFS(view_parc_agrup!H:H,view_parc_agrup!G:G,Conciliacao!A562)</f>
        <v/>
      </c>
      <c r="E562" s="3">
        <f>SUMIFS(df_eventos!F:F,df_eventos!H:H,Conciliacao!A562)</f>
        <v/>
      </c>
      <c r="F562" s="3">
        <f>SUMIFS(df_mutuos!M:M,df_mutuos!B:B,Conciliacao!A562)</f>
        <v/>
      </c>
      <c r="G562" s="6">
        <f>SUMIFS(df_bloqueios_judiciais!G:G,df_bloqueios_judiciais!D:D,Conciliacao!A562,df_bloqueios_judiciais!G:G,"&gt;0")</f>
        <v/>
      </c>
      <c r="H562" s="7">
        <f>SUMIFS(df_extratos!I:I,df_extratos!F:F,"&gt;="&amp;Conciliacao!BE562,df_extratos!F:F,"&lt;"&amp;Conciliacao!BE562+1,df_extratos!G:G,"CREDITO")
+SUMIFS(df_extratos!I:I,df_extratos!F:F,"&gt;="&amp;Conciliacao!A562, df_extratos!F:F,"&lt;"&amp;Conciliacao!A562+1, df_extratos!G:G,"CREDITO")
+SUMIFS(df_extratos!I:I,df_extratos!F:F,"&gt;="&amp;Conciliacao!BF562,df_extratos!F:F,"&lt;"&amp;Conciliacao!BF562+1,df_extratos!G:G,"CREDITO")
+SUMIFS(df_extratos!I:I,df_extratos!F:F,"&gt;="&amp;Conciliacao!BG562,df_extratos!F:F,"&lt;"&amp;Conciliacao!BG562+1,df_extratos!G:G,"CREDITO")
+SUMIFS(df_extratos!I:I,df_extratos!F:F,"&gt;="&amp;Conciliacao!BH562,df_extratos!F:F,"&lt;"&amp;Conciliacao!BH562+1,df_extratos!G:G,"CREDITO")</f>
        <v/>
      </c>
      <c r="I562" s="9">
        <f>H562-SUM(B562:G562)</f>
        <v/>
      </c>
      <c r="J562" s="4">
        <f>SUMIFS(df_blueme_sem_parcelamento!E:E,df_blueme_sem_parcelamento!H:H,Conciliacao!A562)*(-1)</f>
        <v/>
      </c>
      <c r="K562" s="4">
        <f>SUMIFS(df_blueme_com_parcelamento!J:J,df_blueme_com_parcelamento!M:M,Conciliacao!A562)*(-1)</f>
        <v/>
      </c>
      <c r="L562" s="4">
        <f>SUMIFS(df_mutuos!N:N,df_mutuos!B:B,Conciliacao!A562)*(-1)</f>
        <v/>
      </c>
      <c r="M562" s="8">
        <f>SUMIFS(df_bloqueios_judiciais!G:G,df_bloqueios_judiciais!D:D,Conciliacao!A562,df_bloqueios_judiciais!G:G,"&lt;0")</f>
        <v/>
      </c>
      <c r="N562" s="10">
        <f>SUMIFS(df_extratos!I:I,df_extratos!F:F,"&gt;="&amp;Conciliacao!BE562,df_extratos!F:F,"&lt;"&amp;Conciliacao!BE562+1,df_extratos!G:G,"DEBITO")
+SUMIFS(df_extratos!I:I,df_extratos!F:F,"&gt;="&amp;Conciliacao!A562, df_extratos!F:F,"&lt;"&amp;Conciliacao!A562+1, df_extratos!G:G,"DEBITO")
+SUMIFS(df_extratos!I:I,df_extratos!F:F,"&gt;="&amp;Conciliacao!BF562,df_extratos!F:F,"&lt;"&amp;Conciliacao!BF562+1,df_extratos!G:G,"DEBITO")
+SUMIFS(df_extratos!I:I,df_extratos!F:F,"&gt;="&amp;Conciliacao!BG562,df_extratos!F:F,"&lt;"&amp;Conciliacao!BG562+1,df_extratos!G:G,"DEBITO")
+SUMIFS(df_extratos!I:I,df_extratos!F:F,"&gt;="&amp;Conciliacao!BH562,df_extratos!F:F,"&lt;"&amp;Conciliacao!BH562+1,df_extratos!G:G,"DEBITO")</f>
        <v/>
      </c>
      <c r="O562" s="11">
        <f>N562-SUM(J562:M562)</f>
        <v/>
      </c>
      <c r="P562" s="25">
        <f>SUMIFS(df_ajustes_conciliaco!D:D,df_ajustes_conciliaco!C:C,Conciliacao!A562)</f>
        <v/>
      </c>
      <c r="Q562" s="22">
        <f>O562+I562-P562</f>
        <v/>
      </c>
    </row>
    <row r="563">
      <c r="A563" s="5">
        <f>A562+1</f>
        <v/>
      </c>
      <c r="B563" s="3">
        <f>-SUMIFS(df_extrato_zig!G:G,df_extrato_zig!E:E,Conciliacao!A563,df_extrato_zig!D:D,"Saque")-SUMIFS(df_extrato_zig!G:G,df_extrato_zig!E:E,Conciliacao!A563,df_extrato_zig!D:D,"Antecipação")</f>
        <v/>
      </c>
      <c r="C563" s="3">
        <f>SUMIFS(df_extrato_zig!E:E,df_extrato_zig!L:L,Conciliacao!A563,df_extrato_zig!F:F,"DINHEIRO")</f>
        <v/>
      </c>
      <c r="D563" s="3">
        <f>SUMIFS(view_parc_agrup!H:H,view_parc_agrup!G:G,Conciliacao!A563)</f>
        <v/>
      </c>
      <c r="E563" s="3">
        <f>SUMIFS(df_eventos!F:F,df_eventos!H:H,Conciliacao!A563)</f>
        <v/>
      </c>
      <c r="F563" s="3">
        <f>SUMIFS(df_mutuos!M:M,df_mutuos!B:B,Conciliacao!A563)</f>
        <v/>
      </c>
      <c r="G563" s="6">
        <f>SUMIFS(df_bloqueios_judiciais!G:G,df_bloqueios_judiciais!D:D,Conciliacao!A563,df_bloqueios_judiciais!G:G,"&gt;0")</f>
        <v/>
      </c>
      <c r="H563" s="7">
        <f>SUMIFS(df_extratos!I:I,df_extratos!F:F,"&gt;="&amp;Conciliacao!BE563,df_extratos!F:F,"&lt;"&amp;Conciliacao!BE563+1,df_extratos!G:G,"CREDITO")
+SUMIFS(df_extratos!I:I,df_extratos!F:F,"&gt;="&amp;Conciliacao!A563, df_extratos!F:F,"&lt;"&amp;Conciliacao!A563+1, df_extratos!G:G,"CREDITO")
+SUMIFS(df_extratos!I:I,df_extratos!F:F,"&gt;="&amp;Conciliacao!BF563,df_extratos!F:F,"&lt;"&amp;Conciliacao!BF563+1,df_extratos!G:G,"CREDITO")
+SUMIFS(df_extratos!I:I,df_extratos!F:F,"&gt;="&amp;Conciliacao!BG563,df_extratos!F:F,"&lt;"&amp;Conciliacao!BG563+1,df_extratos!G:G,"CREDITO")
+SUMIFS(df_extratos!I:I,df_extratos!F:F,"&gt;="&amp;Conciliacao!BH563,df_extratos!F:F,"&lt;"&amp;Conciliacao!BH563+1,df_extratos!G:G,"CREDITO")</f>
        <v/>
      </c>
      <c r="I563" s="9">
        <f>H563-SUM(B563:G563)</f>
        <v/>
      </c>
      <c r="J563" s="4">
        <f>SUMIFS(df_blueme_sem_parcelamento!E:E,df_blueme_sem_parcelamento!H:H,Conciliacao!A563)*(-1)</f>
        <v/>
      </c>
      <c r="K563" s="4">
        <f>SUMIFS(df_blueme_com_parcelamento!J:J,df_blueme_com_parcelamento!M:M,Conciliacao!A563)*(-1)</f>
        <v/>
      </c>
      <c r="L563" s="4">
        <f>SUMIFS(df_mutuos!N:N,df_mutuos!B:B,Conciliacao!A563)*(-1)</f>
        <v/>
      </c>
      <c r="M563" s="8">
        <f>SUMIFS(df_bloqueios_judiciais!G:G,df_bloqueios_judiciais!D:D,Conciliacao!A563,df_bloqueios_judiciais!G:G,"&lt;0")</f>
        <v/>
      </c>
      <c r="N563" s="10">
        <f>SUMIFS(df_extratos!I:I,df_extratos!F:F,"&gt;="&amp;Conciliacao!BE563,df_extratos!F:F,"&lt;"&amp;Conciliacao!BE563+1,df_extratos!G:G,"DEBITO")
+SUMIFS(df_extratos!I:I,df_extratos!F:F,"&gt;="&amp;Conciliacao!A563, df_extratos!F:F,"&lt;"&amp;Conciliacao!A563+1, df_extratos!G:G,"DEBITO")
+SUMIFS(df_extratos!I:I,df_extratos!F:F,"&gt;="&amp;Conciliacao!BF563,df_extratos!F:F,"&lt;"&amp;Conciliacao!BF563+1,df_extratos!G:G,"DEBITO")
+SUMIFS(df_extratos!I:I,df_extratos!F:F,"&gt;="&amp;Conciliacao!BG563,df_extratos!F:F,"&lt;"&amp;Conciliacao!BG563+1,df_extratos!G:G,"DEBITO")
+SUMIFS(df_extratos!I:I,df_extratos!F:F,"&gt;="&amp;Conciliacao!BH563,df_extratos!F:F,"&lt;"&amp;Conciliacao!BH563+1,df_extratos!G:G,"DEBITO")</f>
        <v/>
      </c>
      <c r="O563" s="11">
        <f>N563-SUM(J563:M563)</f>
        <v/>
      </c>
      <c r="P563" s="25">
        <f>SUMIFS(df_ajustes_conciliaco!D:D,df_ajustes_conciliaco!C:C,Conciliacao!A563)</f>
        <v/>
      </c>
      <c r="Q563" s="22">
        <f>O563+I563-P563</f>
        <v/>
      </c>
    </row>
    <row r="564">
      <c r="A564" s="5">
        <f>A563+1</f>
        <v/>
      </c>
      <c r="B564" s="3">
        <f>-SUMIFS(df_extrato_zig!G:G,df_extrato_zig!E:E,Conciliacao!A564,df_extrato_zig!D:D,"Saque")-SUMIFS(df_extrato_zig!G:G,df_extrato_zig!E:E,Conciliacao!A564,df_extrato_zig!D:D,"Antecipação")</f>
        <v/>
      </c>
      <c r="C564" s="3">
        <f>SUMIFS(df_extrato_zig!E:E,df_extrato_zig!L:L,Conciliacao!A564,df_extrato_zig!F:F,"DINHEIRO")</f>
        <v/>
      </c>
      <c r="D564" s="3">
        <f>SUMIFS(view_parc_agrup!H:H,view_parc_agrup!G:G,Conciliacao!A564)</f>
        <v/>
      </c>
      <c r="E564" s="3">
        <f>SUMIFS(df_eventos!F:F,df_eventos!H:H,Conciliacao!A564)</f>
        <v/>
      </c>
      <c r="F564" s="3">
        <f>SUMIFS(df_mutuos!M:M,df_mutuos!B:B,Conciliacao!A564)</f>
        <v/>
      </c>
      <c r="G564" s="6">
        <f>SUMIFS(df_bloqueios_judiciais!G:G,df_bloqueios_judiciais!D:D,Conciliacao!A564,df_bloqueios_judiciais!G:G,"&gt;0")</f>
        <v/>
      </c>
      <c r="H564" s="7">
        <f>SUMIFS(df_extratos!I:I,df_extratos!F:F,"&gt;="&amp;Conciliacao!BE564,df_extratos!F:F,"&lt;"&amp;Conciliacao!BE564+1,df_extratos!G:G,"CREDITO")
+SUMIFS(df_extratos!I:I,df_extratos!F:F,"&gt;="&amp;Conciliacao!A564, df_extratos!F:F,"&lt;"&amp;Conciliacao!A564+1, df_extratos!G:G,"CREDITO")
+SUMIFS(df_extratos!I:I,df_extratos!F:F,"&gt;="&amp;Conciliacao!BF564,df_extratos!F:F,"&lt;"&amp;Conciliacao!BF564+1,df_extratos!G:G,"CREDITO")
+SUMIFS(df_extratos!I:I,df_extratos!F:F,"&gt;="&amp;Conciliacao!BG564,df_extratos!F:F,"&lt;"&amp;Conciliacao!BG564+1,df_extratos!G:G,"CREDITO")
+SUMIFS(df_extratos!I:I,df_extratos!F:F,"&gt;="&amp;Conciliacao!BH564,df_extratos!F:F,"&lt;"&amp;Conciliacao!BH564+1,df_extratos!G:G,"CREDITO")</f>
        <v/>
      </c>
      <c r="I564" s="9">
        <f>H564-SUM(B564:G564)</f>
        <v/>
      </c>
      <c r="J564" s="4">
        <f>SUMIFS(df_blueme_sem_parcelamento!E:E,df_blueme_sem_parcelamento!H:H,Conciliacao!A564)*(-1)</f>
        <v/>
      </c>
      <c r="K564" s="4">
        <f>SUMIFS(df_blueme_com_parcelamento!J:J,df_blueme_com_parcelamento!M:M,Conciliacao!A564)*(-1)</f>
        <v/>
      </c>
      <c r="L564" s="4">
        <f>SUMIFS(df_mutuos!N:N,df_mutuos!B:B,Conciliacao!A564)*(-1)</f>
        <v/>
      </c>
      <c r="M564" s="8">
        <f>SUMIFS(df_bloqueios_judiciais!G:G,df_bloqueios_judiciais!D:D,Conciliacao!A564,df_bloqueios_judiciais!G:G,"&lt;0")</f>
        <v/>
      </c>
      <c r="N564" s="10">
        <f>SUMIFS(df_extratos!I:I,df_extratos!F:F,"&gt;="&amp;Conciliacao!BE564,df_extratos!F:F,"&lt;"&amp;Conciliacao!BE564+1,df_extratos!G:G,"DEBITO")
+SUMIFS(df_extratos!I:I,df_extratos!F:F,"&gt;="&amp;Conciliacao!A564, df_extratos!F:F,"&lt;"&amp;Conciliacao!A564+1, df_extratos!G:G,"DEBITO")
+SUMIFS(df_extratos!I:I,df_extratos!F:F,"&gt;="&amp;Conciliacao!BF564,df_extratos!F:F,"&lt;"&amp;Conciliacao!BF564+1,df_extratos!G:G,"DEBITO")
+SUMIFS(df_extratos!I:I,df_extratos!F:F,"&gt;="&amp;Conciliacao!BG564,df_extratos!F:F,"&lt;"&amp;Conciliacao!BG564+1,df_extratos!G:G,"DEBITO")
+SUMIFS(df_extratos!I:I,df_extratos!F:F,"&gt;="&amp;Conciliacao!BH564,df_extratos!F:F,"&lt;"&amp;Conciliacao!BH564+1,df_extratos!G:G,"DEBITO")</f>
        <v/>
      </c>
      <c r="O564" s="11">
        <f>N564-SUM(J564:M564)</f>
        <v/>
      </c>
      <c r="P564" s="25">
        <f>SUMIFS(df_ajustes_conciliaco!D:D,df_ajustes_conciliaco!C:C,Conciliacao!A564)</f>
        <v/>
      </c>
      <c r="Q564" s="22">
        <f>O564+I564-P564</f>
        <v/>
      </c>
    </row>
    <row r="565">
      <c r="A565" s="5">
        <f>A564+1</f>
        <v/>
      </c>
      <c r="B565" s="3">
        <f>-SUMIFS(df_extrato_zig!G:G,df_extrato_zig!E:E,Conciliacao!A565,df_extrato_zig!D:D,"Saque")-SUMIFS(df_extrato_zig!G:G,df_extrato_zig!E:E,Conciliacao!A565,df_extrato_zig!D:D,"Antecipação")</f>
        <v/>
      </c>
      <c r="C565" s="3">
        <f>SUMIFS(df_extrato_zig!E:E,df_extrato_zig!L:L,Conciliacao!A565,df_extrato_zig!F:F,"DINHEIRO")</f>
        <v/>
      </c>
      <c r="D565" s="3">
        <f>SUMIFS(view_parc_agrup!H:H,view_parc_agrup!G:G,Conciliacao!A565)</f>
        <v/>
      </c>
      <c r="E565" s="3">
        <f>SUMIFS(df_eventos!F:F,df_eventos!H:H,Conciliacao!A565)</f>
        <v/>
      </c>
      <c r="F565" s="3">
        <f>SUMIFS(df_mutuos!M:M,df_mutuos!B:B,Conciliacao!A565)</f>
        <v/>
      </c>
      <c r="G565" s="6">
        <f>SUMIFS(df_bloqueios_judiciais!G:G,df_bloqueios_judiciais!D:D,Conciliacao!A565,df_bloqueios_judiciais!G:G,"&gt;0")</f>
        <v/>
      </c>
      <c r="H565" s="7">
        <f>SUMIFS(df_extratos!I:I,df_extratos!F:F,"&gt;="&amp;Conciliacao!BE565,df_extratos!F:F,"&lt;"&amp;Conciliacao!BE565+1,df_extratos!G:G,"CREDITO")
+SUMIFS(df_extratos!I:I,df_extratos!F:F,"&gt;="&amp;Conciliacao!A565, df_extratos!F:F,"&lt;"&amp;Conciliacao!A565+1, df_extratos!G:G,"CREDITO")
+SUMIFS(df_extratos!I:I,df_extratos!F:F,"&gt;="&amp;Conciliacao!BF565,df_extratos!F:F,"&lt;"&amp;Conciliacao!BF565+1,df_extratos!G:G,"CREDITO")
+SUMIFS(df_extratos!I:I,df_extratos!F:F,"&gt;="&amp;Conciliacao!BG565,df_extratos!F:F,"&lt;"&amp;Conciliacao!BG565+1,df_extratos!G:G,"CREDITO")
+SUMIFS(df_extratos!I:I,df_extratos!F:F,"&gt;="&amp;Conciliacao!BH565,df_extratos!F:F,"&lt;"&amp;Conciliacao!BH565+1,df_extratos!G:G,"CREDITO")</f>
        <v/>
      </c>
      <c r="I565" s="9">
        <f>H565-SUM(B565:G565)</f>
        <v/>
      </c>
      <c r="J565" s="4">
        <f>SUMIFS(df_blueme_sem_parcelamento!E:E,df_blueme_sem_parcelamento!H:H,Conciliacao!A565)*(-1)</f>
        <v/>
      </c>
      <c r="K565" s="4">
        <f>SUMIFS(df_blueme_com_parcelamento!J:J,df_blueme_com_parcelamento!M:M,Conciliacao!A565)*(-1)</f>
        <v/>
      </c>
      <c r="L565" s="4">
        <f>SUMIFS(df_mutuos!N:N,df_mutuos!B:B,Conciliacao!A565)*(-1)</f>
        <v/>
      </c>
      <c r="M565" s="8">
        <f>SUMIFS(df_bloqueios_judiciais!G:G,df_bloqueios_judiciais!D:D,Conciliacao!A565,df_bloqueios_judiciais!G:G,"&lt;0")</f>
        <v/>
      </c>
      <c r="N565" s="10">
        <f>SUMIFS(df_extratos!I:I,df_extratos!F:F,"&gt;="&amp;Conciliacao!BE565,df_extratos!F:F,"&lt;"&amp;Conciliacao!BE565+1,df_extratos!G:G,"DEBITO")
+SUMIFS(df_extratos!I:I,df_extratos!F:F,"&gt;="&amp;Conciliacao!A565, df_extratos!F:F,"&lt;"&amp;Conciliacao!A565+1, df_extratos!G:G,"DEBITO")
+SUMIFS(df_extratos!I:I,df_extratos!F:F,"&gt;="&amp;Conciliacao!BF565,df_extratos!F:F,"&lt;"&amp;Conciliacao!BF565+1,df_extratos!G:G,"DEBITO")
+SUMIFS(df_extratos!I:I,df_extratos!F:F,"&gt;="&amp;Conciliacao!BG565,df_extratos!F:F,"&lt;"&amp;Conciliacao!BG565+1,df_extratos!G:G,"DEBITO")
+SUMIFS(df_extratos!I:I,df_extratos!F:F,"&gt;="&amp;Conciliacao!BH565,df_extratos!F:F,"&lt;"&amp;Conciliacao!BH565+1,df_extratos!G:G,"DEBITO")</f>
        <v/>
      </c>
      <c r="O565" s="11">
        <f>N565-SUM(J565:M565)</f>
        <v/>
      </c>
      <c r="P565" s="25">
        <f>SUMIFS(df_ajustes_conciliaco!D:D,df_ajustes_conciliaco!C:C,Conciliacao!A565)</f>
        <v/>
      </c>
      <c r="Q565" s="22">
        <f>O565+I565-P565</f>
        <v/>
      </c>
    </row>
    <row r="566">
      <c r="A566" s="5">
        <f>A565+1</f>
        <v/>
      </c>
      <c r="B566" s="3">
        <f>-SUMIFS(df_extrato_zig!G:G,df_extrato_zig!E:E,Conciliacao!A566,df_extrato_zig!D:D,"Saque")-SUMIFS(df_extrato_zig!G:G,df_extrato_zig!E:E,Conciliacao!A566,df_extrato_zig!D:D,"Antecipação")</f>
        <v/>
      </c>
      <c r="C566" s="3">
        <f>SUMIFS(df_extrato_zig!E:E,df_extrato_zig!L:L,Conciliacao!A566,df_extrato_zig!F:F,"DINHEIRO")</f>
        <v/>
      </c>
      <c r="D566" s="3">
        <f>SUMIFS(view_parc_agrup!H:H,view_parc_agrup!G:G,Conciliacao!A566)</f>
        <v/>
      </c>
      <c r="E566" s="3">
        <f>SUMIFS(df_eventos!F:F,df_eventos!H:H,Conciliacao!A566)</f>
        <v/>
      </c>
      <c r="F566" s="3">
        <f>SUMIFS(df_mutuos!M:M,df_mutuos!B:B,Conciliacao!A566)</f>
        <v/>
      </c>
      <c r="G566" s="6">
        <f>SUMIFS(df_bloqueios_judiciais!G:G,df_bloqueios_judiciais!D:D,Conciliacao!A566,df_bloqueios_judiciais!G:G,"&gt;0")</f>
        <v/>
      </c>
      <c r="H566" s="7">
        <f>SUMIFS(df_extratos!I:I,df_extratos!F:F,"&gt;="&amp;Conciliacao!BE566,df_extratos!F:F,"&lt;"&amp;Conciliacao!BE566+1,df_extratos!G:G,"CREDITO")
+SUMIFS(df_extratos!I:I,df_extratos!F:F,"&gt;="&amp;Conciliacao!A566, df_extratos!F:F,"&lt;"&amp;Conciliacao!A566+1, df_extratos!G:G,"CREDITO")
+SUMIFS(df_extratos!I:I,df_extratos!F:F,"&gt;="&amp;Conciliacao!BF566,df_extratos!F:F,"&lt;"&amp;Conciliacao!BF566+1,df_extratos!G:G,"CREDITO")
+SUMIFS(df_extratos!I:I,df_extratos!F:F,"&gt;="&amp;Conciliacao!BG566,df_extratos!F:F,"&lt;"&amp;Conciliacao!BG566+1,df_extratos!G:G,"CREDITO")
+SUMIFS(df_extratos!I:I,df_extratos!F:F,"&gt;="&amp;Conciliacao!BH566,df_extratos!F:F,"&lt;"&amp;Conciliacao!BH566+1,df_extratos!G:G,"CREDITO")</f>
        <v/>
      </c>
      <c r="I566" s="9">
        <f>H566-SUM(B566:G566)</f>
        <v/>
      </c>
      <c r="J566" s="4">
        <f>SUMIFS(df_blueme_sem_parcelamento!E:E,df_blueme_sem_parcelamento!H:H,Conciliacao!A566)*(-1)</f>
        <v/>
      </c>
      <c r="K566" s="4">
        <f>SUMIFS(df_blueme_com_parcelamento!J:J,df_blueme_com_parcelamento!M:M,Conciliacao!A566)*(-1)</f>
        <v/>
      </c>
      <c r="L566" s="4">
        <f>SUMIFS(df_mutuos!N:N,df_mutuos!B:B,Conciliacao!A566)*(-1)</f>
        <v/>
      </c>
      <c r="M566" s="8">
        <f>SUMIFS(df_bloqueios_judiciais!G:G,df_bloqueios_judiciais!D:D,Conciliacao!A566,df_bloqueios_judiciais!G:G,"&lt;0")</f>
        <v/>
      </c>
      <c r="N566" s="10">
        <f>SUMIFS(df_extratos!I:I,df_extratos!F:F,"&gt;="&amp;Conciliacao!BE566,df_extratos!F:F,"&lt;"&amp;Conciliacao!BE566+1,df_extratos!G:G,"DEBITO")
+SUMIFS(df_extratos!I:I,df_extratos!F:F,"&gt;="&amp;Conciliacao!A566, df_extratos!F:F,"&lt;"&amp;Conciliacao!A566+1, df_extratos!G:G,"DEBITO")
+SUMIFS(df_extratos!I:I,df_extratos!F:F,"&gt;="&amp;Conciliacao!BF566,df_extratos!F:F,"&lt;"&amp;Conciliacao!BF566+1,df_extratos!G:G,"DEBITO")
+SUMIFS(df_extratos!I:I,df_extratos!F:F,"&gt;="&amp;Conciliacao!BG566,df_extratos!F:F,"&lt;"&amp;Conciliacao!BG566+1,df_extratos!G:G,"DEBITO")
+SUMIFS(df_extratos!I:I,df_extratos!F:F,"&gt;="&amp;Conciliacao!BH566,df_extratos!F:F,"&lt;"&amp;Conciliacao!BH566+1,df_extratos!G:G,"DEBITO")</f>
        <v/>
      </c>
      <c r="O566" s="11">
        <f>N566-SUM(J566:M566)</f>
        <v/>
      </c>
      <c r="P566" s="25">
        <f>SUMIFS(df_ajustes_conciliaco!D:D,df_ajustes_conciliaco!C:C,Conciliacao!A566)</f>
        <v/>
      </c>
      <c r="Q566" s="22">
        <f>O566+I566-P566</f>
        <v/>
      </c>
    </row>
    <row r="567">
      <c r="A567" s="5">
        <f>A566+1</f>
        <v/>
      </c>
      <c r="B567" s="3">
        <f>-SUMIFS(df_extrato_zig!G:G,df_extrato_zig!E:E,Conciliacao!A567,df_extrato_zig!D:D,"Saque")-SUMIFS(df_extrato_zig!G:G,df_extrato_zig!E:E,Conciliacao!A567,df_extrato_zig!D:D,"Antecipação")</f>
        <v/>
      </c>
      <c r="C567" s="3">
        <f>SUMIFS(df_extrato_zig!E:E,df_extrato_zig!L:L,Conciliacao!A567,df_extrato_zig!F:F,"DINHEIRO")</f>
        <v/>
      </c>
      <c r="D567" s="3">
        <f>SUMIFS(view_parc_agrup!H:H,view_parc_agrup!G:G,Conciliacao!A567)</f>
        <v/>
      </c>
      <c r="E567" s="3">
        <f>SUMIFS(df_eventos!F:F,df_eventos!H:H,Conciliacao!A567)</f>
        <v/>
      </c>
      <c r="F567" s="3">
        <f>SUMIFS(df_mutuos!M:M,df_mutuos!B:B,Conciliacao!A567)</f>
        <v/>
      </c>
      <c r="G567" s="6">
        <f>SUMIFS(df_bloqueios_judiciais!G:G,df_bloqueios_judiciais!D:D,Conciliacao!A567,df_bloqueios_judiciais!G:G,"&gt;0")</f>
        <v/>
      </c>
      <c r="H567" s="7">
        <f>SUMIFS(df_extratos!I:I,df_extratos!F:F,"&gt;="&amp;Conciliacao!BE567,df_extratos!F:F,"&lt;"&amp;Conciliacao!BE567+1,df_extratos!G:G,"CREDITO")
+SUMIFS(df_extratos!I:I,df_extratos!F:F,"&gt;="&amp;Conciliacao!A567, df_extratos!F:F,"&lt;"&amp;Conciliacao!A567+1, df_extratos!G:G,"CREDITO")
+SUMIFS(df_extratos!I:I,df_extratos!F:F,"&gt;="&amp;Conciliacao!BF567,df_extratos!F:F,"&lt;"&amp;Conciliacao!BF567+1,df_extratos!G:G,"CREDITO")
+SUMIFS(df_extratos!I:I,df_extratos!F:F,"&gt;="&amp;Conciliacao!BG567,df_extratos!F:F,"&lt;"&amp;Conciliacao!BG567+1,df_extratos!G:G,"CREDITO")
+SUMIFS(df_extratos!I:I,df_extratos!F:F,"&gt;="&amp;Conciliacao!BH567,df_extratos!F:F,"&lt;"&amp;Conciliacao!BH567+1,df_extratos!G:G,"CREDITO")</f>
        <v/>
      </c>
      <c r="I567" s="9">
        <f>H567-SUM(B567:G567)</f>
        <v/>
      </c>
      <c r="J567" s="4">
        <f>SUMIFS(df_blueme_sem_parcelamento!E:E,df_blueme_sem_parcelamento!H:H,Conciliacao!A567)*(-1)</f>
        <v/>
      </c>
      <c r="K567" s="4">
        <f>SUMIFS(df_blueme_com_parcelamento!J:J,df_blueme_com_parcelamento!M:M,Conciliacao!A567)*(-1)</f>
        <v/>
      </c>
      <c r="L567" s="4">
        <f>SUMIFS(df_mutuos!N:N,df_mutuos!B:B,Conciliacao!A567)*(-1)</f>
        <v/>
      </c>
      <c r="M567" s="8">
        <f>SUMIFS(df_bloqueios_judiciais!G:G,df_bloqueios_judiciais!D:D,Conciliacao!A567,df_bloqueios_judiciais!G:G,"&lt;0")</f>
        <v/>
      </c>
      <c r="N567" s="10">
        <f>SUMIFS(df_extratos!I:I,df_extratos!F:F,"&gt;="&amp;Conciliacao!BE567,df_extratos!F:F,"&lt;"&amp;Conciliacao!BE567+1,df_extratos!G:G,"DEBITO")
+SUMIFS(df_extratos!I:I,df_extratos!F:F,"&gt;="&amp;Conciliacao!A567, df_extratos!F:F,"&lt;"&amp;Conciliacao!A567+1, df_extratos!G:G,"DEBITO")
+SUMIFS(df_extratos!I:I,df_extratos!F:F,"&gt;="&amp;Conciliacao!BF567,df_extratos!F:F,"&lt;"&amp;Conciliacao!BF567+1,df_extratos!G:G,"DEBITO")
+SUMIFS(df_extratos!I:I,df_extratos!F:F,"&gt;="&amp;Conciliacao!BG567,df_extratos!F:F,"&lt;"&amp;Conciliacao!BG567+1,df_extratos!G:G,"DEBITO")
+SUMIFS(df_extratos!I:I,df_extratos!F:F,"&gt;="&amp;Conciliacao!BH567,df_extratos!F:F,"&lt;"&amp;Conciliacao!BH567+1,df_extratos!G:G,"DEBITO")</f>
        <v/>
      </c>
      <c r="O567" s="11">
        <f>N567-SUM(J567:M567)</f>
        <v/>
      </c>
      <c r="P567" s="25">
        <f>SUMIFS(df_ajustes_conciliaco!D:D,df_ajustes_conciliaco!C:C,Conciliacao!A567)</f>
        <v/>
      </c>
      <c r="Q567" s="22">
        <f>O567+I567-P567</f>
        <v/>
      </c>
    </row>
    <row r="568">
      <c r="A568" s="5">
        <f>A567+1</f>
        <v/>
      </c>
      <c r="B568" s="3">
        <f>-SUMIFS(df_extrato_zig!G:G,df_extrato_zig!E:E,Conciliacao!A568,df_extrato_zig!D:D,"Saque")-SUMIFS(df_extrato_zig!G:G,df_extrato_zig!E:E,Conciliacao!A568,df_extrato_zig!D:D,"Antecipação")</f>
        <v/>
      </c>
      <c r="C568" s="3">
        <f>SUMIFS(df_extrato_zig!E:E,df_extrato_zig!L:L,Conciliacao!A568,df_extrato_zig!F:F,"DINHEIRO")</f>
        <v/>
      </c>
      <c r="D568" s="3">
        <f>SUMIFS(view_parc_agrup!H:H,view_parc_agrup!G:G,Conciliacao!A568)</f>
        <v/>
      </c>
      <c r="E568" s="3">
        <f>SUMIFS(df_eventos!F:F,df_eventos!H:H,Conciliacao!A568)</f>
        <v/>
      </c>
      <c r="F568" s="3">
        <f>SUMIFS(df_mutuos!M:M,df_mutuos!B:B,Conciliacao!A568)</f>
        <v/>
      </c>
      <c r="G568" s="6">
        <f>SUMIFS(df_bloqueios_judiciais!G:G,df_bloqueios_judiciais!D:D,Conciliacao!A568,df_bloqueios_judiciais!G:G,"&gt;0")</f>
        <v/>
      </c>
      <c r="H568" s="7">
        <f>SUMIFS(df_extratos!I:I,df_extratos!F:F,"&gt;="&amp;Conciliacao!BE568,df_extratos!F:F,"&lt;"&amp;Conciliacao!BE568+1,df_extratos!G:G,"CREDITO")
+SUMIFS(df_extratos!I:I,df_extratos!F:F,"&gt;="&amp;Conciliacao!A568, df_extratos!F:F,"&lt;"&amp;Conciliacao!A568+1, df_extratos!G:G,"CREDITO")
+SUMIFS(df_extratos!I:I,df_extratos!F:F,"&gt;="&amp;Conciliacao!BF568,df_extratos!F:F,"&lt;"&amp;Conciliacao!BF568+1,df_extratos!G:G,"CREDITO")
+SUMIFS(df_extratos!I:I,df_extratos!F:F,"&gt;="&amp;Conciliacao!BG568,df_extratos!F:F,"&lt;"&amp;Conciliacao!BG568+1,df_extratos!G:G,"CREDITO")
+SUMIFS(df_extratos!I:I,df_extratos!F:F,"&gt;="&amp;Conciliacao!BH568,df_extratos!F:F,"&lt;"&amp;Conciliacao!BH568+1,df_extratos!G:G,"CREDITO")</f>
        <v/>
      </c>
      <c r="I568" s="9">
        <f>H568-SUM(B568:G568)</f>
        <v/>
      </c>
      <c r="J568" s="4">
        <f>SUMIFS(df_blueme_sem_parcelamento!E:E,df_blueme_sem_parcelamento!H:H,Conciliacao!A568)*(-1)</f>
        <v/>
      </c>
      <c r="K568" s="4">
        <f>SUMIFS(df_blueme_com_parcelamento!J:J,df_blueme_com_parcelamento!M:M,Conciliacao!A568)*(-1)</f>
        <v/>
      </c>
      <c r="L568" s="4">
        <f>SUMIFS(df_mutuos!N:N,df_mutuos!B:B,Conciliacao!A568)*(-1)</f>
        <v/>
      </c>
      <c r="M568" s="8">
        <f>SUMIFS(df_bloqueios_judiciais!G:G,df_bloqueios_judiciais!D:D,Conciliacao!A568,df_bloqueios_judiciais!G:G,"&lt;0")</f>
        <v/>
      </c>
      <c r="N568" s="10">
        <f>SUMIFS(df_extratos!I:I,df_extratos!F:F,"&gt;="&amp;Conciliacao!BE568,df_extratos!F:F,"&lt;"&amp;Conciliacao!BE568+1,df_extratos!G:G,"DEBITO")
+SUMIFS(df_extratos!I:I,df_extratos!F:F,"&gt;="&amp;Conciliacao!A568, df_extratos!F:F,"&lt;"&amp;Conciliacao!A568+1, df_extratos!G:G,"DEBITO")
+SUMIFS(df_extratos!I:I,df_extratos!F:F,"&gt;="&amp;Conciliacao!BF568,df_extratos!F:F,"&lt;"&amp;Conciliacao!BF568+1,df_extratos!G:G,"DEBITO")
+SUMIFS(df_extratos!I:I,df_extratos!F:F,"&gt;="&amp;Conciliacao!BG568,df_extratos!F:F,"&lt;"&amp;Conciliacao!BG568+1,df_extratos!G:G,"DEBITO")
+SUMIFS(df_extratos!I:I,df_extratos!F:F,"&gt;="&amp;Conciliacao!BH568,df_extratos!F:F,"&lt;"&amp;Conciliacao!BH568+1,df_extratos!G:G,"DEBITO")</f>
        <v/>
      </c>
      <c r="O568" s="11">
        <f>N568-SUM(J568:M568)</f>
        <v/>
      </c>
      <c r="P568" s="25">
        <f>SUMIFS(df_ajustes_conciliaco!D:D,df_ajustes_conciliaco!C:C,Conciliacao!A568)</f>
        <v/>
      </c>
      <c r="Q568" s="22">
        <f>O568+I568-P568</f>
        <v/>
      </c>
    </row>
    <row r="569">
      <c r="A569" s="5">
        <f>A568+1</f>
        <v/>
      </c>
      <c r="B569" s="3">
        <f>-SUMIFS(df_extrato_zig!G:G,df_extrato_zig!E:E,Conciliacao!A569,df_extrato_zig!D:D,"Saque")-SUMIFS(df_extrato_zig!G:G,df_extrato_zig!E:E,Conciliacao!A569,df_extrato_zig!D:D,"Antecipação")</f>
        <v/>
      </c>
      <c r="C569" s="3">
        <f>SUMIFS(df_extrato_zig!E:E,df_extrato_zig!L:L,Conciliacao!A569,df_extrato_zig!F:F,"DINHEIRO")</f>
        <v/>
      </c>
      <c r="D569" s="3">
        <f>SUMIFS(view_parc_agrup!H:H,view_parc_agrup!G:G,Conciliacao!A569)</f>
        <v/>
      </c>
      <c r="E569" s="3">
        <f>SUMIFS(df_eventos!F:F,df_eventos!H:H,Conciliacao!A569)</f>
        <v/>
      </c>
      <c r="F569" s="3">
        <f>SUMIFS(df_mutuos!M:M,df_mutuos!B:B,Conciliacao!A569)</f>
        <v/>
      </c>
      <c r="G569" s="6">
        <f>SUMIFS(df_bloqueios_judiciais!G:G,df_bloqueios_judiciais!D:D,Conciliacao!A569,df_bloqueios_judiciais!G:G,"&gt;0")</f>
        <v/>
      </c>
      <c r="H569" s="7">
        <f>SUMIFS(df_extratos!I:I,df_extratos!F:F,"&gt;="&amp;Conciliacao!BE569,df_extratos!F:F,"&lt;"&amp;Conciliacao!BE569+1,df_extratos!G:G,"CREDITO")
+SUMIFS(df_extratos!I:I,df_extratos!F:F,"&gt;="&amp;Conciliacao!A569, df_extratos!F:F,"&lt;"&amp;Conciliacao!A569+1, df_extratos!G:G,"CREDITO")
+SUMIFS(df_extratos!I:I,df_extratos!F:F,"&gt;="&amp;Conciliacao!BF569,df_extratos!F:F,"&lt;"&amp;Conciliacao!BF569+1,df_extratos!G:G,"CREDITO")
+SUMIFS(df_extratos!I:I,df_extratos!F:F,"&gt;="&amp;Conciliacao!BG569,df_extratos!F:F,"&lt;"&amp;Conciliacao!BG569+1,df_extratos!G:G,"CREDITO")
+SUMIFS(df_extratos!I:I,df_extratos!F:F,"&gt;="&amp;Conciliacao!BH569,df_extratos!F:F,"&lt;"&amp;Conciliacao!BH569+1,df_extratos!G:G,"CREDITO")</f>
        <v/>
      </c>
      <c r="I569" s="9">
        <f>H569-SUM(B569:G569)</f>
        <v/>
      </c>
      <c r="J569" s="4">
        <f>SUMIFS(df_blueme_sem_parcelamento!E:E,df_blueme_sem_parcelamento!H:H,Conciliacao!A569)*(-1)</f>
        <v/>
      </c>
      <c r="K569" s="4">
        <f>SUMIFS(df_blueme_com_parcelamento!J:J,df_blueme_com_parcelamento!M:M,Conciliacao!A569)*(-1)</f>
        <v/>
      </c>
      <c r="L569" s="4">
        <f>SUMIFS(df_mutuos!N:N,df_mutuos!B:B,Conciliacao!A569)*(-1)</f>
        <v/>
      </c>
      <c r="M569" s="8">
        <f>SUMIFS(df_bloqueios_judiciais!G:G,df_bloqueios_judiciais!D:D,Conciliacao!A569,df_bloqueios_judiciais!G:G,"&lt;0")</f>
        <v/>
      </c>
      <c r="N569" s="10">
        <f>SUMIFS(df_extratos!I:I,df_extratos!F:F,"&gt;="&amp;Conciliacao!BE569,df_extratos!F:F,"&lt;"&amp;Conciliacao!BE569+1,df_extratos!G:G,"DEBITO")
+SUMIFS(df_extratos!I:I,df_extratos!F:F,"&gt;="&amp;Conciliacao!A569, df_extratos!F:F,"&lt;"&amp;Conciliacao!A569+1, df_extratos!G:G,"DEBITO")
+SUMIFS(df_extratos!I:I,df_extratos!F:F,"&gt;="&amp;Conciliacao!BF569,df_extratos!F:F,"&lt;"&amp;Conciliacao!BF569+1,df_extratos!G:G,"DEBITO")
+SUMIFS(df_extratos!I:I,df_extratos!F:F,"&gt;="&amp;Conciliacao!BG569,df_extratos!F:F,"&lt;"&amp;Conciliacao!BG569+1,df_extratos!G:G,"DEBITO")
+SUMIFS(df_extratos!I:I,df_extratos!F:F,"&gt;="&amp;Conciliacao!BH569,df_extratos!F:F,"&lt;"&amp;Conciliacao!BH569+1,df_extratos!G:G,"DEBITO")</f>
        <v/>
      </c>
      <c r="O569" s="11">
        <f>N569-SUM(J569:M569)</f>
        <v/>
      </c>
      <c r="P569" s="25">
        <f>SUMIFS(df_ajustes_conciliaco!D:D,df_ajustes_conciliaco!C:C,Conciliacao!A569)</f>
        <v/>
      </c>
      <c r="Q569" s="22">
        <f>O569+I569-P569</f>
        <v/>
      </c>
    </row>
    <row r="570">
      <c r="A570" s="5">
        <f>A569+1</f>
        <v/>
      </c>
      <c r="B570" s="3">
        <f>-SUMIFS(df_extrato_zig!G:G,df_extrato_zig!E:E,Conciliacao!A570,df_extrato_zig!D:D,"Saque")-SUMIFS(df_extrato_zig!G:G,df_extrato_zig!E:E,Conciliacao!A570,df_extrato_zig!D:D,"Antecipação")</f>
        <v/>
      </c>
      <c r="C570" s="3">
        <f>SUMIFS(df_extrato_zig!E:E,df_extrato_zig!L:L,Conciliacao!A570,df_extrato_zig!F:F,"DINHEIRO")</f>
        <v/>
      </c>
      <c r="D570" s="3">
        <f>SUMIFS(view_parc_agrup!H:H,view_parc_agrup!G:G,Conciliacao!A570)</f>
        <v/>
      </c>
      <c r="E570" s="3">
        <f>SUMIFS(df_eventos!F:F,df_eventos!H:H,Conciliacao!A570)</f>
        <v/>
      </c>
      <c r="F570" s="3">
        <f>SUMIFS(df_mutuos!M:M,df_mutuos!B:B,Conciliacao!A570)</f>
        <v/>
      </c>
      <c r="G570" s="6">
        <f>SUMIFS(df_bloqueios_judiciais!G:G,df_bloqueios_judiciais!D:D,Conciliacao!A570,df_bloqueios_judiciais!G:G,"&gt;0")</f>
        <v/>
      </c>
      <c r="H570" s="7">
        <f>SUMIFS(df_extratos!I:I,df_extratos!F:F,"&gt;="&amp;Conciliacao!BE570,df_extratos!F:F,"&lt;"&amp;Conciliacao!BE570+1,df_extratos!G:G,"CREDITO")
+SUMIFS(df_extratos!I:I,df_extratos!F:F,"&gt;="&amp;Conciliacao!A570, df_extratos!F:F,"&lt;"&amp;Conciliacao!A570+1, df_extratos!G:G,"CREDITO")
+SUMIFS(df_extratos!I:I,df_extratos!F:F,"&gt;="&amp;Conciliacao!BF570,df_extratos!F:F,"&lt;"&amp;Conciliacao!BF570+1,df_extratos!G:G,"CREDITO")
+SUMIFS(df_extratos!I:I,df_extratos!F:F,"&gt;="&amp;Conciliacao!BG570,df_extratos!F:F,"&lt;"&amp;Conciliacao!BG570+1,df_extratos!G:G,"CREDITO")
+SUMIFS(df_extratos!I:I,df_extratos!F:F,"&gt;="&amp;Conciliacao!BH570,df_extratos!F:F,"&lt;"&amp;Conciliacao!BH570+1,df_extratos!G:G,"CREDITO")</f>
        <v/>
      </c>
      <c r="I570" s="9">
        <f>H570-SUM(B570:G570)</f>
        <v/>
      </c>
      <c r="J570" s="4">
        <f>SUMIFS(df_blueme_sem_parcelamento!E:E,df_blueme_sem_parcelamento!H:H,Conciliacao!A570)*(-1)</f>
        <v/>
      </c>
      <c r="K570" s="4">
        <f>SUMIFS(df_blueme_com_parcelamento!J:J,df_blueme_com_parcelamento!M:M,Conciliacao!A570)*(-1)</f>
        <v/>
      </c>
      <c r="L570" s="4">
        <f>SUMIFS(df_mutuos!N:N,df_mutuos!B:B,Conciliacao!A570)*(-1)</f>
        <v/>
      </c>
      <c r="M570" s="8">
        <f>SUMIFS(df_bloqueios_judiciais!G:G,df_bloqueios_judiciais!D:D,Conciliacao!A570,df_bloqueios_judiciais!G:G,"&lt;0")</f>
        <v/>
      </c>
      <c r="N570" s="10">
        <f>SUMIFS(df_extratos!I:I,df_extratos!F:F,"&gt;="&amp;Conciliacao!BE570,df_extratos!F:F,"&lt;"&amp;Conciliacao!BE570+1,df_extratos!G:G,"DEBITO")
+SUMIFS(df_extratos!I:I,df_extratos!F:F,"&gt;="&amp;Conciliacao!A570, df_extratos!F:F,"&lt;"&amp;Conciliacao!A570+1, df_extratos!G:G,"DEBITO")
+SUMIFS(df_extratos!I:I,df_extratos!F:F,"&gt;="&amp;Conciliacao!BF570,df_extratos!F:F,"&lt;"&amp;Conciliacao!BF570+1,df_extratos!G:G,"DEBITO")
+SUMIFS(df_extratos!I:I,df_extratos!F:F,"&gt;="&amp;Conciliacao!BG570,df_extratos!F:F,"&lt;"&amp;Conciliacao!BG570+1,df_extratos!G:G,"DEBITO")
+SUMIFS(df_extratos!I:I,df_extratos!F:F,"&gt;="&amp;Conciliacao!BH570,df_extratos!F:F,"&lt;"&amp;Conciliacao!BH570+1,df_extratos!G:G,"DEBITO")</f>
        <v/>
      </c>
      <c r="O570" s="11">
        <f>N570-SUM(J570:M570)</f>
        <v/>
      </c>
      <c r="P570" s="25">
        <f>SUMIFS(df_ajustes_conciliaco!D:D,df_ajustes_conciliaco!C:C,Conciliacao!A570)</f>
        <v/>
      </c>
      <c r="Q570" s="22">
        <f>O570+I570-P570</f>
        <v/>
      </c>
    </row>
    <row r="571">
      <c r="A571" s="5">
        <f>A570+1</f>
        <v/>
      </c>
      <c r="B571" s="3">
        <f>-SUMIFS(df_extrato_zig!G:G,df_extrato_zig!E:E,Conciliacao!A571,df_extrato_zig!D:D,"Saque")-SUMIFS(df_extrato_zig!G:G,df_extrato_zig!E:E,Conciliacao!A571,df_extrato_zig!D:D,"Antecipação")</f>
        <v/>
      </c>
      <c r="C571" s="3">
        <f>SUMIFS(df_extrato_zig!E:E,df_extrato_zig!L:L,Conciliacao!A571,df_extrato_zig!F:F,"DINHEIRO")</f>
        <v/>
      </c>
      <c r="D571" s="3">
        <f>SUMIFS(view_parc_agrup!H:H,view_parc_agrup!G:G,Conciliacao!A571)</f>
        <v/>
      </c>
      <c r="E571" s="3">
        <f>SUMIFS(df_eventos!F:F,df_eventos!H:H,Conciliacao!A571)</f>
        <v/>
      </c>
      <c r="F571" s="3">
        <f>SUMIFS(df_mutuos!M:M,df_mutuos!B:B,Conciliacao!A571)</f>
        <v/>
      </c>
      <c r="G571" s="6">
        <f>SUMIFS(df_bloqueios_judiciais!G:G,df_bloqueios_judiciais!D:D,Conciliacao!A571,df_bloqueios_judiciais!G:G,"&gt;0")</f>
        <v/>
      </c>
      <c r="H571" s="7">
        <f>SUMIFS(df_extratos!I:I,df_extratos!F:F,"&gt;="&amp;Conciliacao!BE571,df_extratos!F:F,"&lt;"&amp;Conciliacao!BE571+1,df_extratos!G:G,"CREDITO")
+SUMIFS(df_extratos!I:I,df_extratos!F:F,"&gt;="&amp;Conciliacao!A571, df_extratos!F:F,"&lt;"&amp;Conciliacao!A571+1, df_extratos!G:G,"CREDITO")
+SUMIFS(df_extratos!I:I,df_extratos!F:F,"&gt;="&amp;Conciliacao!BF571,df_extratos!F:F,"&lt;"&amp;Conciliacao!BF571+1,df_extratos!G:G,"CREDITO")
+SUMIFS(df_extratos!I:I,df_extratos!F:F,"&gt;="&amp;Conciliacao!BG571,df_extratos!F:F,"&lt;"&amp;Conciliacao!BG571+1,df_extratos!G:G,"CREDITO")
+SUMIFS(df_extratos!I:I,df_extratos!F:F,"&gt;="&amp;Conciliacao!BH571,df_extratos!F:F,"&lt;"&amp;Conciliacao!BH571+1,df_extratos!G:G,"CREDITO")</f>
        <v/>
      </c>
      <c r="I571" s="9">
        <f>H571-SUM(B571:G571)</f>
        <v/>
      </c>
      <c r="J571" s="4">
        <f>SUMIFS(df_blueme_sem_parcelamento!E:E,df_blueme_sem_parcelamento!H:H,Conciliacao!A571)*(-1)</f>
        <v/>
      </c>
      <c r="K571" s="4">
        <f>SUMIFS(df_blueme_com_parcelamento!J:J,df_blueme_com_parcelamento!M:M,Conciliacao!A571)*(-1)</f>
        <v/>
      </c>
      <c r="L571" s="4">
        <f>SUMIFS(df_mutuos!N:N,df_mutuos!B:B,Conciliacao!A571)*(-1)</f>
        <v/>
      </c>
      <c r="M571" s="8">
        <f>SUMIFS(df_bloqueios_judiciais!G:G,df_bloqueios_judiciais!D:D,Conciliacao!A571,df_bloqueios_judiciais!G:G,"&lt;0")</f>
        <v/>
      </c>
      <c r="N571" s="10">
        <f>SUMIFS(df_extratos!I:I,df_extratos!F:F,"&gt;="&amp;Conciliacao!BE571,df_extratos!F:F,"&lt;"&amp;Conciliacao!BE571+1,df_extratos!G:G,"DEBITO")
+SUMIFS(df_extratos!I:I,df_extratos!F:F,"&gt;="&amp;Conciliacao!A571, df_extratos!F:F,"&lt;"&amp;Conciliacao!A571+1, df_extratos!G:G,"DEBITO")
+SUMIFS(df_extratos!I:I,df_extratos!F:F,"&gt;="&amp;Conciliacao!BF571,df_extratos!F:F,"&lt;"&amp;Conciliacao!BF571+1,df_extratos!G:G,"DEBITO")
+SUMIFS(df_extratos!I:I,df_extratos!F:F,"&gt;="&amp;Conciliacao!BG571,df_extratos!F:F,"&lt;"&amp;Conciliacao!BG571+1,df_extratos!G:G,"DEBITO")
+SUMIFS(df_extratos!I:I,df_extratos!F:F,"&gt;="&amp;Conciliacao!BH571,df_extratos!F:F,"&lt;"&amp;Conciliacao!BH571+1,df_extratos!G:G,"DEBITO")</f>
        <v/>
      </c>
      <c r="O571" s="11">
        <f>N571-SUM(J571:M571)</f>
        <v/>
      </c>
      <c r="P571" s="25">
        <f>SUMIFS(df_ajustes_conciliaco!D:D,df_ajustes_conciliaco!C:C,Conciliacao!A571)</f>
        <v/>
      </c>
      <c r="Q571" s="22">
        <f>O571+I571-P571</f>
        <v/>
      </c>
    </row>
    <row r="572">
      <c r="A572" s="5">
        <f>A571+1</f>
        <v/>
      </c>
      <c r="B572" s="3">
        <f>-SUMIFS(df_extrato_zig!G:G,df_extrato_zig!E:E,Conciliacao!A572,df_extrato_zig!D:D,"Saque")-SUMIFS(df_extrato_zig!G:G,df_extrato_zig!E:E,Conciliacao!A572,df_extrato_zig!D:D,"Antecipação")</f>
        <v/>
      </c>
      <c r="C572" s="3">
        <f>SUMIFS(df_extrato_zig!E:E,df_extrato_zig!L:L,Conciliacao!A572,df_extrato_zig!F:F,"DINHEIRO")</f>
        <v/>
      </c>
      <c r="D572" s="3">
        <f>SUMIFS(view_parc_agrup!H:H,view_parc_agrup!G:G,Conciliacao!A572)</f>
        <v/>
      </c>
      <c r="E572" s="3">
        <f>SUMIFS(df_eventos!F:F,df_eventos!H:H,Conciliacao!A572)</f>
        <v/>
      </c>
      <c r="F572" s="3">
        <f>SUMIFS(df_mutuos!M:M,df_mutuos!B:B,Conciliacao!A572)</f>
        <v/>
      </c>
      <c r="G572" s="6">
        <f>SUMIFS(df_bloqueios_judiciais!G:G,df_bloqueios_judiciais!D:D,Conciliacao!A572,df_bloqueios_judiciais!G:G,"&gt;0")</f>
        <v/>
      </c>
      <c r="H572" s="7">
        <f>SUMIFS(df_extratos!I:I,df_extratos!F:F,"&gt;="&amp;Conciliacao!BE572,df_extratos!F:F,"&lt;"&amp;Conciliacao!BE572+1,df_extratos!G:G,"CREDITO")
+SUMIFS(df_extratos!I:I,df_extratos!F:F,"&gt;="&amp;Conciliacao!A572, df_extratos!F:F,"&lt;"&amp;Conciliacao!A572+1, df_extratos!G:G,"CREDITO")
+SUMIFS(df_extratos!I:I,df_extratos!F:F,"&gt;="&amp;Conciliacao!BF572,df_extratos!F:F,"&lt;"&amp;Conciliacao!BF572+1,df_extratos!G:G,"CREDITO")
+SUMIFS(df_extratos!I:I,df_extratos!F:F,"&gt;="&amp;Conciliacao!BG572,df_extratos!F:F,"&lt;"&amp;Conciliacao!BG572+1,df_extratos!G:G,"CREDITO")
+SUMIFS(df_extratos!I:I,df_extratos!F:F,"&gt;="&amp;Conciliacao!BH572,df_extratos!F:F,"&lt;"&amp;Conciliacao!BH572+1,df_extratos!G:G,"CREDITO")</f>
        <v/>
      </c>
      <c r="I572" s="9">
        <f>H572-SUM(B572:G572)</f>
        <v/>
      </c>
      <c r="J572" s="4">
        <f>SUMIFS(df_blueme_sem_parcelamento!E:E,df_blueme_sem_parcelamento!H:H,Conciliacao!A572)*(-1)</f>
        <v/>
      </c>
      <c r="K572" s="4">
        <f>SUMIFS(df_blueme_com_parcelamento!J:J,df_blueme_com_parcelamento!M:M,Conciliacao!A572)*(-1)</f>
        <v/>
      </c>
      <c r="L572" s="4">
        <f>SUMIFS(df_mutuos!N:N,df_mutuos!B:B,Conciliacao!A572)*(-1)</f>
        <v/>
      </c>
      <c r="M572" s="8">
        <f>SUMIFS(df_bloqueios_judiciais!G:G,df_bloqueios_judiciais!D:D,Conciliacao!A572,df_bloqueios_judiciais!G:G,"&lt;0")</f>
        <v/>
      </c>
      <c r="N572" s="10">
        <f>SUMIFS(df_extratos!I:I,df_extratos!F:F,"&gt;="&amp;Conciliacao!BE572,df_extratos!F:F,"&lt;"&amp;Conciliacao!BE572+1,df_extratos!G:G,"DEBITO")
+SUMIFS(df_extratos!I:I,df_extratos!F:F,"&gt;="&amp;Conciliacao!A572, df_extratos!F:F,"&lt;"&amp;Conciliacao!A572+1, df_extratos!G:G,"DEBITO")
+SUMIFS(df_extratos!I:I,df_extratos!F:F,"&gt;="&amp;Conciliacao!BF572,df_extratos!F:F,"&lt;"&amp;Conciliacao!BF572+1,df_extratos!G:G,"DEBITO")
+SUMIFS(df_extratos!I:I,df_extratos!F:F,"&gt;="&amp;Conciliacao!BG572,df_extratos!F:F,"&lt;"&amp;Conciliacao!BG572+1,df_extratos!G:G,"DEBITO")
+SUMIFS(df_extratos!I:I,df_extratos!F:F,"&gt;="&amp;Conciliacao!BH572,df_extratos!F:F,"&lt;"&amp;Conciliacao!BH572+1,df_extratos!G:G,"DEBITO")</f>
        <v/>
      </c>
      <c r="O572" s="11">
        <f>N572-SUM(J572:M572)</f>
        <v/>
      </c>
      <c r="P572" s="25">
        <f>SUMIFS(df_ajustes_conciliaco!D:D,df_ajustes_conciliaco!C:C,Conciliacao!A572)</f>
        <v/>
      </c>
      <c r="Q572" s="22">
        <f>O572+I572-P572</f>
        <v/>
      </c>
    </row>
    <row r="573">
      <c r="A573" s="5">
        <f>A572+1</f>
        <v/>
      </c>
      <c r="B573" s="3">
        <f>-SUMIFS(df_extrato_zig!G:G,df_extrato_zig!E:E,Conciliacao!A573,df_extrato_zig!D:D,"Saque")-SUMIFS(df_extrato_zig!G:G,df_extrato_zig!E:E,Conciliacao!A573,df_extrato_zig!D:D,"Antecipação")</f>
        <v/>
      </c>
      <c r="C573" s="3">
        <f>SUMIFS(df_extrato_zig!E:E,df_extrato_zig!L:L,Conciliacao!A573,df_extrato_zig!F:F,"DINHEIRO")</f>
        <v/>
      </c>
      <c r="D573" s="3">
        <f>SUMIFS(view_parc_agrup!H:H,view_parc_agrup!G:G,Conciliacao!A573)</f>
        <v/>
      </c>
      <c r="E573" s="3">
        <f>SUMIFS(df_eventos!F:F,df_eventos!H:H,Conciliacao!A573)</f>
        <v/>
      </c>
      <c r="F573" s="3">
        <f>SUMIFS(df_mutuos!M:M,df_mutuos!B:B,Conciliacao!A573)</f>
        <v/>
      </c>
      <c r="G573" s="6">
        <f>SUMIFS(df_bloqueios_judiciais!G:G,df_bloqueios_judiciais!D:D,Conciliacao!A573,df_bloqueios_judiciais!G:G,"&gt;0")</f>
        <v/>
      </c>
      <c r="H573" s="7">
        <f>SUMIFS(df_extratos!I:I,df_extratos!F:F,"&gt;="&amp;Conciliacao!BE573,df_extratos!F:F,"&lt;"&amp;Conciliacao!BE573+1,df_extratos!G:G,"CREDITO")
+SUMIFS(df_extratos!I:I,df_extratos!F:F,"&gt;="&amp;Conciliacao!A573, df_extratos!F:F,"&lt;"&amp;Conciliacao!A573+1, df_extratos!G:G,"CREDITO")
+SUMIFS(df_extratos!I:I,df_extratos!F:F,"&gt;="&amp;Conciliacao!BF573,df_extratos!F:F,"&lt;"&amp;Conciliacao!BF573+1,df_extratos!G:G,"CREDITO")
+SUMIFS(df_extratos!I:I,df_extratos!F:F,"&gt;="&amp;Conciliacao!BG573,df_extratos!F:F,"&lt;"&amp;Conciliacao!BG573+1,df_extratos!G:G,"CREDITO")
+SUMIFS(df_extratos!I:I,df_extratos!F:F,"&gt;="&amp;Conciliacao!BH573,df_extratos!F:F,"&lt;"&amp;Conciliacao!BH573+1,df_extratos!G:G,"CREDITO")</f>
        <v/>
      </c>
      <c r="I573" s="9">
        <f>H573-SUM(B573:G573)</f>
        <v/>
      </c>
      <c r="J573" s="4">
        <f>SUMIFS(df_blueme_sem_parcelamento!E:E,df_blueme_sem_parcelamento!H:H,Conciliacao!A573)*(-1)</f>
        <v/>
      </c>
      <c r="K573" s="4">
        <f>SUMIFS(df_blueme_com_parcelamento!J:J,df_blueme_com_parcelamento!M:M,Conciliacao!A573)*(-1)</f>
        <v/>
      </c>
      <c r="L573" s="4">
        <f>SUMIFS(df_mutuos!N:N,df_mutuos!B:B,Conciliacao!A573)*(-1)</f>
        <v/>
      </c>
      <c r="M573" s="8">
        <f>SUMIFS(df_bloqueios_judiciais!G:G,df_bloqueios_judiciais!D:D,Conciliacao!A573,df_bloqueios_judiciais!G:G,"&lt;0")</f>
        <v/>
      </c>
      <c r="N573" s="10">
        <f>SUMIFS(df_extratos!I:I,df_extratos!F:F,"&gt;="&amp;Conciliacao!BE573,df_extratos!F:F,"&lt;"&amp;Conciliacao!BE573+1,df_extratos!G:G,"DEBITO")
+SUMIFS(df_extratos!I:I,df_extratos!F:F,"&gt;="&amp;Conciliacao!A573, df_extratos!F:F,"&lt;"&amp;Conciliacao!A573+1, df_extratos!G:G,"DEBITO")
+SUMIFS(df_extratos!I:I,df_extratos!F:F,"&gt;="&amp;Conciliacao!BF573,df_extratos!F:F,"&lt;"&amp;Conciliacao!BF573+1,df_extratos!G:G,"DEBITO")
+SUMIFS(df_extratos!I:I,df_extratos!F:F,"&gt;="&amp;Conciliacao!BG573,df_extratos!F:F,"&lt;"&amp;Conciliacao!BG573+1,df_extratos!G:G,"DEBITO")
+SUMIFS(df_extratos!I:I,df_extratos!F:F,"&gt;="&amp;Conciliacao!BH573,df_extratos!F:F,"&lt;"&amp;Conciliacao!BH573+1,df_extratos!G:G,"DEBITO")</f>
        <v/>
      </c>
      <c r="O573" s="11">
        <f>N573-SUM(J573:M573)</f>
        <v/>
      </c>
      <c r="P573" s="25">
        <f>SUMIFS(df_ajustes_conciliaco!D:D,df_ajustes_conciliaco!C:C,Conciliacao!A573)</f>
        <v/>
      </c>
      <c r="Q573" s="22">
        <f>O573+I573-P573</f>
        <v/>
      </c>
    </row>
    <row r="574">
      <c r="A574" s="5">
        <f>A573+1</f>
        <v/>
      </c>
      <c r="B574" s="3">
        <f>-SUMIFS(df_extrato_zig!G:G,df_extrato_zig!E:E,Conciliacao!A574,df_extrato_zig!D:D,"Saque")-SUMIFS(df_extrato_zig!G:G,df_extrato_zig!E:E,Conciliacao!A574,df_extrato_zig!D:D,"Antecipação")</f>
        <v/>
      </c>
      <c r="C574" s="3">
        <f>SUMIFS(df_extrato_zig!E:E,df_extrato_zig!L:L,Conciliacao!A574,df_extrato_zig!F:F,"DINHEIRO")</f>
        <v/>
      </c>
      <c r="D574" s="3">
        <f>SUMIFS(view_parc_agrup!H:H,view_parc_agrup!G:G,Conciliacao!A574)</f>
        <v/>
      </c>
      <c r="E574" s="3">
        <f>SUMIFS(df_eventos!F:F,df_eventos!H:H,Conciliacao!A574)</f>
        <v/>
      </c>
      <c r="F574" s="3">
        <f>SUMIFS(df_mutuos!M:M,df_mutuos!B:B,Conciliacao!A574)</f>
        <v/>
      </c>
      <c r="G574" s="6">
        <f>SUMIFS(df_bloqueios_judiciais!G:G,df_bloqueios_judiciais!D:D,Conciliacao!A574,df_bloqueios_judiciais!G:G,"&gt;0")</f>
        <v/>
      </c>
      <c r="H574" s="7">
        <f>SUMIFS(df_extratos!I:I,df_extratos!F:F,"&gt;="&amp;Conciliacao!BE574,df_extratos!F:F,"&lt;"&amp;Conciliacao!BE574+1,df_extratos!G:G,"CREDITO")
+SUMIFS(df_extratos!I:I,df_extratos!F:F,"&gt;="&amp;Conciliacao!A574, df_extratos!F:F,"&lt;"&amp;Conciliacao!A574+1, df_extratos!G:G,"CREDITO")
+SUMIFS(df_extratos!I:I,df_extratos!F:F,"&gt;="&amp;Conciliacao!BF574,df_extratos!F:F,"&lt;"&amp;Conciliacao!BF574+1,df_extratos!G:G,"CREDITO")
+SUMIFS(df_extratos!I:I,df_extratos!F:F,"&gt;="&amp;Conciliacao!BG574,df_extratos!F:F,"&lt;"&amp;Conciliacao!BG574+1,df_extratos!G:G,"CREDITO")
+SUMIFS(df_extratos!I:I,df_extratos!F:F,"&gt;="&amp;Conciliacao!BH574,df_extratos!F:F,"&lt;"&amp;Conciliacao!BH574+1,df_extratos!G:G,"CREDITO")</f>
        <v/>
      </c>
      <c r="I574" s="9">
        <f>H574-SUM(B574:G574)</f>
        <v/>
      </c>
      <c r="J574" s="4">
        <f>SUMIFS(df_blueme_sem_parcelamento!E:E,df_blueme_sem_parcelamento!H:H,Conciliacao!A574)*(-1)</f>
        <v/>
      </c>
      <c r="K574" s="4">
        <f>SUMIFS(df_blueme_com_parcelamento!J:J,df_blueme_com_parcelamento!M:M,Conciliacao!A574)*(-1)</f>
        <v/>
      </c>
      <c r="L574" s="4">
        <f>SUMIFS(df_mutuos!N:N,df_mutuos!B:B,Conciliacao!A574)*(-1)</f>
        <v/>
      </c>
      <c r="M574" s="8">
        <f>SUMIFS(df_bloqueios_judiciais!G:G,df_bloqueios_judiciais!D:D,Conciliacao!A574,df_bloqueios_judiciais!G:G,"&lt;0")</f>
        <v/>
      </c>
      <c r="N574" s="10">
        <f>SUMIFS(df_extratos!I:I,df_extratos!F:F,"&gt;="&amp;Conciliacao!BE574,df_extratos!F:F,"&lt;"&amp;Conciliacao!BE574+1,df_extratos!G:G,"DEBITO")
+SUMIFS(df_extratos!I:I,df_extratos!F:F,"&gt;="&amp;Conciliacao!A574, df_extratos!F:F,"&lt;"&amp;Conciliacao!A574+1, df_extratos!G:G,"DEBITO")
+SUMIFS(df_extratos!I:I,df_extratos!F:F,"&gt;="&amp;Conciliacao!BF574,df_extratos!F:F,"&lt;"&amp;Conciliacao!BF574+1,df_extratos!G:G,"DEBITO")
+SUMIFS(df_extratos!I:I,df_extratos!F:F,"&gt;="&amp;Conciliacao!BG574,df_extratos!F:F,"&lt;"&amp;Conciliacao!BG574+1,df_extratos!G:G,"DEBITO")
+SUMIFS(df_extratos!I:I,df_extratos!F:F,"&gt;="&amp;Conciliacao!BH574,df_extratos!F:F,"&lt;"&amp;Conciliacao!BH574+1,df_extratos!G:G,"DEBITO")</f>
        <v/>
      </c>
      <c r="O574" s="11">
        <f>N574-SUM(J574:M574)</f>
        <v/>
      </c>
      <c r="P574" s="25">
        <f>SUMIFS(df_ajustes_conciliaco!D:D,df_ajustes_conciliaco!C:C,Conciliacao!A574)</f>
        <v/>
      </c>
      <c r="Q574" s="22">
        <f>O574+I574-P574</f>
        <v/>
      </c>
    </row>
    <row r="575">
      <c r="A575" s="5">
        <f>A574+1</f>
        <v/>
      </c>
      <c r="B575" s="3">
        <f>-SUMIFS(df_extrato_zig!G:G,df_extrato_zig!E:E,Conciliacao!A575,df_extrato_zig!D:D,"Saque")-SUMIFS(df_extrato_zig!G:G,df_extrato_zig!E:E,Conciliacao!A575,df_extrato_zig!D:D,"Antecipação")</f>
        <v/>
      </c>
      <c r="C575" s="3">
        <f>SUMIFS(df_extrato_zig!E:E,df_extrato_zig!L:L,Conciliacao!A575,df_extrato_zig!F:F,"DINHEIRO")</f>
        <v/>
      </c>
      <c r="D575" s="3">
        <f>SUMIFS(view_parc_agrup!H:H,view_parc_agrup!G:G,Conciliacao!A575)</f>
        <v/>
      </c>
      <c r="E575" s="3">
        <f>SUMIFS(df_eventos!F:F,df_eventos!H:H,Conciliacao!A575)</f>
        <v/>
      </c>
      <c r="F575" s="3">
        <f>SUMIFS(df_mutuos!M:M,df_mutuos!B:B,Conciliacao!A575)</f>
        <v/>
      </c>
      <c r="G575" s="6">
        <f>SUMIFS(df_bloqueios_judiciais!G:G,df_bloqueios_judiciais!D:D,Conciliacao!A575,df_bloqueios_judiciais!G:G,"&gt;0")</f>
        <v/>
      </c>
      <c r="H575" s="7">
        <f>SUMIFS(df_extratos!I:I,df_extratos!F:F,"&gt;="&amp;Conciliacao!BE575,df_extratos!F:F,"&lt;"&amp;Conciliacao!BE575+1,df_extratos!G:G,"CREDITO")
+SUMIFS(df_extratos!I:I,df_extratos!F:F,"&gt;="&amp;Conciliacao!A575, df_extratos!F:F,"&lt;"&amp;Conciliacao!A575+1, df_extratos!G:G,"CREDITO")
+SUMIFS(df_extratos!I:I,df_extratos!F:F,"&gt;="&amp;Conciliacao!BF575,df_extratos!F:F,"&lt;"&amp;Conciliacao!BF575+1,df_extratos!G:G,"CREDITO")
+SUMIFS(df_extratos!I:I,df_extratos!F:F,"&gt;="&amp;Conciliacao!BG575,df_extratos!F:F,"&lt;"&amp;Conciliacao!BG575+1,df_extratos!G:G,"CREDITO")
+SUMIFS(df_extratos!I:I,df_extratos!F:F,"&gt;="&amp;Conciliacao!BH575,df_extratos!F:F,"&lt;"&amp;Conciliacao!BH575+1,df_extratos!G:G,"CREDITO")</f>
        <v/>
      </c>
      <c r="I575" s="9">
        <f>H575-SUM(B575:G575)</f>
        <v/>
      </c>
      <c r="J575" s="4">
        <f>SUMIFS(df_blueme_sem_parcelamento!E:E,df_blueme_sem_parcelamento!H:H,Conciliacao!A575)*(-1)</f>
        <v/>
      </c>
      <c r="K575" s="4">
        <f>SUMIFS(df_blueme_com_parcelamento!J:J,df_blueme_com_parcelamento!M:M,Conciliacao!A575)*(-1)</f>
        <v/>
      </c>
      <c r="L575" s="4">
        <f>SUMIFS(df_mutuos!N:N,df_mutuos!B:B,Conciliacao!A575)*(-1)</f>
        <v/>
      </c>
      <c r="M575" s="8">
        <f>SUMIFS(df_bloqueios_judiciais!G:G,df_bloqueios_judiciais!D:D,Conciliacao!A575,df_bloqueios_judiciais!G:G,"&lt;0")</f>
        <v/>
      </c>
      <c r="N575" s="10">
        <f>SUMIFS(df_extratos!I:I,df_extratos!F:F,"&gt;="&amp;Conciliacao!BE575,df_extratos!F:F,"&lt;"&amp;Conciliacao!BE575+1,df_extratos!G:G,"DEBITO")
+SUMIFS(df_extratos!I:I,df_extratos!F:F,"&gt;="&amp;Conciliacao!A575, df_extratos!F:F,"&lt;"&amp;Conciliacao!A575+1, df_extratos!G:G,"DEBITO")
+SUMIFS(df_extratos!I:I,df_extratos!F:F,"&gt;="&amp;Conciliacao!BF575,df_extratos!F:F,"&lt;"&amp;Conciliacao!BF575+1,df_extratos!G:G,"DEBITO")
+SUMIFS(df_extratos!I:I,df_extratos!F:F,"&gt;="&amp;Conciliacao!BG575,df_extratos!F:F,"&lt;"&amp;Conciliacao!BG575+1,df_extratos!G:G,"DEBITO")
+SUMIFS(df_extratos!I:I,df_extratos!F:F,"&gt;="&amp;Conciliacao!BH575,df_extratos!F:F,"&lt;"&amp;Conciliacao!BH575+1,df_extratos!G:G,"DEBITO")</f>
        <v/>
      </c>
      <c r="O575" s="11">
        <f>N575-SUM(J575:M575)</f>
        <v/>
      </c>
      <c r="P575" s="25">
        <f>SUMIFS(df_ajustes_conciliaco!D:D,df_ajustes_conciliaco!C:C,Conciliacao!A575)</f>
        <v/>
      </c>
      <c r="Q575" s="22">
        <f>O575+I575-P575</f>
        <v/>
      </c>
    </row>
    <row r="576">
      <c r="A576" s="5">
        <f>A575+1</f>
        <v/>
      </c>
      <c r="B576" s="3">
        <f>-SUMIFS(df_extrato_zig!G:G,df_extrato_zig!E:E,Conciliacao!A576,df_extrato_zig!D:D,"Saque")-SUMIFS(df_extrato_zig!G:G,df_extrato_zig!E:E,Conciliacao!A576,df_extrato_zig!D:D,"Antecipação")</f>
        <v/>
      </c>
      <c r="C576" s="3">
        <f>SUMIFS(df_extrato_zig!E:E,df_extrato_zig!L:L,Conciliacao!A576,df_extrato_zig!F:F,"DINHEIRO")</f>
        <v/>
      </c>
      <c r="D576" s="3">
        <f>SUMIFS(view_parc_agrup!H:H,view_parc_agrup!G:G,Conciliacao!A576)</f>
        <v/>
      </c>
      <c r="E576" s="3">
        <f>SUMIFS(df_eventos!F:F,df_eventos!H:H,Conciliacao!A576)</f>
        <v/>
      </c>
      <c r="F576" s="3">
        <f>SUMIFS(df_mutuos!M:M,df_mutuos!B:B,Conciliacao!A576)</f>
        <v/>
      </c>
      <c r="G576" s="6">
        <f>SUMIFS(df_bloqueios_judiciais!G:G,df_bloqueios_judiciais!D:D,Conciliacao!A576,df_bloqueios_judiciais!G:G,"&gt;0")</f>
        <v/>
      </c>
      <c r="H576" s="7">
        <f>SUMIFS(df_extratos!I:I,df_extratos!F:F,"&gt;="&amp;Conciliacao!BE576,df_extratos!F:F,"&lt;"&amp;Conciliacao!BE576+1,df_extratos!G:G,"CREDITO")
+SUMIFS(df_extratos!I:I,df_extratos!F:F,"&gt;="&amp;Conciliacao!A576, df_extratos!F:F,"&lt;"&amp;Conciliacao!A576+1, df_extratos!G:G,"CREDITO")
+SUMIFS(df_extratos!I:I,df_extratos!F:F,"&gt;="&amp;Conciliacao!BF576,df_extratos!F:F,"&lt;"&amp;Conciliacao!BF576+1,df_extratos!G:G,"CREDITO")
+SUMIFS(df_extratos!I:I,df_extratos!F:F,"&gt;="&amp;Conciliacao!BG576,df_extratos!F:F,"&lt;"&amp;Conciliacao!BG576+1,df_extratos!G:G,"CREDITO")
+SUMIFS(df_extratos!I:I,df_extratos!F:F,"&gt;="&amp;Conciliacao!BH576,df_extratos!F:F,"&lt;"&amp;Conciliacao!BH576+1,df_extratos!G:G,"CREDITO")</f>
        <v/>
      </c>
      <c r="I576" s="9">
        <f>H576-SUM(B576:G576)</f>
        <v/>
      </c>
      <c r="J576" s="4">
        <f>SUMIFS(df_blueme_sem_parcelamento!E:E,df_blueme_sem_parcelamento!H:H,Conciliacao!A576)*(-1)</f>
        <v/>
      </c>
      <c r="K576" s="4">
        <f>SUMIFS(df_blueme_com_parcelamento!J:J,df_blueme_com_parcelamento!M:M,Conciliacao!A576)*(-1)</f>
        <v/>
      </c>
      <c r="L576" s="4">
        <f>SUMIFS(df_mutuos!N:N,df_mutuos!B:B,Conciliacao!A576)*(-1)</f>
        <v/>
      </c>
      <c r="M576" s="8">
        <f>SUMIFS(df_bloqueios_judiciais!G:G,df_bloqueios_judiciais!D:D,Conciliacao!A576,df_bloqueios_judiciais!G:G,"&lt;0")</f>
        <v/>
      </c>
      <c r="N576" s="10">
        <f>SUMIFS(df_extratos!I:I,df_extratos!F:F,"&gt;="&amp;Conciliacao!BE576,df_extratos!F:F,"&lt;"&amp;Conciliacao!BE576+1,df_extratos!G:G,"DEBITO")
+SUMIFS(df_extratos!I:I,df_extratos!F:F,"&gt;="&amp;Conciliacao!A576, df_extratos!F:F,"&lt;"&amp;Conciliacao!A576+1, df_extratos!G:G,"DEBITO")
+SUMIFS(df_extratos!I:I,df_extratos!F:F,"&gt;="&amp;Conciliacao!BF576,df_extratos!F:F,"&lt;"&amp;Conciliacao!BF576+1,df_extratos!G:G,"DEBITO")
+SUMIFS(df_extratos!I:I,df_extratos!F:F,"&gt;="&amp;Conciliacao!BG576,df_extratos!F:F,"&lt;"&amp;Conciliacao!BG576+1,df_extratos!G:G,"DEBITO")
+SUMIFS(df_extratos!I:I,df_extratos!F:F,"&gt;="&amp;Conciliacao!BH576,df_extratos!F:F,"&lt;"&amp;Conciliacao!BH576+1,df_extratos!G:G,"DEBITO")</f>
        <v/>
      </c>
      <c r="O576" s="11">
        <f>N576-SUM(J576:M576)</f>
        <v/>
      </c>
      <c r="P576" s="25">
        <f>SUMIFS(df_ajustes_conciliaco!D:D,df_ajustes_conciliaco!C:C,Conciliacao!A576)</f>
        <v/>
      </c>
      <c r="Q576" s="22">
        <f>O576+I576-P576</f>
        <v/>
      </c>
    </row>
    <row r="577">
      <c r="A577" s="5">
        <f>A576+1</f>
        <v/>
      </c>
      <c r="B577" s="3">
        <f>-SUMIFS(df_extrato_zig!G:G,df_extrato_zig!E:E,Conciliacao!A577,df_extrato_zig!D:D,"Saque")-SUMIFS(df_extrato_zig!G:G,df_extrato_zig!E:E,Conciliacao!A577,df_extrato_zig!D:D,"Antecipação")</f>
        <v/>
      </c>
      <c r="C577" s="3">
        <f>SUMIFS(df_extrato_zig!E:E,df_extrato_zig!L:L,Conciliacao!A577,df_extrato_zig!F:F,"DINHEIRO")</f>
        <v/>
      </c>
      <c r="D577" s="3">
        <f>SUMIFS(view_parc_agrup!H:H,view_parc_agrup!G:G,Conciliacao!A577)</f>
        <v/>
      </c>
      <c r="E577" s="3">
        <f>SUMIFS(df_eventos!F:F,df_eventos!H:H,Conciliacao!A577)</f>
        <v/>
      </c>
      <c r="F577" s="3">
        <f>SUMIFS(df_mutuos!M:M,df_mutuos!B:B,Conciliacao!A577)</f>
        <v/>
      </c>
      <c r="G577" s="6">
        <f>SUMIFS(df_bloqueios_judiciais!G:G,df_bloqueios_judiciais!D:D,Conciliacao!A577,df_bloqueios_judiciais!G:G,"&gt;0")</f>
        <v/>
      </c>
      <c r="H577" s="7">
        <f>SUMIFS(df_extratos!I:I,df_extratos!F:F,"&gt;="&amp;Conciliacao!BE577,df_extratos!F:F,"&lt;"&amp;Conciliacao!BE577+1,df_extratos!G:G,"CREDITO")
+SUMIFS(df_extratos!I:I,df_extratos!F:F,"&gt;="&amp;Conciliacao!A577, df_extratos!F:F,"&lt;"&amp;Conciliacao!A577+1, df_extratos!G:G,"CREDITO")
+SUMIFS(df_extratos!I:I,df_extratos!F:F,"&gt;="&amp;Conciliacao!BF577,df_extratos!F:F,"&lt;"&amp;Conciliacao!BF577+1,df_extratos!G:G,"CREDITO")
+SUMIFS(df_extratos!I:I,df_extratos!F:F,"&gt;="&amp;Conciliacao!BG577,df_extratos!F:F,"&lt;"&amp;Conciliacao!BG577+1,df_extratos!G:G,"CREDITO")
+SUMIFS(df_extratos!I:I,df_extratos!F:F,"&gt;="&amp;Conciliacao!BH577,df_extratos!F:F,"&lt;"&amp;Conciliacao!BH577+1,df_extratos!G:G,"CREDITO")</f>
        <v/>
      </c>
      <c r="I577" s="9">
        <f>H577-SUM(B577:G577)</f>
        <v/>
      </c>
      <c r="J577" s="4">
        <f>SUMIFS(df_blueme_sem_parcelamento!E:E,df_blueme_sem_parcelamento!H:H,Conciliacao!A577)*(-1)</f>
        <v/>
      </c>
      <c r="K577" s="4">
        <f>SUMIFS(df_blueme_com_parcelamento!J:J,df_blueme_com_parcelamento!M:M,Conciliacao!A577)*(-1)</f>
        <v/>
      </c>
      <c r="L577" s="4">
        <f>SUMIFS(df_mutuos!N:N,df_mutuos!B:B,Conciliacao!A577)*(-1)</f>
        <v/>
      </c>
      <c r="M577" s="8">
        <f>SUMIFS(df_bloqueios_judiciais!G:G,df_bloqueios_judiciais!D:D,Conciliacao!A577,df_bloqueios_judiciais!G:G,"&lt;0")</f>
        <v/>
      </c>
      <c r="N577" s="10">
        <f>SUMIFS(df_extratos!I:I,df_extratos!F:F,"&gt;="&amp;Conciliacao!BE577,df_extratos!F:F,"&lt;"&amp;Conciliacao!BE577+1,df_extratos!G:G,"DEBITO")
+SUMIFS(df_extratos!I:I,df_extratos!F:F,"&gt;="&amp;Conciliacao!A577, df_extratos!F:F,"&lt;"&amp;Conciliacao!A577+1, df_extratos!G:G,"DEBITO")
+SUMIFS(df_extratos!I:I,df_extratos!F:F,"&gt;="&amp;Conciliacao!BF577,df_extratos!F:F,"&lt;"&amp;Conciliacao!BF577+1,df_extratos!G:G,"DEBITO")
+SUMIFS(df_extratos!I:I,df_extratos!F:F,"&gt;="&amp;Conciliacao!BG577,df_extratos!F:F,"&lt;"&amp;Conciliacao!BG577+1,df_extratos!G:G,"DEBITO")
+SUMIFS(df_extratos!I:I,df_extratos!F:F,"&gt;="&amp;Conciliacao!BH577,df_extratos!F:F,"&lt;"&amp;Conciliacao!BH577+1,df_extratos!G:G,"DEBITO")</f>
        <v/>
      </c>
      <c r="O577" s="11">
        <f>N577-SUM(J577:M577)</f>
        <v/>
      </c>
      <c r="P577" s="25">
        <f>SUMIFS(df_ajustes_conciliaco!D:D,df_ajustes_conciliaco!C:C,Conciliacao!A577)</f>
        <v/>
      </c>
      <c r="Q577" s="22">
        <f>O577+I577-P577</f>
        <v/>
      </c>
    </row>
    <row r="578">
      <c r="A578" s="5">
        <f>A577+1</f>
        <v/>
      </c>
      <c r="B578" s="3">
        <f>-SUMIFS(df_extrato_zig!G:G,df_extrato_zig!E:E,Conciliacao!A578,df_extrato_zig!D:D,"Saque")-SUMIFS(df_extrato_zig!G:G,df_extrato_zig!E:E,Conciliacao!A578,df_extrato_zig!D:D,"Antecipação")</f>
        <v/>
      </c>
      <c r="C578" s="3">
        <f>SUMIFS(df_extrato_zig!E:E,df_extrato_zig!L:L,Conciliacao!A578,df_extrato_zig!F:F,"DINHEIRO")</f>
        <v/>
      </c>
      <c r="D578" s="3">
        <f>SUMIFS(view_parc_agrup!H:H,view_parc_agrup!G:G,Conciliacao!A578)</f>
        <v/>
      </c>
      <c r="E578" s="3">
        <f>SUMIFS(df_eventos!F:F,df_eventos!H:H,Conciliacao!A578)</f>
        <v/>
      </c>
      <c r="F578" s="3">
        <f>SUMIFS(df_mutuos!M:M,df_mutuos!B:B,Conciliacao!A578)</f>
        <v/>
      </c>
      <c r="G578" s="6">
        <f>SUMIFS(df_bloqueios_judiciais!G:G,df_bloqueios_judiciais!D:D,Conciliacao!A578,df_bloqueios_judiciais!G:G,"&gt;0")</f>
        <v/>
      </c>
      <c r="H578" s="7">
        <f>SUMIFS(df_extratos!I:I,df_extratos!F:F,"&gt;="&amp;Conciliacao!BE578,df_extratos!F:F,"&lt;"&amp;Conciliacao!BE578+1,df_extratos!G:G,"CREDITO")
+SUMIFS(df_extratos!I:I,df_extratos!F:F,"&gt;="&amp;Conciliacao!A578, df_extratos!F:F,"&lt;"&amp;Conciliacao!A578+1, df_extratos!G:G,"CREDITO")
+SUMIFS(df_extratos!I:I,df_extratos!F:F,"&gt;="&amp;Conciliacao!BF578,df_extratos!F:F,"&lt;"&amp;Conciliacao!BF578+1,df_extratos!G:G,"CREDITO")
+SUMIFS(df_extratos!I:I,df_extratos!F:F,"&gt;="&amp;Conciliacao!BG578,df_extratos!F:F,"&lt;"&amp;Conciliacao!BG578+1,df_extratos!G:G,"CREDITO")
+SUMIFS(df_extratos!I:I,df_extratos!F:F,"&gt;="&amp;Conciliacao!BH578,df_extratos!F:F,"&lt;"&amp;Conciliacao!BH578+1,df_extratos!G:G,"CREDITO")</f>
        <v/>
      </c>
      <c r="I578" s="9">
        <f>H578-SUM(B578:G578)</f>
        <v/>
      </c>
      <c r="J578" s="4">
        <f>SUMIFS(df_blueme_sem_parcelamento!E:E,df_blueme_sem_parcelamento!H:H,Conciliacao!A578)*(-1)</f>
        <v/>
      </c>
      <c r="K578" s="4">
        <f>SUMIFS(df_blueme_com_parcelamento!J:J,df_blueme_com_parcelamento!M:M,Conciliacao!A578)*(-1)</f>
        <v/>
      </c>
      <c r="L578" s="4">
        <f>SUMIFS(df_mutuos!N:N,df_mutuos!B:B,Conciliacao!A578)*(-1)</f>
        <v/>
      </c>
      <c r="M578" s="8">
        <f>SUMIFS(df_bloqueios_judiciais!G:G,df_bloqueios_judiciais!D:D,Conciliacao!A578,df_bloqueios_judiciais!G:G,"&lt;0")</f>
        <v/>
      </c>
      <c r="N578" s="10">
        <f>SUMIFS(df_extratos!I:I,df_extratos!F:F,"&gt;="&amp;Conciliacao!BE578,df_extratos!F:F,"&lt;"&amp;Conciliacao!BE578+1,df_extratos!G:G,"DEBITO")
+SUMIFS(df_extratos!I:I,df_extratos!F:F,"&gt;="&amp;Conciliacao!A578, df_extratos!F:F,"&lt;"&amp;Conciliacao!A578+1, df_extratos!G:G,"DEBITO")
+SUMIFS(df_extratos!I:I,df_extratos!F:F,"&gt;="&amp;Conciliacao!BF578,df_extratos!F:F,"&lt;"&amp;Conciliacao!BF578+1,df_extratos!G:G,"DEBITO")
+SUMIFS(df_extratos!I:I,df_extratos!F:F,"&gt;="&amp;Conciliacao!BG578,df_extratos!F:F,"&lt;"&amp;Conciliacao!BG578+1,df_extratos!G:G,"DEBITO")
+SUMIFS(df_extratos!I:I,df_extratos!F:F,"&gt;="&amp;Conciliacao!BH578,df_extratos!F:F,"&lt;"&amp;Conciliacao!BH578+1,df_extratos!G:G,"DEBITO")</f>
        <v/>
      </c>
      <c r="O578" s="11">
        <f>N578-SUM(J578:M578)</f>
        <v/>
      </c>
      <c r="P578" s="25">
        <f>SUMIFS(df_ajustes_conciliaco!D:D,df_ajustes_conciliaco!C:C,Conciliacao!A578)</f>
        <v/>
      </c>
      <c r="Q578" s="22">
        <f>O578+I578-P578</f>
        <v/>
      </c>
    </row>
    <row r="579">
      <c r="A579" s="5">
        <f>A578+1</f>
        <v/>
      </c>
      <c r="B579" s="3">
        <f>-SUMIFS(df_extrato_zig!G:G,df_extrato_zig!E:E,Conciliacao!A579,df_extrato_zig!D:D,"Saque")-SUMIFS(df_extrato_zig!G:G,df_extrato_zig!E:E,Conciliacao!A579,df_extrato_zig!D:D,"Antecipação")</f>
        <v/>
      </c>
      <c r="C579" s="3">
        <f>SUMIFS(df_extrato_zig!E:E,df_extrato_zig!L:L,Conciliacao!A579,df_extrato_zig!F:F,"DINHEIRO")</f>
        <v/>
      </c>
      <c r="D579" s="3">
        <f>SUMIFS(view_parc_agrup!H:H,view_parc_agrup!G:G,Conciliacao!A579)</f>
        <v/>
      </c>
      <c r="E579" s="3">
        <f>SUMIFS(df_eventos!F:F,df_eventos!H:H,Conciliacao!A579)</f>
        <v/>
      </c>
      <c r="F579" s="3">
        <f>SUMIFS(df_mutuos!M:M,df_mutuos!B:B,Conciliacao!A579)</f>
        <v/>
      </c>
      <c r="G579" s="6">
        <f>SUMIFS(df_bloqueios_judiciais!G:G,df_bloqueios_judiciais!D:D,Conciliacao!A579,df_bloqueios_judiciais!G:G,"&gt;0")</f>
        <v/>
      </c>
      <c r="H579" s="7">
        <f>SUMIFS(df_extratos!I:I,df_extratos!F:F,"&gt;="&amp;Conciliacao!BE579,df_extratos!F:F,"&lt;"&amp;Conciliacao!BE579+1,df_extratos!G:G,"CREDITO")
+SUMIFS(df_extratos!I:I,df_extratos!F:F,"&gt;="&amp;Conciliacao!A579, df_extratos!F:F,"&lt;"&amp;Conciliacao!A579+1, df_extratos!G:G,"CREDITO")
+SUMIFS(df_extratos!I:I,df_extratos!F:F,"&gt;="&amp;Conciliacao!BF579,df_extratos!F:F,"&lt;"&amp;Conciliacao!BF579+1,df_extratos!G:G,"CREDITO")
+SUMIFS(df_extratos!I:I,df_extratos!F:F,"&gt;="&amp;Conciliacao!BG579,df_extratos!F:F,"&lt;"&amp;Conciliacao!BG579+1,df_extratos!G:G,"CREDITO")
+SUMIFS(df_extratos!I:I,df_extratos!F:F,"&gt;="&amp;Conciliacao!BH579,df_extratos!F:F,"&lt;"&amp;Conciliacao!BH579+1,df_extratos!G:G,"CREDITO")</f>
        <v/>
      </c>
      <c r="I579" s="9">
        <f>H579-SUM(B579:G579)</f>
        <v/>
      </c>
      <c r="J579" s="4">
        <f>SUMIFS(df_blueme_sem_parcelamento!E:E,df_blueme_sem_parcelamento!H:H,Conciliacao!A579)*(-1)</f>
        <v/>
      </c>
      <c r="K579" s="4">
        <f>SUMIFS(df_blueme_com_parcelamento!J:J,df_blueme_com_parcelamento!M:M,Conciliacao!A579)*(-1)</f>
        <v/>
      </c>
      <c r="L579" s="4">
        <f>SUMIFS(df_mutuos!N:N,df_mutuos!B:B,Conciliacao!A579)*(-1)</f>
        <v/>
      </c>
      <c r="M579" s="8">
        <f>SUMIFS(df_bloqueios_judiciais!G:G,df_bloqueios_judiciais!D:D,Conciliacao!A579,df_bloqueios_judiciais!G:G,"&lt;0")</f>
        <v/>
      </c>
      <c r="N579" s="10">
        <f>SUMIFS(df_extratos!I:I,df_extratos!F:F,"&gt;="&amp;Conciliacao!BE579,df_extratos!F:F,"&lt;"&amp;Conciliacao!BE579+1,df_extratos!G:G,"DEBITO")
+SUMIFS(df_extratos!I:I,df_extratos!F:F,"&gt;="&amp;Conciliacao!A579, df_extratos!F:F,"&lt;"&amp;Conciliacao!A579+1, df_extratos!G:G,"DEBITO")
+SUMIFS(df_extratos!I:I,df_extratos!F:F,"&gt;="&amp;Conciliacao!BF579,df_extratos!F:F,"&lt;"&amp;Conciliacao!BF579+1,df_extratos!G:G,"DEBITO")
+SUMIFS(df_extratos!I:I,df_extratos!F:F,"&gt;="&amp;Conciliacao!BG579,df_extratos!F:F,"&lt;"&amp;Conciliacao!BG579+1,df_extratos!G:G,"DEBITO")
+SUMIFS(df_extratos!I:I,df_extratos!F:F,"&gt;="&amp;Conciliacao!BH579,df_extratos!F:F,"&lt;"&amp;Conciliacao!BH579+1,df_extratos!G:G,"DEBITO")</f>
        <v/>
      </c>
      <c r="O579" s="11">
        <f>N579-SUM(J579:M579)</f>
        <v/>
      </c>
      <c r="P579" s="25">
        <f>SUMIFS(df_ajustes_conciliaco!D:D,df_ajustes_conciliaco!C:C,Conciliacao!A579)</f>
        <v/>
      </c>
      <c r="Q579" s="22">
        <f>O579+I579-P579</f>
        <v/>
      </c>
    </row>
    <row r="580">
      <c r="A580" s="5">
        <f>A579+1</f>
        <v/>
      </c>
      <c r="B580" s="3">
        <f>-SUMIFS(df_extrato_zig!G:G,df_extrato_zig!E:E,Conciliacao!A580,df_extrato_zig!D:D,"Saque")-SUMIFS(df_extrato_zig!G:G,df_extrato_zig!E:E,Conciliacao!A580,df_extrato_zig!D:D,"Antecipação")</f>
        <v/>
      </c>
      <c r="C580" s="3">
        <f>SUMIFS(df_extrato_zig!E:E,df_extrato_zig!L:L,Conciliacao!A580,df_extrato_zig!F:F,"DINHEIRO")</f>
        <v/>
      </c>
      <c r="D580" s="3">
        <f>SUMIFS(view_parc_agrup!H:H,view_parc_agrup!G:G,Conciliacao!A580)</f>
        <v/>
      </c>
      <c r="E580" s="3">
        <f>SUMIFS(df_eventos!F:F,df_eventos!H:H,Conciliacao!A580)</f>
        <v/>
      </c>
      <c r="F580" s="3">
        <f>SUMIFS(df_mutuos!M:M,df_mutuos!B:B,Conciliacao!A580)</f>
        <v/>
      </c>
      <c r="G580" s="6">
        <f>SUMIFS(df_bloqueios_judiciais!G:G,df_bloqueios_judiciais!D:D,Conciliacao!A580,df_bloqueios_judiciais!G:G,"&gt;0")</f>
        <v/>
      </c>
      <c r="H580" s="7">
        <f>SUMIFS(df_extratos!I:I,df_extratos!F:F,"&gt;="&amp;Conciliacao!BE580,df_extratos!F:F,"&lt;"&amp;Conciliacao!BE580+1,df_extratos!G:G,"CREDITO")
+SUMIFS(df_extratos!I:I,df_extratos!F:F,"&gt;="&amp;Conciliacao!A580, df_extratos!F:F,"&lt;"&amp;Conciliacao!A580+1, df_extratos!G:G,"CREDITO")
+SUMIFS(df_extratos!I:I,df_extratos!F:F,"&gt;="&amp;Conciliacao!BF580,df_extratos!F:F,"&lt;"&amp;Conciliacao!BF580+1,df_extratos!G:G,"CREDITO")
+SUMIFS(df_extratos!I:I,df_extratos!F:F,"&gt;="&amp;Conciliacao!BG580,df_extratos!F:F,"&lt;"&amp;Conciliacao!BG580+1,df_extratos!G:G,"CREDITO")
+SUMIFS(df_extratos!I:I,df_extratos!F:F,"&gt;="&amp;Conciliacao!BH580,df_extratos!F:F,"&lt;"&amp;Conciliacao!BH580+1,df_extratos!G:G,"CREDITO")</f>
        <v/>
      </c>
      <c r="I580" s="9">
        <f>H580-SUM(B580:G580)</f>
        <v/>
      </c>
      <c r="J580" s="4">
        <f>SUMIFS(df_blueme_sem_parcelamento!E:E,df_blueme_sem_parcelamento!H:H,Conciliacao!A580)*(-1)</f>
        <v/>
      </c>
      <c r="K580" s="4">
        <f>SUMIFS(df_blueme_com_parcelamento!J:J,df_blueme_com_parcelamento!M:M,Conciliacao!A580)*(-1)</f>
        <v/>
      </c>
      <c r="L580" s="4">
        <f>SUMIFS(df_mutuos!N:N,df_mutuos!B:B,Conciliacao!A580)*(-1)</f>
        <v/>
      </c>
      <c r="M580" s="8">
        <f>SUMIFS(df_bloqueios_judiciais!G:G,df_bloqueios_judiciais!D:D,Conciliacao!A580,df_bloqueios_judiciais!G:G,"&lt;0")</f>
        <v/>
      </c>
      <c r="N580" s="10">
        <f>SUMIFS(df_extratos!I:I,df_extratos!F:F,"&gt;="&amp;Conciliacao!BE580,df_extratos!F:F,"&lt;"&amp;Conciliacao!BE580+1,df_extratos!G:G,"DEBITO")
+SUMIFS(df_extratos!I:I,df_extratos!F:F,"&gt;="&amp;Conciliacao!A580, df_extratos!F:F,"&lt;"&amp;Conciliacao!A580+1, df_extratos!G:G,"DEBITO")
+SUMIFS(df_extratos!I:I,df_extratos!F:F,"&gt;="&amp;Conciliacao!BF580,df_extratos!F:F,"&lt;"&amp;Conciliacao!BF580+1,df_extratos!G:G,"DEBITO")
+SUMIFS(df_extratos!I:I,df_extratos!F:F,"&gt;="&amp;Conciliacao!BG580,df_extratos!F:F,"&lt;"&amp;Conciliacao!BG580+1,df_extratos!G:G,"DEBITO")
+SUMIFS(df_extratos!I:I,df_extratos!F:F,"&gt;="&amp;Conciliacao!BH580,df_extratos!F:F,"&lt;"&amp;Conciliacao!BH580+1,df_extratos!G:G,"DEBITO")</f>
        <v/>
      </c>
      <c r="O580" s="11">
        <f>N580-SUM(J580:M580)</f>
        <v/>
      </c>
      <c r="P580" s="25">
        <f>SUMIFS(df_ajustes_conciliaco!D:D,df_ajustes_conciliaco!C:C,Conciliacao!A580)</f>
        <v/>
      </c>
      <c r="Q580" s="22">
        <f>O580+I580-P580</f>
        <v/>
      </c>
    </row>
    <row r="581">
      <c r="A581" s="5">
        <f>A580+1</f>
        <v/>
      </c>
      <c r="B581" s="3">
        <f>-SUMIFS(df_extrato_zig!G:G,df_extrato_zig!E:E,Conciliacao!A581,df_extrato_zig!D:D,"Saque")-SUMIFS(df_extrato_zig!G:G,df_extrato_zig!E:E,Conciliacao!A581,df_extrato_zig!D:D,"Antecipação")</f>
        <v/>
      </c>
      <c r="C581" s="3">
        <f>SUMIFS(df_extrato_zig!E:E,df_extrato_zig!L:L,Conciliacao!A581,df_extrato_zig!F:F,"DINHEIRO")</f>
        <v/>
      </c>
      <c r="D581" s="3">
        <f>SUMIFS(view_parc_agrup!H:H,view_parc_agrup!G:G,Conciliacao!A581)</f>
        <v/>
      </c>
      <c r="E581" s="3">
        <f>SUMIFS(df_eventos!F:F,df_eventos!H:H,Conciliacao!A581)</f>
        <v/>
      </c>
      <c r="F581" s="3">
        <f>SUMIFS(df_mutuos!M:M,df_mutuos!B:B,Conciliacao!A581)</f>
        <v/>
      </c>
      <c r="G581" s="6">
        <f>SUMIFS(df_bloqueios_judiciais!G:G,df_bloqueios_judiciais!D:D,Conciliacao!A581,df_bloqueios_judiciais!G:G,"&gt;0")</f>
        <v/>
      </c>
      <c r="H581" s="7">
        <f>SUMIFS(df_extratos!I:I,df_extratos!F:F,"&gt;="&amp;Conciliacao!BE581,df_extratos!F:F,"&lt;"&amp;Conciliacao!BE581+1,df_extratos!G:G,"CREDITO")
+SUMIFS(df_extratos!I:I,df_extratos!F:F,"&gt;="&amp;Conciliacao!A581, df_extratos!F:F,"&lt;"&amp;Conciliacao!A581+1, df_extratos!G:G,"CREDITO")
+SUMIFS(df_extratos!I:I,df_extratos!F:F,"&gt;="&amp;Conciliacao!BF581,df_extratos!F:F,"&lt;"&amp;Conciliacao!BF581+1,df_extratos!G:G,"CREDITO")
+SUMIFS(df_extratos!I:I,df_extratos!F:F,"&gt;="&amp;Conciliacao!BG581,df_extratos!F:F,"&lt;"&amp;Conciliacao!BG581+1,df_extratos!G:G,"CREDITO")
+SUMIFS(df_extratos!I:I,df_extratos!F:F,"&gt;="&amp;Conciliacao!BH581,df_extratos!F:F,"&lt;"&amp;Conciliacao!BH581+1,df_extratos!G:G,"CREDITO")</f>
        <v/>
      </c>
      <c r="I581" s="9">
        <f>H581-SUM(B581:G581)</f>
        <v/>
      </c>
      <c r="J581" s="4">
        <f>SUMIFS(df_blueme_sem_parcelamento!E:E,df_blueme_sem_parcelamento!H:H,Conciliacao!A581)*(-1)</f>
        <v/>
      </c>
      <c r="K581" s="4">
        <f>SUMIFS(df_blueme_com_parcelamento!J:J,df_blueme_com_parcelamento!M:M,Conciliacao!A581)*(-1)</f>
        <v/>
      </c>
      <c r="L581" s="4">
        <f>SUMIFS(df_mutuos!N:N,df_mutuos!B:B,Conciliacao!A581)*(-1)</f>
        <v/>
      </c>
      <c r="M581" s="8">
        <f>SUMIFS(df_bloqueios_judiciais!G:G,df_bloqueios_judiciais!D:D,Conciliacao!A581,df_bloqueios_judiciais!G:G,"&lt;0")</f>
        <v/>
      </c>
      <c r="N581" s="10">
        <f>SUMIFS(df_extratos!I:I,df_extratos!F:F,"&gt;="&amp;Conciliacao!BE581,df_extratos!F:F,"&lt;"&amp;Conciliacao!BE581+1,df_extratos!G:G,"DEBITO")
+SUMIFS(df_extratos!I:I,df_extratos!F:F,"&gt;="&amp;Conciliacao!A581, df_extratos!F:F,"&lt;"&amp;Conciliacao!A581+1, df_extratos!G:G,"DEBITO")
+SUMIFS(df_extratos!I:I,df_extratos!F:F,"&gt;="&amp;Conciliacao!BF581,df_extratos!F:F,"&lt;"&amp;Conciliacao!BF581+1,df_extratos!G:G,"DEBITO")
+SUMIFS(df_extratos!I:I,df_extratos!F:F,"&gt;="&amp;Conciliacao!BG581,df_extratos!F:F,"&lt;"&amp;Conciliacao!BG581+1,df_extratos!G:G,"DEBITO")
+SUMIFS(df_extratos!I:I,df_extratos!F:F,"&gt;="&amp;Conciliacao!BH581,df_extratos!F:F,"&lt;"&amp;Conciliacao!BH581+1,df_extratos!G:G,"DEBITO")</f>
        <v/>
      </c>
      <c r="O581" s="11">
        <f>N581-SUM(J581:M581)</f>
        <v/>
      </c>
      <c r="P581" s="25">
        <f>SUMIFS(df_ajustes_conciliaco!D:D,df_ajustes_conciliaco!C:C,Conciliacao!A581)</f>
        <v/>
      </c>
      <c r="Q581" s="22">
        <f>O581+I581-P581</f>
        <v/>
      </c>
    </row>
    <row r="582">
      <c r="A582" s="5">
        <f>A581+1</f>
        <v/>
      </c>
      <c r="B582" s="3">
        <f>-SUMIFS(df_extrato_zig!G:G,df_extrato_zig!E:E,Conciliacao!A582,df_extrato_zig!D:D,"Saque")-SUMIFS(df_extrato_zig!G:G,df_extrato_zig!E:E,Conciliacao!A582,df_extrato_zig!D:D,"Antecipação")</f>
        <v/>
      </c>
      <c r="C582" s="3">
        <f>SUMIFS(df_extrato_zig!E:E,df_extrato_zig!L:L,Conciliacao!A582,df_extrato_zig!F:F,"DINHEIRO")</f>
        <v/>
      </c>
      <c r="D582" s="3">
        <f>SUMIFS(view_parc_agrup!H:H,view_parc_agrup!G:G,Conciliacao!A582)</f>
        <v/>
      </c>
      <c r="E582" s="3">
        <f>SUMIFS(df_eventos!F:F,df_eventos!H:H,Conciliacao!A582)</f>
        <v/>
      </c>
      <c r="F582" s="3">
        <f>SUMIFS(df_mutuos!M:M,df_mutuos!B:B,Conciliacao!A582)</f>
        <v/>
      </c>
      <c r="G582" s="6">
        <f>SUMIFS(df_bloqueios_judiciais!G:G,df_bloqueios_judiciais!D:D,Conciliacao!A582,df_bloqueios_judiciais!G:G,"&gt;0")</f>
        <v/>
      </c>
      <c r="H582" s="7">
        <f>SUMIFS(df_extratos!I:I,df_extratos!F:F,"&gt;="&amp;Conciliacao!BE582,df_extratos!F:F,"&lt;"&amp;Conciliacao!BE582+1,df_extratos!G:G,"CREDITO")
+SUMIFS(df_extratos!I:I,df_extratos!F:F,"&gt;="&amp;Conciliacao!A582, df_extratos!F:F,"&lt;"&amp;Conciliacao!A582+1, df_extratos!G:G,"CREDITO")
+SUMIFS(df_extratos!I:I,df_extratos!F:F,"&gt;="&amp;Conciliacao!BF582,df_extratos!F:F,"&lt;"&amp;Conciliacao!BF582+1,df_extratos!G:G,"CREDITO")
+SUMIFS(df_extratos!I:I,df_extratos!F:F,"&gt;="&amp;Conciliacao!BG582,df_extratos!F:F,"&lt;"&amp;Conciliacao!BG582+1,df_extratos!G:G,"CREDITO")
+SUMIFS(df_extratos!I:I,df_extratos!F:F,"&gt;="&amp;Conciliacao!BH582,df_extratos!F:F,"&lt;"&amp;Conciliacao!BH582+1,df_extratos!G:G,"CREDITO")</f>
        <v/>
      </c>
      <c r="I582" s="9">
        <f>H582-SUM(B582:G582)</f>
        <v/>
      </c>
      <c r="J582" s="4">
        <f>SUMIFS(df_blueme_sem_parcelamento!E:E,df_blueme_sem_parcelamento!H:H,Conciliacao!A582)*(-1)</f>
        <v/>
      </c>
      <c r="K582" s="4">
        <f>SUMIFS(df_blueme_com_parcelamento!J:J,df_blueme_com_parcelamento!M:M,Conciliacao!A582)*(-1)</f>
        <v/>
      </c>
      <c r="L582" s="4">
        <f>SUMIFS(df_mutuos!N:N,df_mutuos!B:B,Conciliacao!A582)*(-1)</f>
        <v/>
      </c>
      <c r="M582" s="8">
        <f>SUMIFS(df_bloqueios_judiciais!G:G,df_bloqueios_judiciais!D:D,Conciliacao!A582,df_bloqueios_judiciais!G:G,"&lt;0")</f>
        <v/>
      </c>
      <c r="N582" s="10">
        <f>SUMIFS(df_extratos!I:I,df_extratos!F:F,"&gt;="&amp;Conciliacao!BE582,df_extratos!F:F,"&lt;"&amp;Conciliacao!BE582+1,df_extratos!G:G,"DEBITO")
+SUMIFS(df_extratos!I:I,df_extratos!F:F,"&gt;="&amp;Conciliacao!A582, df_extratos!F:F,"&lt;"&amp;Conciliacao!A582+1, df_extratos!G:G,"DEBITO")
+SUMIFS(df_extratos!I:I,df_extratos!F:F,"&gt;="&amp;Conciliacao!BF582,df_extratos!F:F,"&lt;"&amp;Conciliacao!BF582+1,df_extratos!G:G,"DEBITO")
+SUMIFS(df_extratos!I:I,df_extratos!F:F,"&gt;="&amp;Conciliacao!BG582,df_extratos!F:F,"&lt;"&amp;Conciliacao!BG582+1,df_extratos!G:G,"DEBITO")
+SUMIFS(df_extratos!I:I,df_extratos!F:F,"&gt;="&amp;Conciliacao!BH582,df_extratos!F:F,"&lt;"&amp;Conciliacao!BH582+1,df_extratos!G:G,"DEBITO")</f>
        <v/>
      </c>
      <c r="O582" s="11">
        <f>N582-SUM(J582:M582)</f>
        <v/>
      </c>
      <c r="P582" s="25">
        <f>SUMIFS(df_ajustes_conciliaco!D:D,df_ajustes_conciliaco!C:C,Conciliacao!A582)</f>
        <v/>
      </c>
      <c r="Q582" s="22">
        <f>O582+I582-P582</f>
        <v/>
      </c>
    </row>
    <row r="583">
      <c r="A583" s="5">
        <f>A582+1</f>
        <v/>
      </c>
      <c r="B583" s="3">
        <f>-SUMIFS(df_extrato_zig!G:G,df_extrato_zig!E:E,Conciliacao!A583,df_extrato_zig!D:D,"Saque")-SUMIFS(df_extrato_zig!G:G,df_extrato_zig!E:E,Conciliacao!A583,df_extrato_zig!D:D,"Antecipação")</f>
        <v/>
      </c>
      <c r="C583" s="3">
        <f>SUMIFS(df_extrato_zig!E:E,df_extrato_zig!L:L,Conciliacao!A583,df_extrato_zig!F:F,"DINHEIRO")</f>
        <v/>
      </c>
      <c r="D583" s="3">
        <f>SUMIFS(view_parc_agrup!H:H,view_parc_agrup!G:G,Conciliacao!A583)</f>
        <v/>
      </c>
      <c r="E583" s="3">
        <f>SUMIFS(df_eventos!F:F,df_eventos!H:H,Conciliacao!A583)</f>
        <v/>
      </c>
      <c r="F583" s="3">
        <f>SUMIFS(df_mutuos!M:M,df_mutuos!B:B,Conciliacao!A583)</f>
        <v/>
      </c>
      <c r="G583" s="6">
        <f>SUMIFS(df_bloqueios_judiciais!G:G,df_bloqueios_judiciais!D:D,Conciliacao!A583,df_bloqueios_judiciais!G:G,"&gt;0")</f>
        <v/>
      </c>
      <c r="H583" s="7">
        <f>SUMIFS(df_extratos!I:I,df_extratos!F:F,"&gt;="&amp;Conciliacao!BE583,df_extratos!F:F,"&lt;"&amp;Conciliacao!BE583+1,df_extratos!G:G,"CREDITO")
+SUMIFS(df_extratos!I:I,df_extratos!F:F,"&gt;="&amp;Conciliacao!A583, df_extratos!F:F,"&lt;"&amp;Conciliacao!A583+1, df_extratos!G:G,"CREDITO")
+SUMIFS(df_extratos!I:I,df_extratos!F:F,"&gt;="&amp;Conciliacao!BF583,df_extratos!F:F,"&lt;"&amp;Conciliacao!BF583+1,df_extratos!G:G,"CREDITO")
+SUMIFS(df_extratos!I:I,df_extratos!F:F,"&gt;="&amp;Conciliacao!BG583,df_extratos!F:F,"&lt;"&amp;Conciliacao!BG583+1,df_extratos!G:G,"CREDITO")
+SUMIFS(df_extratos!I:I,df_extratos!F:F,"&gt;="&amp;Conciliacao!BH583,df_extratos!F:F,"&lt;"&amp;Conciliacao!BH583+1,df_extratos!G:G,"CREDITO")</f>
        <v/>
      </c>
      <c r="I583" s="9">
        <f>H583-SUM(B583:G583)</f>
        <v/>
      </c>
      <c r="J583" s="4">
        <f>SUMIFS(df_blueme_sem_parcelamento!E:E,df_blueme_sem_parcelamento!H:H,Conciliacao!A583)*(-1)</f>
        <v/>
      </c>
      <c r="K583" s="4">
        <f>SUMIFS(df_blueme_com_parcelamento!J:J,df_blueme_com_parcelamento!M:M,Conciliacao!A583)*(-1)</f>
        <v/>
      </c>
      <c r="L583" s="4">
        <f>SUMIFS(df_mutuos!N:N,df_mutuos!B:B,Conciliacao!A583)*(-1)</f>
        <v/>
      </c>
      <c r="M583" s="8">
        <f>SUMIFS(df_bloqueios_judiciais!G:G,df_bloqueios_judiciais!D:D,Conciliacao!A583,df_bloqueios_judiciais!G:G,"&lt;0")</f>
        <v/>
      </c>
      <c r="N583" s="10">
        <f>SUMIFS(df_extratos!I:I,df_extratos!F:F,"&gt;="&amp;Conciliacao!BE583,df_extratos!F:F,"&lt;"&amp;Conciliacao!BE583+1,df_extratos!G:G,"DEBITO")
+SUMIFS(df_extratos!I:I,df_extratos!F:F,"&gt;="&amp;Conciliacao!A583, df_extratos!F:F,"&lt;"&amp;Conciliacao!A583+1, df_extratos!G:G,"DEBITO")
+SUMIFS(df_extratos!I:I,df_extratos!F:F,"&gt;="&amp;Conciliacao!BF583,df_extratos!F:F,"&lt;"&amp;Conciliacao!BF583+1,df_extratos!G:G,"DEBITO")
+SUMIFS(df_extratos!I:I,df_extratos!F:F,"&gt;="&amp;Conciliacao!BG583,df_extratos!F:F,"&lt;"&amp;Conciliacao!BG583+1,df_extratos!G:G,"DEBITO")
+SUMIFS(df_extratos!I:I,df_extratos!F:F,"&gt;="&amp;Conciliacao!BH583,df_extratos!F:F,"&lt;"&amp;Conciliacao!BH583+1,df_extratos!G:G,"DEBITO")</f>
        <v/>
      </c>
      <c r="O583" s="11">
        <f>N583-SUM(J583:M583)</f>
        <v/>
      </c>
      <c r="P583" s="25">
        <f>SUMIFS(df_ajustes_conciliaco!D:D,df_ajustes_conciliaco!C:C,Conciliacao!A583)</f>
        <v/>
      </c>
      <c r="Q583" s="22">
        <f>O583+I583-P583</f>
        <v/>
      </c>
    </row>
    <row r="584">
      <c r="A584" s="5">
        <f>A583+1</f>
        <v/>
      </c>
      <c r="B584" s="3">
        <f>-SUMIFS(df_extrato_zig!G:G,df_extrato_zig!E:E,Conciliacao!A584,df_extrato_zig!D:D,"Saque")-SUMIFS(df_extrato_zig!G:G,df_extrato_zig!E:E,Conciliacao!A584,df_extrato_zig!D:D,"Antecipação")</f>
        <v/>
      </c>
      <c r="C584" s="3">
        <f>SUMIFS(df_extrato_zig!E:E,df_extrato_zig!L:L,Conciliacao!A584,df_extrato_zig!F:F,"DINHEIRO")</f>
        <v/>
      </c>
      <c r="D584" s="3">
        <f>SUMIFS(view_parc_agrup!H:H,view_parc_agrup!G:G,Conciliacao!A584)</f>
        <v/>
      </c>
      <c r="E584" s="3">
        <f>SUMIFS(df_eventos!F:F,df_eventos!H:H,Conciliacao!A584)</f>
        <v/>
      </c>
      <c r="F584" s="3">
        <f>SUMIFS(df_mutuos!M:M,df_mutuos!B:B,Conciliacao!A584)</f>
        <v/>
      </c>
      <c r="G584" s="6">
        <f>SUMIFS(df_bloqueios_judiciais!G:G,df_bloqueios_judiciais!D:D,Conciliacao!A584,df_bloqueios_judiciais!G:G,"&gt;0")</f>
        <v/>
      </c>
      <c r="H584" s="7">
        <f>SUMIFS(df_extratos!I:I,df_extratos!F:F,"&gt;="&amp;Conciliacao!BE584,df_extratos!F:F,"&lt;"&amp;Conciliacao!BE584+1,df_extratos!G:G,"CREDITO")
+SUMIFS(df_extratos!I:I,df_extratos!F:F,"&gt;="&amp;Conciliacao!A584, df_extratos!F:F,"&lt;"&amp;Conciliacao!A584+1, df_extratos!G:G,"CREDITO")
+SUMIFS(df_extratos!I:I,df_extratos!F:F,"&gt;="&amp;Conciliacao!BF584,df_extratos!F:F,"&lt;"&amp;Conciliacao!BF584+1,df_extratos!G:G,"CREDITO")
+SUMIFS(df_extratos!I:I,df_extratos!F:F,"&gt;="&amp;Conciliacao!BG584,df_extratos!F:F,"&lt;"&amp;Conciliacao!BG584+1,df_extratos!G:G,"CREDITO")
+SUMIFS(df_extratos!I:I,df_extratos!F:F,"&gt;="&amp;Conciliacao!BH584,df_extratos!F:F,"&lt;"&amp;Conciliacao!BH584+1,df_extratos!G:G,"CREDITO")</f>
        <v/>
      </c>
      <c r="I584" s="9">
        <f>H584-SUM(B584:G584)</f>
        <v/>
      </c>
      <c r="J584" s="4">
        <f>SUMIFS(df_blueme_sem_parcelamento!E:E,df_blueme_sem_parcelamento!H:H,Conciliacao!A584)*(-1)</f>
        <v/>
      </c>
      <c r="K584" s="4">
        <f>SUMIFS(df_blueme_com_parcelamento!J:J,df_blueme_com_parcelamento!M:M,Conciliacao!A584)*(-1)</f>
        <v/>
      </c>
      <c r="L584" s="4">
        <f>SUMIFS(df_mutuos!N:N,df_mutuos!B:B,Conciliacao!A584)*(-1)</f>
        <v/>
      </c>
      <c r="M584" s="8">
        <f>SUMIFS(df_bloqueios_judiciais!G:G,df_bloqueios_judiciais!D:D,Conciliacao!A584,df_bloqueios_judiciais!G:G,"&lt;0")</f>
        <v/>
      </c>
      <c r="N584" s="10">
        <f>SUMIFS(df_extratos!I:I,df_extratos!F:F,"&gt;="&amp;Conciliacao!BE584,df_extratos!F:F,"&lt;"&amp;Conciliacao!BE584+1,df_extratos!G:G,"DEBITO")
+SUMIFS(df_extratos!I:I,df_extratos!F:F,"&gt;="&amp;Conciliacao!A584, df_extratos!F:F,"&lt;"&amp;Conciliacao!A584+1, df_extratos!G:G,"DEBITO")
+SUMIFS(df_extratos!I:I,df_extratos!F:F,"&gt;="&amp;Conciliacao!BF584,df_extratos!F:F,"&lt;"&amp;Conciliacao!BF584+1,df_extratos!G:G,"DEBITO")
+SUMIFS(df_extratos!I:I,df_extratos!F:F,"&gt;="&amp;Conciliacao!BG584,df_extratos!F:F,"&lt;"&amp;Conciliacao!BG584+1,df_extratos!G:G,"DEBITO")
+SUMIFS(df_extratos!I:I,df_extratos!F:F,"&gt;="&amp;Conciliacao!BH584,df_extratos!F:F,"&lt;"&amp;Conciliacao!BH584+1,df_extratos!G:G,"DEBITO")</f>
        <v/>
      </c>
      <c r="O584" s="11">
        <f>N584-SUM(J584:M584)</f>
        <v/>
      </c>
      <c r="P584" s="25">
        <f>SUMIFS(df_ajustes_conciliaco!D:D,df_ajustes_conciliaco!C:C,Conciliacao!A584)</f>
        <v/>
      </c>
      <c r="Q584" s="22">
        <f>O584+I584-P584</f>
        <v/>
      </c>
    </row>
    <row r="585">
      <c r="A585" s="5">
        <f>A584+1</f>
        <v/>
      </c>
      <c r="B585" s="3">
        <f>-SUMIFS(df_extrato_zig!G:G,df_extrato_zig!E:E,Conciliacao!A585,df_extrato_zig!D:D,"Saque")-SUMIFS(df_extrato_zig!G:G,df_extrato_zig!E:E,Conciliacao!A585,df_extrato_zig!D:D,"Antecipação")</f>
        <v/>
      </c>
      <c r="C585" s="3">
        <f>SUMIFS(df_extrato_zig!E:E,df_extrato_zig!L:L,Conciliacao!A585,df_extrato_zig!F:F,"DINHEIRO")</f>
        <v/>
      </c>
      <c r="D585" s="3">
        <f>SUMIFS(view_parc_agrup!H:H,view_parc_agrup!G:G,Conciliacao!A585)</f>
        <v/>
      </c>
      <c r="E585" s="3">
        <f>SUMIFS(df_eventos!F:F,df_eventos!H:H,Conciliacao!A585)</f>
        <v/>
      </c>
      <c r="F585" s="3">
        <f>SUMIFS(df_mutuos!M:M,df_mutuos!B:B,Conciliacao!A585)</f>
        <v/>
      </c>
      <c r="G585" s="6">
        <f>SUMIFS(df_bloqueios_judiciais!G:G,df_bloqueios_judiciais!D:D,Conciliacao!A585,df_bloqueios_judiciais!G:G,"&gt;0")</f>
        <v/>
      </c>
      <c r="H585" s="7">
        <f>SUMIFS(df_extratos!I:I,df_extratos!F:F,"&gt;="&amp;Conciliacao!BE585,df_extratos!F:F,"&lt;"&amp;Conciliacao!BE585+1,df_extratos!G:G,"CREDITO")
+SUMIFS(df_extratos!I:I,df_extratos!F:F,"&gt;="&amp;Conciliacao!A585, df_extratos!F:F,"&lt;"&amp;Conciliacao!A585+1, df_extratos!G:G,"CREDITO")
+SUMIFS(df_extratos!I:I,df_extratos!F:F,"&gt;="&amp;Conciliacao!BF585,df_extratos!F:F,"&lt;"&amp;Conciliacao!BF585+1,df_extratos!G:G,"CREDITO")
+SUMIFS(df_extratos!I:I,df_extratos!F:F,"&gt;="&amp;Conciliacao!BG585,df_extratos!F:F,"&lt;"&amp;Conciliacao!BG585+1,df_extratos!G:G,"CREDITO")
+SUMIFS(df_extratos!I:I,df_extratos!F:F,"&gt;="&amp;Conciliacao!BH585,df_extratos!F:F,"&lt;"&amp;Conciliacao!BH585+1,df_extratos!G:G,"CREDITO")</f>
        <v/>
      </c>
      <c r="I585" s="9">
        <f>H585-SUM(B585:G585)</f>
        <v/>
      </c>
      <c r="J585" s="4">
        <f>SUMIFS(df_blueme_sem_parcelamento!E:E,df_blueme_sem_parcelamento!H:H,Conciliacao!A585)*(-1)</f>
        <v/>
      </c>
      <c r="K585" s="4">
        <f>SUMIFS(df_blueme_com_parcelamento!J:J,df_blueme_com_parcelamento!M:M,Conciliacao!A585)*(-1)</f>
        <v/>
      </c>
      <c r="L585" s="4">
        <f>SUMIFS(df_mutuos!N:N,df_mutuos!B:B,Conciliacao!A585)*(-1)</f>
        <v/>
      </c>
      <c r="M585" s="8">
        <f>SUMIFS(df_bloqueios_judiciais!G:G,df_bloqueios_judiciais!D:D,Conciliacao!A585,df_bloqueios_judiciais!G:G,"&lt;0")</f>
        <v/>
      </c>
      <c r="N585" s="10">
        <f>SUMIFS(df_extratos!I:I,df_extratos!F:F,"&gt;="&amp;Conciliacao!BE585,df_extratos!F:F,"&lt;"&amp;Conciliacao!BE585+1,df_extratos!G:G,"DEBITO")
+SUMIFS(df_extratos!I:I,df_extratos!F:F,"&gt;="&amp;Conciliacao!A585, df_extratos!F:F,"&lt;"&amp;Conciliacao!A585+1, df_extratos!G:G,"DEBITO")
+SUMIFS(df_extratos!I:I,df_extratos!F:F,"&gt;="&amp;Conciliacao!BF585,df_extratos!F:F,"&lt;"&amp;Conciliacao!BF585+1,df_extratos!G:G,"DEBITO")
+SUMIFS(df_extratos!I:I,df_extratos!F:F,"&gt;="&amp;Conciliacao!BG585,df_extratos!F:F,"&lt;"&amp;Conciliacao!BG585+1,df_extratos!G:G,"DEBITO")
+SUMIFS(df_extratos!I:I,df_extratos!F:F,"&gt;="&amp;Conciliacao!BH585,df_extratos!F:F,"&lt;"&amp;Conciliacao!BH585+1,df_extratos!G:G,"DEBITO")</f>
        <v/>
      </c>
      <c r="O585" s="11">
        <f>N585-SUM(J585:M585)</f>
        <v/>
      </c>
      <c r="P585" s="25">
        <f>SUMIFS(df_ajustes_conciliaco!D:D,df_ajustes_conciliaco!C:C,Conciliacao!A585)</f>
        <v/>
      </c>
      <c r="Q585" s="22">
        <f>O585+I585-P585</f>
        <v/>
      </c>
    </row>
    <row r="586">
      <c r="A586" s="5">
        <f>A585+1</f>
        <v/>
      </c>
      <c r="B586" s="3">
        <f>-SUMIFS(df_extrato_zig!G:G,df_extrato_zig!E:E,Conciliacao!A586,df_extrato_zig!D:D,"Saque")-SUMIFS(df_extrato_zig!G:G,df_extrato_zig!E:E,Conciliacao!A586,df_extrato_zig!D:D,"Antecipação")</f>
        <v/>
      </c>
      <c r="C586" s="3">
        <f>SUMIFS(df_extrato_zig!E:E,df_extrato_zig!L:L,Conciliacao!A586,df_extrato_zig!F:F,"DINHEIRO")</f>
        <v/>
      </c>
      <c r="D586" s="3">
        <f>SUMIFS(view_parc_agrup!H:H,view_parc_agrup!G:G,Conciliacao!A586)</f>
        <v/>
      </c>
      <c r="E586" s="3">
        <f>SUMIFS(df_eventos!F:F,df_eventos!H:H,Conciliacao!A586)</f>
        <v/>
      </c>
      <c r="F586" s="3">
        <f>SUMIFS(df_mutuos!M:M,df_mutuos!B:B,Conciliacao!A586)</f>
        <v/>
      </c>
      <c r="G586" s="6">
        <f>SUMIFS(df_bloqueios_judiciais!G:G,df_bloqueios_judiciais!D:D,Conciliacao!A586,df_bloqueios_judiciais!G:G,"&gt;0")</f>
        <v/>
      </c>
      <c r="H586" s="7">
        <f>SUMIFS(df_extratos!I:I,df_extratos!F:F,"&gt;="&amp;Conciliacao!BE586,df_extratos!F:F,"&lt;"&amp;Conciliacao!BE586+1,df_extratos!G:G,"CREDITO")
+SUMIFS(df_extratos!I:I,df_extratos!F:F,"&gt;="&amp;Conciliacao!A586, df_extratos!F:F,"&lt;"&amp;Conciliacao!A586+1, df_extratos!G:G,"CREDITO")
+SUMIFS(df_extratos!I:I,df_extratos!F:F,"&gt;="&amp;Conciliacao!BF586,df_extratos!F:F,"&lt;"&amp;Conciliacao!BF586+1,df_extratos!G:G,"CREDITO")
+SUMIFS(df_extratos!I:I,df_extratos!F:F,"&gt;="&amp;Conciliacao!BG586,df_extratos!F:F,"&lt;"&amp;Conciliacao!BG586+1,df_extratos!G:G,"CREDITO")
+SUMIFS(df_extratos!I:I,df_extratos!F:F,"&gt;="&amp;Conciliacao!BH586,df_extratos!F:F,"&lt;"&amp;Conciliacao!BH586+1,df_extratos!G:G,"CREDITO")</f>
        <v/>
      </c>
      <c r="I586" s="9">
        <f>H586-SUM(B586:G586)</f>
        <v/>
      </c>
      <c r="J586" s="4">
        <f>SUMIFS(df_blueme_sem_parcelamento!E:E,df_blueme_sem_parcelamento!H:H,Conciliacao!A586)*(-1)</f>
        <v/>
      </c>
      <c r="K586" s="4">
        <f>SUMIFS(df_blueme_com_parcelamento!J:J,df_blueme_com_parcelamento!M:M,Conciliacao!A586)*(-1)</f>
        <v/>
      </c>
      <c r="L586" s="4">
        <f>SUMIFS(df_mutuos!N:N,df_mutuos!B:B,Conciliacao!A586)*(-1)</f>
        <v/>
      </c>
      <c r="M586" s="8">
        <f>SUMIFS(df_bloqueios_judiciais!G:G,df_bloqueios_judiciais!D:D,Conciliacao!A586,df_bloqueios_judiciais!G:G,"&lt;0")</f>
        <v/>
      </c>
      <c r="N586" s="10">
        <f>SUMIFS(df_extratos!I:I,df_extratos!F:F,"&gt;="&amp;Conciliacao!BE586,df_extratos!F:F,"&lt;"&amp;Conciliacao!BE586+1,df_extratos!G:G,"DEBITO")
+SUMIFS(df_extratos!I:I,df_extratos!F:F,"&gt;="&amp;Conciliacao!A586, df_extratos!F:F,"&lt;"&amp;Conciliacao!A586+1, df_extratos!G:G,"DEBITO")
+SUMIFS(df_extratos!I:I,df_extratos!F:F,"&gt;="&amp;Conciliacao!BF586,df_extratos!F:F,"&lt;"&amp;Conciliacao!BF586+1,df_extratos!G:G,"DEBITO")
+SUMIFS(df_extratos!I:I,df_extratos!F:F,"&gt;="&amp;Conciliacao!BG586,df_extratos!F:F,"&lt;"&amp;Conciliacao!BG586+1,df_extratos!G:G,"DEBITO")
+SUMIFS(df_extratos!I:I,df_extratos!F:F,"&gt;="&amp;Conciliacao!BH586,df_extratos!F:F,"&lt;"&amp;Conciliacao!BH586+1,df_extratos!G:G,"DEBITO")</f>
        <v/>
      </c>
      <c r="O586" s="11">
        <f>N586-SUM(J586:M586)</f>
        <v/>
      </c>
      <c r="P586" s="25">
        <f>SUMIFS(df_ajustes_conciliaco!D:D,df_ajustes_conciliaco!C:C,Conciliacao!A586)</f>
        <v/>
      </c>
      <c r="Q586" s="22">
        <f>O586+I586-P586</f>
        <v/>
      </c>
    </row>
    <row r="587">
      <c r="A587" s="5">
        <f>A586+1</f>
        <v/>
      </c>
      <c r="B587" s="3">
        <f>-SUMIFS(df_extrato_zig!G:G,df_extrato_zig!E:E,Conciliacao!A587,df_extrato_zig!D:D,"Saque")-SUMIFS(df_extrato_zig!G:G,df_extrato_zig!E:E,Conciliacao!A587,df_extrato_zig!D:D,"Antecipação")</f>
        <v/>
      </c>
      <c r="C587" s="3">
        <f>SUMIFS(df_extrato_zig!E:E,df_extrato_zig!L:L,Conciliacao!A587,df_extrato_zig!F:F,"DINHEIRO")</f>
        <v/>
      </c>
      <c r="D587" s="3">
        <f>SUMIFS(view_parc_agrup!H:H,view_parc_agrup!G:G,Conciliacao!A587)</f>
        <v/>
      </c>
      <c r="E587" s="3">
        <f>SUMIFS(df_eventos!F:F,df_eventos!H:H,Conciliacao!A587)</f>
        <v/>
      </c>
      <c r="F587" s="3">
        <f>SUMIFS(df_mutuos!M:M,df_mutuos!B:B,Conciliacao!A587)</f>
        <v/>
      </c>
      <c r="G587" s="6">
        <f>SUMIFS(df_bloqueios_judiciais!G:G,df_bloqueios_judiciais!D:D,Conciliacao!A587,df_bloqueios_judiciais!G:G,"&gt;0")</f>
        <v/>
      </c>
      <c r="H587" s="7">
        <f>SUMIFS(df_extratos!I:I,df_extratos!F:F,"&gt;="&amp;Conciliacao!BE587,df_extratos!F:F,"&lt;"&amp;Conciliacao!BE587+1,df_extratos!G:G,"CREDITO")
+SUMIFS(df_extratos!I:I,df_extratos!F:F,"&gt;="&amp;Conciliacao!A587, df_extratos!F:F,"&lt;"&amp;Conciliacao!A587+1, df_extratos!G:G,"CREDITO")
+SUMIFS(df_extratos!I:I,df_extratos!F:F,"&gt;="&amp;Conciliacao!BF587,df_extratos!F:F,"&lt;"&amp;Conciliacao!BF587+1,df_extratos!G:G,"CREDITO")
+SUMIFS(df_extratos!I:I,df_extratos!F:F,"&gt;="&amp;Conciliacao!BG587,df_extratos!F:F,"&lt;"&amp;Conciliacao!BG587+1,df_extratos!G:G,"CREDITO")
+SUMIFS(df_extratos!I:I,df_extratos!F:F,"&gt;="&amp;Conciliacao!BH587,df_extratos!F:F,"&lt;"&amp;Conciliacao!BH587+1,df_extratos!G:G,"CREDITO")</f>
        <v/>
      </c>
      <c r="I587" s="9">
        <f>H587-SUM(B587:G587)</f>
        <v/>
      </c>
      <c r="J587" s="4">
        <f>SUMIFS(df_blueme_sem_parcelamento!E:E,df_blueme_sem_parcelamento!H:H,Conciliacao!A587)*(-1)</f>
        <v/>
      </c>
      <c r="K587" s="4">
        <f>SUMIFS(df_blueme_com_parcelamento!J:J,df_blueme_com_parcelamento!M:M,Conciliacao!A587)*(-1)</f>
        <v/>
      </c>
      <c r="L587" s="4">
        <f>SUMIFS(df_mutuos!N:N,df_mutuos!B:B,Conciliacao!A587)*(-1)</f>
        <v/>
      </c>
      <c r="M587" s="8">
        <f>SUMIFS(df_bloqueios_judiciais!G:G,df_bloqueios_judiciais!D:D,Conciliacao!A587,df_bloqueios_judiciais!G:G,"&lt;0")</f>
        <v/>
      </c>
      <c r="N587" s="10">
        <f>SUMIFS(df_extratos!I:I,df_extratos!F:F,"&gt;="&amp;Conciliacao!BE587,df_extratos!F:F,"&lt;"&amp;Conciliacao!BE587+1,df_extratos!G:G,"DEBITO")
+SUMIFS(df_extratos!I:I,df_extratos!F:F,"&gt;="&amp;Conciliacao!A587, df_extratos!F:F,"&lt;"&amp;Conciliacao!A587+1, df_extratos!G:G,"DEBITO")
+SUMIFS(df_extratos!I:I,df_extratos!F:F,"&gt;="&amp;Conciliacao!BF587,df_extratos!F:F,"&lt;"&amp;Conciliacao!BF587+1,df_extratos!G:G,"DEBITO")
+SUMIFS(df_extratos!I:I,df_extratos!F:F,"&gt;="&amp;Conciliacao!BG587,df_extratos!F:F,"&lt;"&amp;Conciliacao!BG587+1,df_extratos!G:G,"DEBITO")
+SUMIFS(df_extratos!I:I,df_extratos!F:F,"&gt;="&amp;Conciliacao!BH587,df_extratos!F:F,"&lt;"&amp;Conciliacao!BH587+1,df_extratos!G:G,"DEBITO")</f>
        <v/>
      </c>
      <c r="O587" s="11">
        <f>N587-SUM(J587:M587)</f>
        <v/>
      </c>
      <c r="P587" s="25">
        <f>SUMIFS(df_ajustes_conciliaco!D:D,df_ajustes_conciliaco!C:C,Conciliacao!A587)</f>
        <v/>
      </c>
      <c r="Q587" s="22">
        <f>O587+I587-P587</f>
        <v/>
      </c>
    </row>
    <row r="588">
      <c r="A588" s="5">
        <f>A587+1</f>
        <v/>
      </c>
      <c r="B588" s="3">
        <f>-SUMIFS(df_extrato_zig!G:G,df_extrato_zig!E:E,Conciliacao!A588,df_extrato_zig!D:D,"Saque")-SUMIFS(df_extrato_zig!G:G,df_extrato_zig!E:E,Conciliacao!A588,df_extrato_zig!D:D,"Antecipação")</f>
        <v/>
      </c>
      <c r="C588" s="3">
        <f>SUMIFS(df_extrato_zig!E:E,df_extrato_zig!L:L,Conciliacao!A588,df_extrato_zig!F:F,"DINHEIRO")</f>
        <v/>
      </c>
      <c r="D588" s="3">
        <f>SUMIFS(view_parc_agrup!H:H,view_parc_agrup!G:G,Conciliacao!A588)</f>
        <v/>
      </c>
      <c r="E588" s="3">
        <f>SUMIFS(df_eventos!F:F,df_eventos!H:H,Conciliacao!A588)</f>
        <v/>
      </c>
      <c r="F588" s="3">
        <f>SUMIFS(df_mutuos!M:M,df_mutuos!B:B,Conciliacao!A588)</f>
        <v/>
      </c>
      <c r="G588" s="6">
        <f>SUMIFS(df_bloqueios_judiciais!G:G,df_bloqueios_judiciais!D:D,Conciliacao!A588,df_bloqueios_judiciais!G:G,"&gt;0")</f>
        <v/>
      </c>
      <c r="H588" s="7">
        <f>SUMIFS(df_extratos!I:I,df_extratos!F:F,"&gt;="&amp;Conciliacao!BE588,df_extratos!F:F,"&lt;"&amp;Conciliacao!BE588+1,df_extratos!G:G,"CREDITO")
+SUMIFS(df_extratos!I:I,df_extratos!F:F,"&gt;="&amp;Conciliacao!A588, df_extratos!F:F,"&lt;"&amp;Conciliacao!A588+1, df_extratos!G:G,"CREDITO")
+SUMIFS(df_extratos!I:I,df_extratos!F:F,"&gt;="&amp;Conciliacao!BF588,df_extratos!F:F,"&lt;"&amp;Conciliacao!BF588+1,df_extratos!G:G,"CREDITO")
+SUMIFS(df_extratos!I:I,df_extratos!F:F,"&gt;="&amp;Conciliacao!BG588,df_extratos!F:F,"&lt;"&amp;Conciliacao!BG588+1,df_extratos!G:G,"CREDITO")
+SUMIFS(df_extratos!I:I,df_extratos!F:F,"&gt;="&amp;Conciliacao!BH588,df_extratos!F:F,"&lt;"&amp;Conciliacao!BH588+1,df_extratos!G:G,"CREDITO")</f>
        <v/>
      </c>
      <c r="I588" s="9">
        <f>H588-SUM(B588:G588)</f>
        <v/>
      </c>
      <c r="J588" s="4">
        <f>SUMIFS(df_blueme_sem_parcelamento!E:E,df_blueme_sem_parcelamento!H:H,Conciliacao!A588)*(-1)</f>
        <v/>
      </c>
      <c r="K588" s="4">
        <f>SUMIFS(df_blueme_com_parcelamento!J:J,df_blueme_com_parcelamento!M:M,Conciliacao!A588)*(-1)</f>
        <v/>
      </c>
      <c r="L588" s="4">
        <f>SUMIFS(df_mutuos!N:N,df_mutuos!B:B,Conciliacao!A588)*(-1)</f>
        <v/>
      </c>
      <c r="M588" s="8">
        <f>SUMIFS(df_bloqueios_judiciais!G:G,df_bloqueios_judiciais!D:D,Conciliacao!A588,df_bloqueios_judiciais!G:G,"&lt;0")</f>
        <v/>
      </c>
      <c r="N588" s="10">
        <f>SUMIFS(df_extratos!I:I,df_extratos!F:F,"&gt;="&amp;Conciliacao!BE588,df_extratos!F:F,"&lt;"&amp;Conciliacao!BE588+1,df_extratos!G:G,"DEBITO")
+SUMIFS(df_extratos!I:I,df_extratos!F:F,"&gt;="&amp;Conciliacao!A588, df_extratos!F:F,"&lt;"&amp;Conciliacao!A588+1, df_extratos!G:G,"DEBITO")
+SUMIFS(df_extratos!I:I,df_extratos!F:F,"&gt;="&amp;Conciliacao!BF588,df_extratos!F:F,"&lt;"&amp;Conciliacao!BF588+1,df_extratos!G:G,"DEBITO")
+SUMIFS(df_extratos!I:I,df_extratos!F:F,"&gt;="&amp;Conciliacao!BG588,df_extratos!F:F,"&lt;"&amp;Conciliacao!BG588+1,df_extratos!G:G,"DEBITO")
+SUMIFS(df_extratos!I:I,df_extratos!F:F,"&gt;="&amp;Conciliacao!BH588,df_extratos!F:F,"&lt;"&amp;Conciliacao!BH588+1,df_extratos!G:G,"DEBITO")</f>
        <v/>
      </c>
      <c r="O588" s="11">
        <f>N588-SUM(J588:M588)</f>
        <v/>
      </c>
      <c r="P588" s="25">
        <f>SUMIFS(df_ajustes_conciliaco!D:D,df_ajustes_conciliaco!C:C,Conciliacao!A588)</f>
        <v/>
      </c>
      <c r="Q588" s="22">
        <f>O588+I588-P588</f>
        <v/>
      </c>
    </row>
    <row r="589">
      <c r="A589" s="5">
        <f>A588+1</f>
        <v/>
      </c>
      <c r="B589" s="3">
        <f>-SUMIFS(df_extrato_zig!G:G,df_extrato_zig!E:E,Conciliacao!A589,df_extrato_zig!D:D,"Saque")-SUMIFS(df_extrato_zig!G:G,df_extrato_zig!E:E,Conciliacao!A589,df_extrato_zig!D:D,"Antecipação")</f>
        <v/>
      </c>
      <c r="C589" s="3">
        <f>SUMIFS(df_extrato_zig!E:E,df_extrato_zig!L:L,Conciliacao!A589,df_extrato_zig!F:F,"DINHEIRO")</f>
        <v/>
      </c>
      <c r="D589" s="3">
        <f>SUMIFS(view_parc_agrup!H:H,view_parc_agrup!G:G,Conciliacao!A589)</f>
        <v/>
      </c>
      <c r="E589" s="3">
        <f>SUMIFS(df_eventos!F:F,df_eventos!H:H,Conciliacao!A589)</f>
        <v/>
      </c>
      <c r="F589" s="3">
        <f>SUMIFS(df_mutuos!M:M,df_mutuos!B:B,Conciliacao!A589)</f>
        <v/>
      </c>
      <c r="G589" s="6">
        <f>SUMIFS(df_bloqueios_judiciais!G:G,df_bloqueios_judiciais!D:D,Conciliacao!A589,df_bloqueios_judiciais!G:G,"&gt;0")</f>
        <v/>
      </c>
      <c r="H589" s="7">
        <f>SUMIFS(df_extratos!I:I,df_extratos!F:F,"&gt;="&amp;Conciliacao!BE589,df_extratos!F:F,"&lt;"&amp;Conciliacao!BE589+1,df_extratos!G:G,"CREDITO")
+SUMIFS(df_extratos!I:I,df_extratos!F:F,"&gt;="&amp;Conciliacao!A589, df_extratos!F:F,"&lt;"&amp;Conciliacao!A589+1, df_extratos!G:G,"CREDITO")
+SUMIFS(df_extratos!I:I,df_extratos!F:F,"&gt;="&amp;Conciliacao!BF589,df_extratos!F:F,"&lt;"&amp;Conciliacao!BF589+1,df_extratos!G:G,"CREDITO")
+SUMIFS(df_extratos!I:I,df_extratos!F:F,"&gt;="&amp;Conciliacao!BG589,df_extratos!F:F,"&lt;"&amp;Conciliacao!BG589+1,df_extratos!G:G,"CREDITO")
+SUMIFS(df_extratos!I:I,df_extratos!F:F,"&gt;="&amp;Conciliacao!BH589,df_extratos!F:F,"&lt;"&amp;Conciliacao!BH589+1,df_extratos!G:G,"CREDITO")</f>
        <v/>
      </c>
      <c r="I589" s="9">
        <f>H589-SUM(B589:G589)</f>
        <v/>
      </c>
      <c r="J589" s="4">
        <f>SUMIFS(df_blueme_sem_parcelamento!E:E,df_blueme_sem_parcelamento!H:H,Conciliacao!A589)*(-1)</f>
        <v/>
      </c>
      <c r="K589" s="4">
        <f>SUMIFS(df_blueme_com_parcelamento!J:J,df_blueme_com_parcelamento!M:M,Conciliacao!A589)*(-1)</f>
        <v/>
      </c>
      <c r="L589" s="4">
        <f>SUMIFS(df_mutuos!N:N,df_mutuos!B:B,Conciliacao!A589)*(-1)</f>
        <v/>
      </c>
      <c r="M589" s="8">
        <f>SUMIFS(df_bloqueios_judiciais!G:G,df_bloqueios_judiciais!D:D,Conciliacao!A589,df_bloqueios_judiciais!G:G,"&lt;0")</f>
        <v/>
      </c>
      <c r="N589" s="10">
        <f>SUMIFS(df_extratos!I:I,df_extratos!F:F,"&gt;="&amp;Conciliacao!BE589,df_extratos!F:F,"&lt;"&amp;Conciliacao!BE589+1,df_extratos!G:G,"DEBITO")
+SUMIFS(df_extratos!I:I,df_extratos!F:F,"&gt;="&amp;Conciliacao!A589, df_extratos!F:F,"&lt;"&amp;Conciliacao!A589+1, df_extratos!G:G,"DEBITO")
+SUMIFS(df_extratos!I:I,df_extratos!F:F,"&gt;="&amp;Conciliacao!BF589,df_extratos!F:F,"&lt;"&amp;Conciliacao!BF589+1,df_extratos!G:G,"DEBITO")
+SUMIFS(df_extratos!I:I,df_extratos!F:F,"&gt;="&amp;Conciliacao!BG589,df_extratos!F:F,"&lt;"&amp;Conciliacao!BG589+1,df_extratos!G:G,"DEBITO")
+SUMIFS(df_extratos!I:I,df_extratos!F:F,"&gt;="&amp;Conciliacao!BH589,df_extratos!F:F,"&lt;"&amp;Conciliacao!BH589+1,df_extratos!G:G,"DEBITO")</f>
        <v/>
      </c>
      <c r="O589" s="11">
        <f>N589-SUM(J589:M589)</f>
        <v/>
      </c>
      <c r="P589" s="25">
        <f>SUMIFS(df_ajustes_conciliaco!D:D,df_ajustes_conciliaco!C:C,Conciliacao!A589)</f>
        <v/>
      </c>
      <c r="Q589" s="22">
        <f>O589+I589-P589</f>
        <v/>
      </c>
    </row>
    <row r="590">
      <c r="A590" s="5">
        <f>A589+1</f>
        <v/>
      </c>
      <c r="B590" s="3">
        <f>-SUMIFS(df_extrato_zig!G:G,df_extrato_zig!E:E,Conciliacao!A590,df_extrato_zig!D:D,"Saque")-SUMIFS(df_extrato_zig!G:G,df_extrato_zig!E:E,Conciliacao!A590,df_extrato_zig!D:D,"Antecipação")</f>
        <v/>
      </c>
      <c r="C590" s="3">
        <f>SUMIFS(df_extrato_zig!E:E,df_extrato_zig!L:L,Conciliacao!A590,df_extrato_zig!F:F,"DINHEIRO")</f>
        <v/>
      </c>
      <c r="D590" s="3">
        <f>SUMIFS(view_parc_agrup!H:H,view_parc_agrup!G:G,Conciliacao!A590)</f>
        <v/>
      </c>
      <c r="E590" s="3">
        <f>SUMIFS(df_eventos!F:F,df_eventos!H:H,Conciliacao!A590)</f>
        <v/>
      </c>
      <c r="F590" s="3">
        <f>SUMIFS(df_mutuos!M:M,df_mutuos!B:B,Conciliacao!A590)</f>
        <v/>
      </c>
      <c r="G590" s="6">
        <f>SUMIFS(df_bloqueios_judiciais!G:G,df_bloqueios_judiciais!D:D,Conciliacao!A590,df_bloqueios_judiciais!G:G,"&gt;0")</f>
        <v/>
      </c>
      <c r="H590" s="7">
        <f>SUMIFS(df_extratos!I:I,df_extratos!F:F,"&gt;="&amp;Conciliacao!BE590,df_extratos!F:F,"&lt;"&amp;Conciliacao!BE590+1,df_extratos!G:G,"CREDITO")
+SUMIFS(df_extratos!I:I,df_extratos!F:F,"&gt;="&amp;Conciliacao!A590, df_extratos!F:F,"&lt;"&amp;Conciliacao!A590+1, df_extratos!G:G,"CREDITO")
+SUMIFS(df_extratos!I:I,df_extratos!F:F,"&gt;="&amp;Conciliacao!BF590,df_extratos!F:F,"&lt;"&amp;Conciliacao!BF590+1,df_extratos!G:G,"CREDITO")
+SUMIFS(df_extratos!I:I,df_extratos!F:F,"&gt;="&amp;Conciliacao!BG590,df_extratos!F:F,"&lt;"&amp;Conciliacao!BG590+1,df_extratos!G:G,"CREDITO")
+SUMIFS(df_extratos!I:I,df_extratos!F:F,"&gt;="&amp;Conciliacao!BH590,df_extratos!F:F,"&lt;"&amp;Conciliacao!BH590+1,df_extratos!G:G,"CREDITO")</f>
        <v/>
      </c>
      <c r="I590" s="9">
        <f>H590-SUM(B590:G590)</f>
        <v/>
      </c>
      <c r="J590" s="4">
        <f>SUMIFS(df_blueme_sem_parcelamento!E:E,df_blueme_sem_parcelamento!H:H,Conciliacao!A590)*(-1)</f>
        <v/>
      </c>
      <c r="K590" s="4">
        <f>SUMIFS(df_blueme_com_parcelamento!J:J,df_blueme_com_parcelamento!M:M,Conciliacao!A590)*(-1)</f>
        <v/>
      </c>
      <c r="L590" s="4">
        <f>SUMIFS(df_mutuos!N:N,df_mutuos!B:B,Conciliacao!A590)*(-1)</f>
        <v/>
      </c>
      <c r="M590" s="8">
        <f>SUMIFS(df_bloqueios_judiciais!G:G,df_bloqueios_judiciais!D:D,Conciliacao!A590,df_bloqueios_judiciais!G:G,"&lt;0")</f>
        <v/>
      </c>
      <c r="N590" s="10">
        <f>SUMIFS(df_extratos!I:I,df_extratos!F:F,"&gt;="&amp;Conciliacao!BE590,df_extratos!F:F,"&lt;"&amp;Conciliacao!BE590+1,df_extratos!G:G,"DEBITO")
+SUMIFS(df_extratos!I:I,df_extratos!F:F,"&gt;="&amp;Conciliacao!A590, df_extratos!F:F,"&lt;"&amp;Conciliacao!A590+1, df_extratos!G:G,"DEBITO")
+SUMIFS(df_extratos!I:I,df_extratos!F:F,"&gt;="&amp;Conciliacao!BF590,df_extratos!F:F,"&lt;"&amp;Conciliacao!BF590+1,df_extratos!G:G,"DEBITO")
+SUMIFS(df_extratos!I:I,df_extratos!F:F,"&gt;="&amp;Conciliacao!BG590,df_extratos!F:F,"&lt;"&amp;Conciliacao!BG590+1,df_extratos!G:G,"DEBITO")
+SUMIFS(df_extratos!I:I,df_extratos!F:F,"&gt;="&amp;Conciliacao!BH590,df_extratos!F:F,"&lt;"&amp;Conciliacao!BH590+1,df_extratos!G:G,"DEBITO")</f>
        <v/>
      </c>
      <c r="O590" s="11">
        <f>N590-SUM(J590:M590)</f>
        <v/>
      </c>
      <c r="P590" s="25">
        <f>SUMIFS(df_ajustes_conciliaco!D:D,df_ajustes_conciliaco!C:C,Conciliacao!A590)</f>
        <v/>
      </c>
      <c r="Q590" s="22">
        <f>O590+I590-P590</f>
        <v/>
      </c>
    </row>
    <row r="591">
      <c r="A591" s="5">
        <f>A590+1</f>
        <v/>
      </c>
      <c r="B591" s="3">
        <f>-SUMIFS(df_extrato_zig!G:G,df_extrato_zig!E:E,Conciliacao!A591,df_extrato_zig!D:D,"Saque")-SUMIFS(df_extrato_zig!G:G,df_extrato_zig!E:E,Conciliacao!A591,df_extrato_zig!D:D,"Antecipação")</f>
        <v/>
      </c>
      <c r="C591" s="3">
        <f>SUMIFS(df_extrato_zig!E:E,df_extrato_zig!L:L,Conciliacao!A591,df_extrato_zig!F:F,"DINHEIRO")</f>
        <v/>
      </c>
      <c r="D591" s="3">
        <f>SUMIFS(view_parc_agrup!H:H,view_parc_agrup!G:G,Conciliacao!A591)</f>
        <v/>
      </c>
      <c r="E591" s="3">
        <f>SUMIFS(df_eventos!F:F,df_eventos!H:H,Conciliacao!A591)</f>
        <v/>
      </c>
      <c r="F591" s="3">
        <f>SUMIFS(df_mutuos!M:M,df_mutuos!B:B,Conciliacao!A591)</f>
        <v/>
      </c>
      <c r="G591" s="6">
        <f>SUMIFS(df_bloqueios_judiciais!G:G,df_bloqueios_judiciais!D:D,Conciliacao!A591,df_bloqueios_judiciais!G:G,"&gt;0")</f>
        <v/>
      </c>
      <c r="H591" s="7">
        <f>SUMIFS(df_extratos!I:I,df_extratos!F:F,"&gt;="&amp;Conciliacao!BE591,df_extratos!F:F,"&lt;"&amp;Conciliacao!BE591+1,df_extratos!G:G,"CREDITO")
+SUMIFS(df_extratos!I:I,df_extratos!F:F,"&gt;="&amp;Conciliacao!A591, df_extratos!F:F,"&lt;"&amp;Conciliacao!A591+1, df_extratos!G:G,"CREDITO")
+SUMIFS(df_extratos!I:I,df_extratos!F:F,"&gt;="&amp;Conciliacao!BF591,df_extratos!F:F,"&lt;"&amp;Conciliacao!BF591+1,df_extratos!G:G,"CREDITO")
+SUMIFS(df_extratos!I:I,df_extratos!F:F,"&gt;="&amp;Conciliacao!BG591,df_extratos!F:F,"&lt;"&amp;Conciliacao!BG591+1,df_extratos!G:G,"CREDITO")
+SUMIFS(df_extratos!I:I,df_extratos!F:F,"&gt;="&amp;Conciliacao!BH591,df_extratos!F:F,"&lt;"&amp;Conciliacao!BH591+1,df_extratos!G:G,"CREDITO")</f>
        <v/>
      </c>
      <c r="I591" s="9">
        <f>H591-SUM(B591:G591)</f>
        <v/>
      </c>
      <c r="J591" s="4">
        <f>SUMIFS(df_blueme_sem_parcelamento!E:E,df_blueme_sem_parcelamento!H:H,Conciliacao!A591)*(-1)</f>
        <v/>
      </c>
      <c r="K591" s="4">
        <f>SUMIFS(df_blueme_com_parcelamento!J:J,df_blueme_com_parcelamento!M:M,Conciliacao!A591)*(-1)</f>
        <v/>
      </c>
      <c r="L591" s="4">
        <f>SUMIFS(df_mutuos!N:N,df_mutuos!B:B,Conciliacao!A591)*(-1)</f>
        <v/>
      </c>
      <c r="M591" s="8">
        <f>SUMIFS(df_bloqueios_judiciais!G:G,df_bloqueios_judiciais!D:D,Conciliacao!A591,df_bloqueios_judiciais!G:G,"&lt;0")</f>
        <v/>
      </c>
      <c r="N591" s="10">
        <f>SUMIFS(df_extratos!I:I,df_extratos!F:F,"&gt;="&amp;Conciliacao!BE591,df_extratos!F:F,"&lt;"&amp;Conciliacao!BE591+1,df_extratos!G:G,"DEBITO")
+SUMIFS(df_extratos!I:I,df_extratos!F:F,"&gt;="&amp;Conciliacao!A591, df_extratos!F:F,"&lt;"&amp;Conciliacao!A591+1, df_extratos!G:G,"DEBITO")
+SUMIFS(df_extratos!I:I,df_extratos!F:F,"&gt;="&amp;Conciliacao!BF591,df_extratos!F:F,"&lt;"&amp;Conciliacao!BF591+1,df_extratos!G:G,"DEBITO")
+SUMIFS(df_extratos!I:I,df_extratos!F:F,"&gt;="&amp;Conciliacao!BG591,df_extratos!F:F,"&lt;"&amp;Conciliacao!BG591+1,df_extratos!G:G,"DEBITO")
+SUMIFS(df_extratos!I:I,df_extratos!F:F,"&gt;="&amp;Conciliacao!BH591,df_extratos!F:F,"&lt;"&amp;Conciliacao!BH591+1,df_extratos!G:G,"DEBITO")</f>
        <v/>
      </c>
      <c r="O591" s="11">
        <f>N591-SUM(J591:M591)</f>
        <v/>
      </c>
      <c r="P591" s="25">
        <f>SUMIFS(df_ajustes_conciliaco!D:D,df_ajustes_conciliaco!C:C,Conciliacao!A591)</f>
        <v/>
      </c>
      <c r="Q591" s="22">
        <f>O591+I591-P591</f>
        <v/>
      </c>
    </row>
    <row r="592">
      <c r="A592" s="5">
        <f>A591+1</f>
        <v/>
      </c>
      <c r="B592" s="3">
        <f>-SUMIFS(df_extrato_zig!G:G,df_extrato_zig!E:E,Conciliacao!A592,df_extrato_zig!D:D,"Saque")-SUMIFS(df_extrato_zig!G:G,df_extrato_zig!E:E,Conciliacao!A592,df_extrato_zig!D:D,"Antecipação")</f>
        <v/>
      </c>
      <c r="C592" s="3">
        <f>SUMIFS(df_extrato_zig!E:E,df_extrato_zig!L:L,Conciliacao!A592,df_extrato_zig!F:F,"DINHEIRO")</f>
        <v/>
      </c>
      <c r="D592" s="3">
        <f>SUMIFS(view_parc_agrup!H:H,view_parc_agrup!G:G,Conciliacao!A592)</f>
        <v/>
      </c>
      <c r="E592" s="3">
        <f>SUMIFS(df_eventos!F:F,df_eventos!H:H,Conciliacao!A592)</f>
        <v/>
      </c>
      <c r="F592" s="3">
        <f>SUMIFS(df_mutuos!M:M,df_mutuos!B:B,Conciliacao!A592)</f>
        <v/>
      </c>
      <c r="G592" s="6">
        <f>SUMIFS(df_bloqueios_judiciais!G:G,df_bloqueios_judiciais!D:D,Conciliacao!A592,df_bloqueios_judiciais!G:G,"&gt;0")</f>
        <v/>
      </c>
      <c r="H592" s="7">
        <f>SUMIFS(df_extratos!I:I,df_extratos!F:F,"&gt;="&amp;Conciliacao!BE592,df_extratos!F:F,"&lt;"&amp;Conciliacao!BE592+1,df_extratos!G:G,"CREDITO")
+SUMIFS(df_extratos!I:I,df_extratos!F:F,"&gt;="&amp;Conciliacao!A592, df_extratos!F:F,"&lt;"&amp;Conciliacao!A592+1, df_extratos!G:G,"CREDITO")
+SUMIFS(df_extratos!I:I,df_extratos!F:F,"&gt;="&amp;Conciliacao!BF592,df_extratos!F:F,"&lt;"&amp;Conciliacao!BF592+1,df_extratos!G:G,"CREDITO")
+SUMIFS(df_extratos!I:I,df_extratos!F:F,"&gt;="&amp;Conciliacao!BG592,df_extratos!F:F,"&lt;"&amp;Conciliacao!BG592+1,df_extratos!G:G,"CREDITO")
+SUMIFS(df_extratos!I:I,df_extratos!F:F,"&gt;="&amp;Conciliacao!BH592,df_extratos!F:F,"&lt;"&amp;Conciliacao!BH592+1,df_extratos!G:G,"CREDITO")</f>
        <v/>
      </c>
      <c r="I592" s="9">
        <f>H592-SUM(B592:G592)</f>
        <v/>
      </c>
      <c r="J592" s="4">
        <f>SUMIFS(df_blueme_sem_parcelamento!E:E,df_blueme_sem_parcelamento!H:H,Conciliacao!A592)*(-1)</f>
        <v/>
      </c>
      <c r="K592" s="4">
        <f>SUMIFS(df_blueme_com_parcelamento!J:J,df_blueme_com_parcelamento!M:M,Conciliacao!A592)*(-1)</f>
        <v/>
      </c>
      <c r="L592" s="4">
        <f>SUMIFS(df_mutuos!N:N,df_mutuos!B:B,Conciliacao!A592)*(-1)</f>
        <v/>
      </c>
      <c r="M592" s="8">
        <f>SUMIFS(df_bloqueios_judiciais!G:G,df_bloqueios_judiciais!D:D,Conciliacao!A592,df_bloqueios_judiciais!G:G,"&lt;0")</f>
        <v/>
      </c>
      <c r="N592" s="10">
        <f>SUMIFS(df_extratos!I:I,df_extratos!F:F,"&gt;="&amp;Conciliacao!BE592,df_extratos!F:F,"&lt;"&amp;Conciliacao!BE592+1,df_extratos!G:G,"DEBITO")
+SUMIFS(df_extratos!I:I,df_extratos!F:F,"&gt;="&amp;Conciliacao!A592, df_extratos!F:F,"&lt;"&amp;Conciliacao!A592+1, df_extratos!G:G,"DEBITO")
+SUMIFS(df_extratos!I:I,df_extratos!F:F,"&gt;="&amp;Conciliacao!BF592,df_extratos!F:F,"&lt;"&amp;Conciliacao!BF592+1,df_extratos!G:G,"DEBITO")
+SUMIFS(df_extratos!I:I,df_extratos!F:F,"&gt;="&amp;Conciliacao!BG592,df_extratos!F:F,"&lt;"&amp;Conciliacao!BG592+1,df_extratos!G:G,"DEBITO")
+SUMIFS(df_extratos!I:I,df_extratos!F:F,"&gt;="&amp;Conciliacao!BH592,df_extratos!F:F,"&lt;"&amp;Conciliacao!BH592+1,df_extratos!G:G,"DEBITO")</f>
        <v/>
      </c>
      <c r="O592" s="11">
        <f>N592-SUM(J592:M592)</f>
        <v/>
      </c>
      <c r="P592" s="25">
        <f>SUMIFS(df_ajustes_conciliaco!D:D,df_ajustes_conciliaco!C:C,Conciliacao!A592)</f>
        <v/>
      </c>
      <c r="Q592" s="22">
        <f>O592+I592-P592</f>
        <v/>
      </c>
    </row>
    <row r="593">
      <c r="A593" s="5">
        <f>A592+1</f>
        <v/>
      </c>
      <c r="B593" s="3">
        <f>-SUMIFS(df_extrato_zig!G:G,df_extrato_zig!E:E,Conciliacao!A593,df_extrato_zig!D:D,"Saque")-SUMIFS(df_extrato_zig!G:G,df_extrato_zig!E:E,Conciliacao!A593,df_extrato_zig!D:D,"Antecipação")</f>
        <v/>
      </c>
      <c r="C593" s="3">
        <f>SUMIFS(df_extrato_zig!E:E,df_extrato_zig!L:L,Conciliacao!A593,df_extrato_zig!F:F,"DINHEIRO")</f>
        <v/>
      </c>
      <c r="D593" s="3">
        <f>SUMIFS(view_parc_agrup!H:H,view_parc_agrup!G:G,Conciliacao!A593)</f>
        <v/>
      </c>
      <c r="E593" s="3">
        <f>SUMIFS(df_eventos!F:F,df_eventos!H:H,Conciliacao!A593)</f>
        <v/>
      </c>
      <c r="F593" s="3">
        <f>SUMIFS(df_mutuos!M:M,df_mutuos!B:B,Conciliacao!A593)</f>
        <v/>
      </c>
      <c r="G593" s="6">
        <f>SUMIFS(df_bloqueios_judiciais!G:G,df_bloqueios_judiciais!D:D,Conciliacao!A593,df_bloqueios_judiciais!G:G,"&gt;0")</f>
        <v/>
      </c>
      <c r="H593" s="7">
        <f>SUMIFS(df_extratos!I:I,df_extratos!F:F,"&gt;="&amp;Conciliacao!BE593,df_extratos!F:F,"&lt;"&amp;Conciliacao!BE593+1,df_extratos!G:G,"CREDITO")
+SUMIFS(df_extratos!I:I,df_extratos!F:F,"&gt;="&amp;Conciliacao!A593, df_extratos!F:F,"&lt;"&amp;Conciliacao!A593+1, df_extratos!G:G,"CREDITO")
+SUMIFS(df_extratos!I:I,df_extratos!F:F,"&gt;="&amp;Conciliacao!BF593,df_extratos!F:F,"&lt;"&amp;Conciliacao!BF593+1,df_extratos!G:G,"CREDITO")
+SUMIFS(df_extratos!I:I,df_extratos!F:F,"&gt;="&amp;Conciliacao!BG593,df_extratos!F:F,"&lt;"&amp;Conciliacao!BG593+1,df_extratos!G:G,"CREDITO")
+SUMIFS(df_extratos!I:I,df_extratos!F:F,"&gt;="&amp;Conciliacao!BH593,df_extratos!F:F,"&lt;"&amp;Conciliacao!BH593+1,df_extratos!G:G,"CREDITO")</f>
        <v/>
      </c>
      <c r="I593" s="9">
        <f>H593-SUM(B593:G593)</f>
        <v/>
      </c>
      <c r="J593" s="4">
        <f>SUMIFS(df_blueme_sem_parcelamento!E:E,df_blueme_sem_parcelamento!H:H,Conciliacao!A593)*(-1)</f>
        <v/>
      </c>
      <c r="K593" s="4">
        <f>SUMIFS(df_blueme_com_parcelamento!J:J,df_blueme_com_parcelamento!M:M,Conciliacao!A593)*(-1)</f>
        <v/>
      </c>
      <c r="L593" s="4">
        <f>SUMIFS(df_mutuos!N:N,df_mutuos!B:B,Conciliacao!A593)*(-1)</f>
        <v/>
      </c>
      <c r="M593" s="8">
        <f>SUMIFS(df_bloqueios_judiciais!G:G,df_bloqueios_judiciais!D:D,Conciliacao!A593,df_bloqueios_judiciais!G:G,"&lt;0")</f>
        <v/>
      </c>
      <c r="N593" s="10">
        <f>SUMIFS(df_extratos!I:I,df_extratos!F:F,"&gt;="&amp;Conciliacao!BE593,df_extratos!F:F,"&lt;"&amp;Conciliacao!BE593+1,df_extratos!G:G,"DEBITO")
+SUMIFS(df_extratos!I:I,df_extratos!F:F,"&gt;="&amp;Conciliacao!A593, df_extratos!F:F,"&lt;"&amp;Conciliacao!A593+1, df_extratos!G:G,"DEBITO")
+SUMIFS(df_extratos!I:I,df_extratos!F:F,"&gt;="&amp;Conciliacao!BF593,df_extratos!F:F,"&lt;"&amp;Conciliacao!BF593+1,df_extratos!G:G,"DEBITO")
+SUMIFS(df_extratos!I:I,df_extratos!F:F,"&gt;="&amp;Conciliacao!BG593,df_extratos!F:F,"&lt;"&amp;Conciliacao!BG593+1,df_extratos!G:G,"DEBITO")
+SUMIFS(df_extratos!I:I,df_extratos!F:F,"&gt;="&amp;Conciliacao!BH593,df_extratos!F:F,"&lt;"&amp;Conciliacao!BH593+1,df_extratos!G:G,"DEBITO")</f>
        <v/>
      </c>
      <c r="O593" s="11">
        <f>N593-SUM(J593:M593)</f>
        <v/>
      </c>
      <c r="P593" s="25">
        <f>SUMIFS(df_ajustes_conciliaco!D:D,df_ajustes_conciliaco!C:C,Conciliacao!A593)</f>
        <v/>
      </c>
      <c r="Q593" s="22">
        <f>O593+I593-P593</f>
        <v/>
      </c>
    </row>
    <row r="594">
      <c r="A594" s="5">
        <f>A593+1</f>
        <v/>
      </c>
      <c r="B594" s="3">
        <f>-SUMIFS(df_extrato_zig!G:G,df_extrato_zig!E:E,Conciliacao!A594,df_extrato_zig!D:D,"Saque")-SUMIFS(df_extrato_zig!G:G,df_extrato_zig!E:E,Conciliacao!A594,df_extrato_zig!D:D,"Antecipação")</f>
        <v/>
      </c>
      <c r="C594" s="3">
        <f>SUMIFS(df_extrato_zig!E:E,df_extrato_zig!L:L,Conciliacao!A594,df_extrato_zig!F:F,"DINHEIRO")</f>
        <v/>
      </c>
      <c r="D594" s="3">
        <f>SUMIFS(view_parc_agrup!H:H,view_parc_agrup!G:G,Conciliacao!A594)</f>
        <v/>
      </c>
      <c r="E594" s="3">
        <f>SUMIFS(df_eventos!F:F,df_eventos!H:H,Conciliacao!A594)</f>
        <v/>
      </c>
      <c r="F594" s="3">
        <f>SUMIFS(df_mutuos!M:M,df_mutuos!B:B,Conciliacao!A594)</f>
        <v/>
      </c>
      <c r="G594" s="6">
        <f>SUMIFS(df_bloqueios_judiciais!G:G,df_bloqueios_judiciais!D:D,Conciliacao!A594,df_bloqueios_judiciais!G:G,"&gt;0")</f>
        <v/>
      </c>
      <c r="H594" s="7">
        <f>SUMIFS(df_extratos!I:I,df_extratos!F:F,"&gt;="&amp;Conciliacao!BE594,df_extratos!F:F,"&lt;"&amp;Conciliacao!BE594+1,df_extratos!G:G,"CREDITO")
+SUMIFS(df_extratos!I:I,df_extratos!F:F,"&gt;="&amp;Conciliacao!A594, df_extratos!F:F,"&lt;"&amp;Conciliacao!A594+1, df_extratos!G:G,"CREDITO")
+SUMIFS(df_extratos!I:I,df_extratos!F:F,"&gt;="&amp;Conciliacao!BF594,df_extratos!F:F,"&lt;"&amp;Conciliacao!BF594+1,df_extratos!G:G,"CREDITO")
+SUMIFS(df_extratos!I:I,df_extratos!F:F,"&gt;="&amp;Conciliacao!BG594,df_extratos!F:F,"&lt;"&amp;Conciliacao!BG594+1,df_extratos!G:G,"CREDITO")
+SUMIFS(df_extratos!I:I,df_extratos!F:F,"&gt;="&amp;Conciliacao!BH594,df_extratos!F:F,"&lt;"&amp;Conciliacao!BH594+1,df_extratos!G:G,"CREDITO")</f>
        <v/>
      </c>
      <c r="I594" s="9">
        <f>H594-SUM(B594:G594)</f>
        <v/>
      </c>
      <c r="J594" s="4">
        <f>SUMIFS(df_blueme_sem_parcelamento!E:E,df_blueme_sem_parcelamento!H:H,Conciliacao!A594)*(-1)</f>
        <v/>
      </c>
      <c r="K594" s="4">
        <f>SUMIFS(df_blueme_com_parcelamento!J:J,df_blueme_com_parcelamento!M:M,Conciliacao!A594)*(-1)</f>
        <v/>
      </c>
      <c r="L594" s="4">
        <f>SUMIFS(df_mutuos!N:N,df_mutuos!B:B,Conciliacao!A594)*(-1)</f>
        <v/>
      </c>
      <c r="M594" s="8">
        <f>SUMIFS(df_bloqueios_judiciais!G:G,df_bloqueios_judiciais!D:D,Conciliacao!A594,df_bloqueios_judiciais!G:G,"&lt;0")</f>
        <v/>
      </c>
      <c r="N594" s="10">
        <f>SUMIFS(df_extratos!I:I,df_extratos!F:F,"&gt;="&amp;Conciliacao!BE594,df_extratos!F:F,"&lt;"&amp;Conciliacao!BE594+1,df_extratos!G:G,"DEBITO")
+SUMIFS(df_extratos!I:I,df_extratos!F:F,"&gt;="&amp;Conciliacao!A594, df_extratos!F:F,"&lt;"&amp;Conciliacao!A594+1, df_extratos!G:G,"DEBITO")
+SUMIFS(df_extratos!I:I,df_extratos!F:F,"&gt;="&amp;Conciliacao!BF594,df_extratos!F:F,"&lt;"&amp;Conciliacao!BF594+1,df_extratos!G:G,"DEBITO")
+SUMIFS(df_extratos!I:I,df_extratos!F:F,"&gt;="&amp;Conciliacao!BG594,df_extratos!F:F,"&lt;"&amp;Conciliacao!BG594+1,df_extratos!G:G,"DEBITO")
+SUMIFS(df_extratos!I:I,df_extratos!F:F,"&gt;="&amp;Conciliacao!BH594,df_extratos!F:F,"&lt;"&amp;Conciliacao!BH594+1,df_extratos!G:G,"DEBITO")</f>
        <v/>
      </c>
      <c r="O594" s="11">
        <f>N594-SUM(J594:M594)</f>
        <v/>
      </c>
      <c r="P594" s="25">
        <f>SUMIFS(df_ajustes_conciliaco!D:D,df_ajustes_conciliaco!C:C,Conciliacao!A594)</f>
        <v/>
      </c>
      <c r="Q594" s="22">
        <f>O594+I594-P594</f>
        <v/>
      </c>
    </row>
    <row r="595">
      <c r="A595" s="5">
        <f>A594+1</f>
        <v/>
      </c>
      <c r="B595" s="3">
        <f>-SUMIFS(df_extrato_zig!G:G,df_extrato_zig!E:E,Conciliacao!A595,df_extrato_zig!D:D,"Saque")-SUMIFS(df_extrato_zig!G:G,df_extrato_zig!E:E,Conciliacao!A595,df_extrato_zig!D:D,"Antecipação")</f>
        <v/>
      </c>
      <c r="C595" s="3">
        <f>SUMIFS(df_extrato_zig!E:E,df_extrato_zig!L:L,Conciliacao!A595,df_extrato_zig!F:F,"DINHEIRO")</f>
        <v/>
      </c>
      <c r="D595" s="3">
        <f>SUMIFS(view_parc_agrup!H:H,view_parc_agrup!G:G,Conciliacao!A595)</f>
        <v/>
      </c>
      <c r="E595" s="3">
        <f>SUMIFS(df_eventos!F:F,df_eventos!H:H,Conciliacao!A595)</f>
        <v/>
      </c>
      <c r="F595" s="3">
        <f>SUMIFS(df_mutuos!M:M,df_mutuos!B:B,Conciliacao!A595)</f>
        <v/>
      </c>
      <c r="G595" s="6">
        <f>SUMIFS(df_bloqueios_judiciais!G:G,df_bloqueios_judiciais!D:D,Conciliacao!A595,df_bloqueios_judiciais!G:G,"&gt;0")</f>
        <v/>
      </c>
      <c r="H595" s="7">
        <f>SUMIFS(df_extratos!I:I,df_extratos!F:F,"&gt;="&amp;Conciliacao!BE595,df_extratos!F:F,"&lt;"&amp;Conciliacao!BE595+1,df_extratos!G:G,"CREDITO")
+SUMIFS(df_extratos!I:I,df_extratos!F:F,"&gt;="&amp;Conciliacao!A595, df_extratos!F:F,"&lt;"&amp;Conciliacao!A595+1, df_extratos!G:G,"CREDITO")
+SUMIFS(df_extratos!I:I,df_extratos!F:F,"&gt;="&amp;Conciliacao!BF595,df_extratos!F:F,"&lt;"&amp;Conciliacao!BF595+1,df_extratos!G:G,"CREDITO")
+SUMIFS(df_extratos!I:I,df_extratos!F:F,"&gt;="&amp;Conciliacao!BG595,df_extratos!F:F,"&lt;"&amp;Conciliacao!BG595+1,df_extratos!G:G,"CREDITO")
+SUMIFS(df_extratos!I:I,df_extratos!F:F,"&gt;="&amp;Conciliacao!BH595,df_extratos!F:F,"&lt;"&amp;Conciliacao!BH595+1,df_extratos!G:G,"CREDITO")</f>
        <v/>
      </c>
      <c r="I595" s="9">
        <f>H595-SUM(B595:G595)</f>
        <v/>
      </c>
      <c r="J595" s="4">
        <f>SUMIFS(df_blueme_sem_parcelamento!E:E,df_blueme_sem_parcelamento!H:H,Conciliacao!A595)*(-1)</f>
        <v/>
      </c>
      <c r="K595" s="4">
        <f>SUMIFS(df_blueme_com_parcelamento!J:J,df_blueme_com_parcelamento!M:M,Conciliacao!A595)*(-1)</f>
        <v/>
      </c>
      <c r="L595" s="4">
        <f>SUMIFS(df_mutuos!N:N,df_mutuos!B:B,Conciliacao!A595)*(-1)</f>
        <v/>
      </c>
      <c r="M595" s="8">
        <f>SUMIFS(df_bloqueios_judiciais!G:G,df_bloqueios_judiciais!D:D,Conciliacao!A595,df_bloqueios_judiciais!G:G,"&lt;0")</f>
        <v/>
      </c>
      <c r="N595" s="10">
        <f>SUMIFS(df_extratos!I:I,df_extratos!F:F,"&gt;="&amp;Conciliacao!BE595,df_extratos!F:F,"&lt;"&amp;Conciliacao!BE595+1,df_extratos!G:G,"DEBITO")
+SUMIFS(df_extratos!I:I,df_extratos!F:F,"&gt;="&amp;Conciliacao!A595, df_extratos!F:F,"&lt;"&amp;Conciliacao!A595+1, df_extratos!G:G,"DEBITO")
+SUMIFS(df_extratos!I:I,df_extratos!F:F,"&gt;="&amp;Conciliacao!BF595,df_extratos!F:F,"&lt;"&amp;Conciliacao!BF595+1,df_extratos!G:G,"DEBITO")
+SUMIFS(df_extratos!I:I,df_extratos!F:F,"&gt;="&amp;Conciliacao!BG595,df_extratos!F:F,"&lt;"&amp;Conciliacao!BG595+1,df_extratos!G:G,"DEBITO")
+SUMIFS(df_extratos!I:I,df_extratos!F:F,"&gt;="&amp;Conciliacao!BH595,df_extratos!F:F,"&lt;"&amp;Conciliacao!BH595+1,df_extratos!G:G,"DEBITO")</f>
        <v/>
      </c>
      <c r="O595" s="11">
        <f>N595-SUM(J595:M595)</f>
        <v/>
      </c>
      <c r="P595" s="25">
        <f>SUMIFS(df_ajustes_conciliaco!D:D,df_ajustes_conciliaco!C:C,Conciliacao!A595)</f>
        <v/>
      </c>
      <c r="Q595" s="22">
        <f>O595+I595-P595</f>
        <v/>
      </c>
    </row>
    <row r="596">
      <c r="A596" s="5">
        <f>A595+1</f>
        <v/>
      </c>
      <c r="B596" s="3">
        <f>-SUMIFS(df_extrato_zig!G:G,df_extrato_zig!E:E,Conciliacao!A596,df_extrato_zig!D:D,"Saque")-SUMIFS(df_extrato_zig!G:G,df_extrato_zig!E:E,Conciliacao!A596,df_extrato_zig!D:D,"Antecipação")</f>
        <v/>
      </c>
      <c r="C596" s="3">
        <f>SUMIFS(df_extrato_zig!E:E,df_extrato_zig!L:L,Conciliacao!A596,df_extrato_zig!F:F,"DINHEIRO")</f>
        <v/>
      </c>
      <c r="D596" s="3">
        <f>SUMIFS(view_parc_agrup!H:H,view_parc_agrup!G:G,Conciliacao!A596)</f>
        <v/>
      </c>
      <c r="E596" s="3">
        <f>SUMIFS(df_eventos!F:F,df_eventos!H:H,Conciliacao!A596)</f>
        <v/>
      </c>
      <c r="F596" s="3">
        <f>SUMIFS(df_mutuos!M:M,df_mutuos!B:B,Conciliacao!A596)</f>
        <v/>
      </c>
      <c r="G596" s="6">
        <f>SUMIFS(df_bloqueios_judiciais!G:G,df_bloqueios_judiciais!D:D,Conciliacao!A596,df_bloqueios_judiciais!G:G,"&gt;0")</f>
        <v/>
      </c>
      <c r="H596" s="7">
        <f>SUMIFS(df_extratos!I:I,df_extratos!F:F,"&gt;="&amp;Conciliacao!BE596,df_extratos!F:F,"&lt;"&amp;Conciliacao!BE596+1,df_extratos!G:G,"CREDITO")
+SUMIFS(df_extratos!I:I,df_extratos!F:F,"&gt;="&amp;Conciliacao!A596, df_extratos!F:F,"&lt;"&amp;Conciliacao!A596+1, df_extratos!G:G,"CREDITO")
+SUMIFS(df_extratos!I:I,df_extratos!F:F,"&gt;="&amp;Conciliacao!BF596,df_extratos!F:F,"&lt;"&amp;Conciliacao!BF596+1,df_extratos!G:G,"CREDITO")
+SUMIFS(df_extratos!I:I,df_extratos!F:F,"&gt;="&amp;Conciliacao!BG596,df_extratos!F:F,"&lt;"&amp;Conciliacao!BG596+1,df_extratos!G:G,"CREDITO")
+SUMIFS(df_extratos!I:I,df_extratos!F:F,"&gt;="&amp;Conciliacao!BH596,df_extratos!F:F,"&lt;"&amp;Conciliacao!BH596+1,df_extratos!G:G,"CREDITO")</f>
        <v/>
      </c>
      <c r="I596" s="9">
        <f>H596-SUM(B596:G596)</f>
        <v/>
      </c>
      <c r="J596" s="4">
        <f>SUMIFS(df_blueme_sem_parcelamento!E:E,df_blueme_sem_parcelamento!H:H,Conciliacao!A596)*(-1)</f>
        <v/>
      </c>
      <c r="K596" s="4">
        <f>SUMIFS(df_blueme_com_parcelamento!J:J,df_blueme_com_parcelamento!M:M,Conciliacao!A596)*(-1)</f>
        <v/>
      </c>
      <c r="L596" s="4">
        <f>SUMIFS(df_mutuos!N:N,df_mutuos!B:B,Conciliacao!A596)*(-1)</f>
        <v/>
      </c>
      <c r="M596" s="8">
        <f>SUMIFS(df_bloqueios_judiciais!G:G,df_bloqueios_judiciais!D:D,Conciliacao!A596,df_bloqueios_judiciais!G:G,"&lt;0")</f>
        <v/>
      </c>
      <c r="N596" s="10">
        <f>SUMIFS(df_extratos!I:I,df_extratos!F:F,"&gt;="&amp;Conciliacao!BE596,df_extratos!F:F,"&lt;"&amp;Conciliacao!BE596+1,df_extratos!G:G,"DEBITO")
+SUMIFS(df_extratos!I:I,df_extratos!F:F,"&gt;="&amp;Conciliacao!A596, df_extratos!F:F,"&lt;"&amp;Conciliacao!A596+1, df_extratos!G:G,"DEBITO")
+SUMIFS(df_extratos!I:I,df_extratos!F:F,"&gt;="&amp;Conciliacao!BF596,df_extratos!F:F,"&lt;"&amp;Conciliacao!BF596+1,df_extratos!G:G,"DEBITO")
+SUMIFS(df_extratos!I:I,df_extratos!F:F,"&gt;="&amp;Conciliacao!BG596,df_extratos!F:F,"&lt;"&amp;Conciliacao!BG596+1,df_extratos!G:G,"DEBITO")
+SUMIFS(df_extratos!I:I,df_extratos!F:F,"&gt;="&amp;Conciliacao!BH596,df_extratos!F:F,"&lt;"&amp;Conciliacao!BH596+1,df_extratos!G:G,"DEBITO")</f>
        <v/>
      </c>
      <c r="O596" s="11">
        <f>N596-SUM(J596:M596)</f>
        <v/>
      </c>
      <c r="P596" s="25">
        <f>SUMIFS(df_ajustes_conciliaco!D:D,df_ajustes_conciliaco!C:C,Conciliacao!A596)</f>
        <v/>
      </c>
      <c r="Q596" s="22">
        <f>O596+I596-P596</f>
        <v/>
      </c>
    </row>
    <row r="597">
      <c r="A597" s="5">
        <f>A596+1</f>
        <v/>
      </c>
      <c r="B597" s="3">
        <f>-SUMIFS(df_extrato_zig!G:G,df_extrato_zig!E:E,Conciliacao!A597,df_extrato_zig!D:D,"Saque")-SUMIFS(df_extrato_zig!G:G,df_extrato_zig!E:E,Conciliacao!A597,df_extrato_zig!D:D,"Antecipação")</f>
        <v/>
      </c>
      <c r="C597" s="3">
        <f>SUMIFS(df_extrato_zig!E:E,df_extrato_zig!L:L,Conciliacao!A597,df_extrato_zig!F:F,"DINHEIRO")</f>
        <v/>
      </c>
      <c r="D597" s="3">
        <f>SUMIFS(view_parc_agrup!H:H,view_parc_agrup!G:G,Conciliacao!A597)</f>
        <v/>
      </c>
      <c r="E597" s="3">
        <f>SUMIFS(df_eventos!F:F,df_eventos!H:H,Conciliacao!A597)</f>
        <v/>
      </c>
      <c r="F597" s="3">
        <f>SUMIFS(df_mutuos!M:M,df_mutuos!B:B,Conciliacao!A597)</f>
        <v/>
      </c>
      <c r="G597" s="6">
        <f>SUMIFS(df_bloqueios_judiciais!G:G,df_bloqueios_judiciais!D:D,Conciliacao!A597,df_bloqueios_judiciais!G:G,"&gt;0")</f>
        <v/>
      </c>
      <c r="H597" s="7">
        <f>SUMIFS(df_extratos!I:I,df_extratos!F:F,"&gt;="&amp;Conciliacao!BE597,df_extratos!F:F,"&lt;"&amp;Conciliacao!BE597+1,df_extratos!G:G,"CREDITO")
+SUMIFS(df_extratos!I:I,df_extratos!F:F,"&gt;="&amp;Conciliacao!A597, df_extratos!F:F,"&lt;"&amp;Conciliacao!A597+1, df_extratos!G:G,"CREDITO")
+SUMIFS(df_extratos!I:I,df_extratos!F:F,"&gt;="&amp;Conciliacao!BF597,df_extratos!F:F,"&lt;"&amp;Conciliacao!BF597+1,df_extratos!G:G,"CREDITO")
+SUMIFS(df_extratos!I:I,df_extratos!F:F,"&gt;="&amp;Conciliacao!BG597,df_extratos!F:F,"&lt;"&amp;Conciliacao!BG597+1,df_extratos!G:G,"CREDITO")
+SUMIFS(df_extratos!I:I,df_extratos!F:F,"&gt;="&amp;Conciliacao!BH597,df_extratos!F:F,"&lt;"&amp;Conciliacao!BH597+1,df_extratos!G:G,"CREDITO")</f>
        <v/>
      </c>
      <c r="I597" s="9">
        <f>H597-SUM(B597:G597)</f>
        <v/>
      </c>
      <c r="J597" s="4">
        <f>SUMIFS(df_blueme_sem_parcelamento!E:E,df_blueme_sem_parcelamento!H:H,Conciliacao!A597)*(-1)</f>
        <v/>
      </c>
      <c r="K597" s="4">
        <f>SUMIFS(df_blueme_com_parcelamento!J:J,df_blueme_com_parcelamento!M:M,Conciliacao!A597)*(-1)</f>
        <v/>
      </c>
      <c r="L597" s="4">
        <f>SUMIFS(df_mutuos!N:N,df_mutuos!B:B,Conciliacao!A597)*(-1)</f>
        <v/>
      </c>
      <c r="M597" s="8">
        <f>SUMIFS(df_bloqueios_judiciais!G:G,df_bloqueios_judiciais!D:D,Conciliacao!A597,df_bloqueios_judiciais!G:G,"&lt;0")</f>
        <v/>
      </c>
      <c r="N597" s="10">
        <f>SUMIFS(df_extratos!I:I,df_extratos!F:F,"&gt;="&amp;Conciliacao!BE597,df_extratos!F:F,"&lt;"&amp;Conciliacao!BE597+1,df_extratos!G:G,"DEBITO")
+SUMIFS(df_extratos!I:I,df_extratos!F:F,"&gt;="&amp;Conciliacao!A597, df_extratos!F:F,"&lt;"&amp;Conciliacao!A597+1, df_extratos!G:G,"DEBITO")
+SUMIFS(df_extratos!I:I,df_extratos!F:F,"&gt;="&amp;Conciliacao!BF597,df_extratos!F:F,"&lt;"&amp;Conciliacao!BF597+1,df_extratos!G:G,"DEBITO")
+SUMIFS(df_extratos!I:I,df_extratos!F:F,"&gt;="&amp;Conciliacao!BG597,df_extratos!F:F,"&lt;"&amp;Conciliacao!BG597+1,df_extratos!G:G,"DEBITO")
+SUMIFS(df_extratos!I:I,df_extratos!F:F,"&gt;="&amp;Conciliacao!BH597,df_extratos!F:F,"&lt;"&amp;Conciliacao!BH597+1,df_extratos!G:G,"DEBITO")</f>
        <v/>
      </c>
      <c r="O597" s="11">
        <f>N597-SUM(J597:M597)</f>
        <v/>
      </c>
      <c r="P597" s="25">
        <f>SUMIFS(df_ajustes_conciliaco!D:D,df_ajustes_conciliaco!C:C,Conciliacao!A597)</f>
        <v/>
      </c>
      <c r="Q597" s="22">
        <f>O597+I597-P597</f>
        <v/>
      </c>
    </row>
    <row r="598">
      <c r="A598" s="5">
        <f>A597+1</f>
        <v/>
      </c>
      <c r="B598" s="3">
        <f>-SUMIFS(df_extrato_zig!G:G,df_extrato_zig!E:E,Conciliacao!A598,df_extrato_zig!D:D,"Saque")-SUMIFS(df_extrato_zig!G:G,df_extrato_zig!E:E,Conciliacao!A598,df_extrato_zig!D:D,"Antecipação")</f>
        <v/>
      </c>
      <c r="C598" s="3">
        <f>SUMIFS(df_extrato_zig!E:E,df_extrato_zig!L:L,Conciliacao!A598,df_extrato_zig!F:F,"DINHEIRO")</f>
        <v/>
      </c>
      <c r="D598" s="3">
        <f>SUMIFS(view_parc_agrup!H:H,view_parc_agrup!G:G,Conciliacao!A598)</f>
        <v/>
      </c>
      <c r="E598" s="3">
        <f>SUMIFS(df_eventos!F:F,df_eventos!H:H,Conciliacao!A598)</f>
        <v/>
      </c>
      <c r="F598" s="3">
        <f>SUMIFS(df_mutuos!M:M,df_mutuos!B:B,Conciliacao!A598)</f>
        <v/>
      </c>
      <c r="G598" s="6">
        <f>SUMIFS(df_bloqueios_judiciais!G:G,df_bloqueios_judiciais!D:D,Conciliacao!A598,df_bloqueios_judiciais!G:G,"&gt;0")</f>
        <v/>
      </c>
      <c r="H598" s="7">
        <f>SUMIFS(df_extratos!I:I,df_extratos!F:F,"&gt;="&amp;Conciliacao!BE598,df_extratos!F:F,"&lt;"&amp;Conciliacao!BE598+1,df_extratos!G:G,"CREDITO")
+SUMIFS(df_extratos!I:I,df_extratos!F:F,"&gt;="&amp;Conciliacao!A598, df_extratos!F:F,"&lt;"&amp;Conciliacao!A598+1, df_extratos!G:G,"CREDITO")
+SUMIFS(df_extratos!I:I,df_extratos!F:F,"&gt;="&amp;Conciliacao!BF598,df_extratos!F:F,"&lt;"&amp;Conciliacao!BF598+1,df_extratos!G:G,"CREDITO")
+SUMIFS(df_extratos!I:I,df_extratos!F:F,"&gt;="&amp;Conciliacao!BG598,df_extratos!F:F,"&lt;"&amp;Conciliacao!BG598+1,df_extratos!G:G,"CREDITO")
+SUMIFS(df_extratos!I:I,df_extratos!F:F,"&gt;="&amp;Conciliacao!BH598,df_extratos!F:F,"&lt;"&amp;Conciliacao!BH598+1,df_extratos!G:G,"CREDITO")</f>
        <v/>
      </c>
      <c r="I598" s="9">
        <f>H598-SUM(B598:G598)</f>
        <v/>
      </c>
      <c r="J598" s="4">
        <f>SUMIFS(df_blueme_sem_parcelamento!E:E,df_blueme_sem_parcelamento!H:H,Conciliacao!A598)*(-1)</f>
        <v/>
      </c>
      <c r="K598" s="4">
        <f>SUMIFS(df_blueme_com_parcelamento!J:J,df_blueme_com_parcelamento!M:M,Conciliacao!A598)*(-1)</f>
        <v/>
      </c>
      <c r="L598" s="4">
        <f>SUMIFS(df_mutuos!N:N,df_mutuos!B:B,Conciliacao!A598)*(-1)</f>
        <v/>
      </c>
      <c r="M598" s="8">
        <f>SUMIFS(df_bloqueios_judiciais!G:G,df_bloqueios_judiciais!D:D,Conciliacao!A598,df_bloqueios_judiciais!G:G,"&lt;0")</f>
        <v/>
      </c>
      <c r="N598" s="10">
        <f>SUMIFS(df_extratos!I:I,df_extratos!F:F,"&gt;="&amp;Conciliacao!BE598,df_extratos!F:F,"&lt;"&amp;Conciliacao!BE598+1,df_extratos!G:G,"DEBITO")
+SUMIFS(df_extratos!I:I,df_extratos!F:F,"&gt;="&amp;Conciliacao!A598, df_extratos!F:F,"&lt;"&amp;Conciliacao!A598+1, df_extratos!G:G,"DEBITO")
+SUMIFS(df_extratos!I:I,df_extratos!F:F,"&gt;="&amp;Conciliacao!BF598,df_extratos!F:F,"&lt;"&amp;Conciliacao!BF598+1,df_extratos!G:G,"DEBITO")
+SUMIFS(df_extratos!I:I,df_extratos!F:F,"&gt;="&amp;Conciliacao!BG598,df_extratos!F:F,"&lt;"&amp;Conciliacao!BG598+1,df_extratos!G:G,"DEBITO")
+SUMIFS(df_extratos!I:I,df_extratos!F:F,"&gt;="&amp;Conciliacao!BH598,df_extratos!F:F,"&lt;"&amp;Conciliacao!BH598+1,df_extratos!G:G,"DEBITO")</f>
        <v/>
      </c>
      <c r="O598" s="11">
        <f>N598-SUM(J598:M598)</f>
        <v/>
      </c>
      <c r="P598" s="25">
        <f>SUMIFS(df_ajustes_conciliaco!D:D,df_ajustes_conciliaco!C:C,Conciliacao!A598)</f>
        <v/>
      </c>
      <c r="Q598" s="22">
        <f>O598+I598-P598</f>
        <v/>
      </c>
    </row>
    <row r="599">
      <c r="A599" s="5">
        <f>A598+1</f>
        <v/>
      </c>
      <c r="B599" s="3">
        <f>-SUMIFS(df_extrato_zig!G:G,df_extrato_zig!E:E,Conciliacao!A599,df_extrato_zig!D:D,"Saque")-SUMIFS(df_extrato_zig!G:G,df_extrato_zig!E:E,Conciliacao!A599,df_extrato_zig!D:D,"Antecipação")</f>
        <v/>
      </c>
      <c r="C599" s="3">
        <f>SUMIFS(df_extrato_zig!E:E,df_extrato_zig!L:L,Conciliacao!A599,df_extrato_zig!F:F,"DINHEIRO")</f>
        <v/>
      </c>
      <c r="D599" s="3">
        <f>SUMIFS(view_parc_agrup!H:H,view_parc_agrup!G:G,Conciliacao!A599)</f>
        <v/>
      </c>
      <c r="E599" s="3">
        <f>SUMIFS(df_eventos!F:F,df_eventos!H:H,Conciliacao!A599)</f>
        <v/>
      </c>
      <c r="F599" s="3">
        <f>SUMIFS(df_mutuos!M:M,df_mutuos!B:B,Conciliacao!A599)</f>
        <v/>
      </c>
      <c r="G599" s="6">
        <f>SUMIFS(df_bloqueios_judiciais!G:G,df_bloqueios_judiciais!D:D,Conciliacao!A599,df_bloqueios_judiciais!G:G,"&gt;0")</f>
        <v/>
      </c>
      <c r="H599" s="7">
        <f>SUMIFS(df_extratos!I:I,df_extratos!F:F,"&gt;="&amp;Conciliacao!BE599,df_extratos!F:F,"&lt;"&amp;Conciliacao!BE599+1,df_extratos!G:G,"CREDITO")
+SUMIFS(df_extratos!I:I,df_extratos!F:F,"&gt;="&amp;Conciliacao!A599, df_extratos!F:F,"&lt;"&amp;Conciliacao!A599+1, df_extratos!G:G,"CREDITO")
+SUMIFS(df_extratos!I:I,df_extratos!F:F,"&gt;="&amp;Conciliacao!BF599,df_extratos!F:F,"&lt;"&amp;Conciliacao!BF599+1,df_extratos!G:G,"CREDITO")
+SUMIFS(df_extratos!I:I,df_extratos!F:F,"&gt;="&amp;Conciliacao!BG599,df_extratos!F:F,"&lt;"&amp;Conciliacao!BG599+1,df_extratos!G:G,"CREDITO")
+SUMIFS(df_extratos!I:I,df_extratos!F:F,"&gt;="&amp;Conciliacao!BH599,df_extratos!F:F,"&lt;"&amp;Conciliacao!BH599+1,df_extratos!G:G,"CREDITO")</f>
        <v/>
      </c>
      <c r="I599" s="9">
        <f>H599-SUM(B599:G599)</f>
        <v/>
      </c>
      <c r="J599" s="4">
        <f>SUMIFS(df_blueme_sem_parcelamento!E:E,df_blueme_sem_parcelamento!H:H,Conciliacao!A599)*(-1)</f>
        <v/>
      </c>
      <c r="K599" s="4">
        <f>SUMIFS(df_blueme_com_parcelamento!J:J,df_blueme_com_parcelamento!M:M,Conciliacao!A599)*(-1)</f>
        <v/>
      </c>
      <c r="L599" s="4">
        <f>SUMIFS(df_mutuos!N:N,df_mutuos!B:B,Conciliacao!A599)*(-1)</f>
        <v/>
      </c>
      <c r="M599" s="8">
        <f>SUMIFS(df_bloqueios_judiciais!G:G,df_bloqueios_judiciais!D:D,Conciliacao!A599,df_bloqueios_judiciais!G:G,"&lt;0")</f>
        <v/>
      </c>
      <c r="N599" s="10">
        <f>SUMIFS(df_extratos!I:I,df_extratos!F:F,"&gt;="&amp;Conciliacao!BE599,df_extratos!F:F,"&lt;"&amp;Conciliacao!BE599+1,df_extratos!G:G,"DEBITO")
+SUMIFS(df_extratos!I:I,df_extratos!F:F,"&gt;="&amp;Conciliacao!A599, df_extratos!F:F,"&lt;"&amp;Conciliacao!A599+1, df_extratos!G:G,"DEBITO")
+SUMIFS(df_extratos!I:I,df_extratos!F:F,"&gt;="&amp;Conciliacao!BF599,df_extratos!F:F,"&lt;"&amp;Conciliacao!BF599+1,df_extratos!G:G,"DEBITO")
+SUMIFS(df_extratos!I:I,df_extratos!F:F,"&gt;="&amp;Conciliacao!BG599,df_extratos!F:F,"&lt;"&amp;Conciliacao!BG599+1,df_extratos!G:G,"DEBITO")
+SUMIFS(df_extratos!I:I,df_extratos!F:F,"&gt;="&amp;Conciliacao!BH599,df_extratos!F:F,"&lt;"&amp;Conciliacao!BH599+1,df_extratos!G:G,"DEBITO")</f>
        <v/>
      </c>
      <c r="O599" s="11">
        <f>N599-SUM(J599:M599)</f>
        <v/>
      </c>
      <c r="P599" s="25">
        <f>SUMIFS(df_ajustes_conciliaco!D:D,df_ajustes_conciliaco!C:C,Conciliacao!A599)</f>
        <v/>
      </c>
      <c r="Q599" s="22">
        <f>O599+I599-P599</f>
        <v/>
      </c>
    </row>
    <row r="600">
      <c r="A600" s="5">
        <f>A599+1</f>
        <v/>
      </c>
      <c r="B600" s="3">
        <f>-SUMIFS(df_extrato_zig!G:G,df_extrato_zig!E:E,Conciliacao!A600,df_extrato_zig!D:D,"Saque")-SUMIFS(df_extrato_zig!G:G,df_extrato_zig!E:E,Conciliacao!A600,df_extrato_zig!D:D,"Antecipação")</f>
        <v/>
      </c>
      <c r="C600" s="3">
        <f>SUMIFS(df_extrato_zig!E:E,df_extrato_zig!L:L,Conciliacao!A600,df_extrato_zig!F:F,"DINHEIRO")</f>
        <v/>
      </c>
      <c r="D600" s="3">
        <f>SUMIFS(view_parc_agrup!H:H,view_parc_agrup!G:G,Conciliacao!A600)</f>
        <v/>
      </c>
      <c r="E600" s="3">
        <f>SUMIFS(df_eventos!F:F,df_eventos!H:H,Conciliacao!A600)</f>
        <v/>
      </c>
      <c r="F600" s="3">
        <f>SUMIFS(df_mutuos!M:M,df_mutuos!B:B,Conciliacao!A600)</f>
        <v/>
      </c>
      <c r="G600" s="6">
        <f>SUMIFS(df_bloqueios_judiciais!G:G,df_bloqueios_judiciais!D:D,Conciliacao!A600,df_bloqueios_judiciais!G:G,"&gt;0")</f>
        <v/>
      </c>
      <c r="H600" s="7">
        <f>SUMIFS(df_extratos!I:I,df_extratos!F:F,"&gt;="&amp;Conciliacao!BE600,df_extratos!F:F,"&lt;"&amp;Conciliacao!BE600+1,df_extratos!G:G,"CREDITO")
+SUMIFS(df_extratos!I:I,df_extratos!F:F,"&gt;="&amp;Conciliacao!A600, df_extratos!F:F,"&lt;"&amp;Conciliacao!A600+1, df_extratos!G:G,"CREDITO")
+SUMIFS(df_extratos!I:I,df_extratos!F:F,"&gt;="&amp;Conciliacao!BF600,df_extratos!F:F,"&lt;"&amp;Conciliacao!BF600+1,df_extratos!G:G,"CREDITO")
+SUMIFS(df_extratos!I:I,df_extratos!F:F,"&gt;="&amp;Conciliacao!BG600,df_extratos!F:F,"&lt;"&amp;Conciliacao!BG600+1,df_extratos!G:G,"CREDITO")
+SUMIFS(df_extratos!I:I,df_extratos!F:F,"&gt;="&amp;Conciliacao!BH600,df_extratos!F:F,"&lt;"&amp;Conciliacao!BH600+1,df_extratos!G:G,"CREDITO")</f>
        <v/>
      </c>
      <c r="I600" s="9">
        <f>H600-SUM(B600:G600)</f>
        <v/>
      </c>
      <c r="J600" s="4">
        <f>SUMIFS(df_blueme_sem_parcelamento!E:E,df_blueme_sem_parcelamento!H:H,Conciliacao!A600)*(-1)</f>
        <v/>
      </c>
      <c r="K600" s="4">
        <f>SUMIFS(df_blueme_com_parcelamento!J:J,df_blueme_com_parcelamento!M:M,Conciliacao!A600)*(-1)</f>
        <v/>
      </c>
      <c r="L600" s="4">
        <f>SUMIFS(df_mutuos!N:N,df_mutuos!B:B,Conciliacao!A600)*(-1)</f>
        <v/>
      </c>
      <c r="M600" s="8">
        <f>SUMIFS(df_bloqueios_judiciais!G:G,df_bloqueios_judiciais!D:D,Conciliacao!A600,df_bloqueios_judiciais!G:G,"&lt;0")</f>
        <v/>
      </c>
      <c r="N600" s="10">
        <f>SUMIFS(df_extratos!I:I,df_extratos!F:F,"&gt;="&amp;Conciliacao!BE600,df_extratos!F:F,"&lt;"&amp;Conciliacao!BE600+1,df_extratos!G:G,"DEBITO")
+SUMIFS(df_extratos!I:I,df_extratos!F:F,"&gt;="&amp;Conciliacao!A600, df_extratos!F:F,"&lt;"&amp;Conciliacao!A600+1, df_extratos!G:G,"DEBITO")
+SUMIFS(df_extratos!I:I,df_extratos!F:F,"&gt;="&amp;Conciliacao!BF600,df_extratos!F:F,"&lt;"&amp;Conciliacao!BF600+1,df_extratos!G:G,"DEBITO")
+SUMIFS(df_extratos!I:I,df_extratos!F:F,"&gt;="&amp;Conciliacao!BG600,df_extratos!F:F,"&lt;"&amp;Conciliacao!BG600+1,df_extratos!G:G,"DEBITO")
+SUMIFS(df_extratos!I:I,df_extratos!F:F,"&gt;="&amp;Conciliacao!BH600,df_extratos!F:F,"&lt;"&amp;Conciliacao!BH600+1,df_extratos!G:G,"DEBITO")</f>
        <v/>
      </c>
      <c r="O600" s="11">
        <f>N600-SUM(J600:M600)</f>
        <v/>
      </c>
      <c r="P600" s="25">
        <f>SUMIFS(df_ajustes_conciliaco!D:D,df_ajustes_conciliaco!C:C,Conciliacao!A600)</f>
        <v/>
      </c>
      <c r="Q600" s="22">
        <f>O600+I600-P600</f>
        <v/>
      </c>
    </row>
    <row r="601">
      <c r="A601" s="5">
        <f>A600+1</f>
        <v/>
      </c>
      <c r="B601" s="3">
        <f>-SUMIFS(df_extrato_zig!G:G,df_extrato_zig!E:E,Conciliacao!A601,df_extrato_zig!D:D,"Saque")-SUMIFS(df_extrato_zig!G:G,df_extrato_zig!E:E,Conciliacao!A601,df_extrato_zig!D:D,"Antecipação")</f>
        <v/>
      </c>
      <c r="C601" s="3">
        <f>SUMIFS(df_extrato_zig!E:E,df_extrato_zig!L:L,Conciliacao!A601,df_extrato_zig!F:F,"DINHEIRO")</f>
        <v/>
      </c>
      <c r="D601" s="3">
        <f>SUMIFS(view_parc_agrup!H:H,view_parc_agrup!G:G,Conciliacao!A601)</f>
        <v/>
      </c>
      <c r="E601" s="3">
        <f>SUMIFS(df_eventos!F:F,df_eventos!H:H,Conciliacao!A601)</f>
        <v/>
      </c>
      <c r="F601" s="3">
        <f>SUMIFS(df_mutuos!M:M,df_mutuos!B:B,Conciliacao!A601)</f>
        <v/>
      </c>
      <c r="G601" s="6">
        <f>SUMIFS(df_bloqueios_judiciais!G:G,df_bloqueios_judiciais!D:D,Conciliacao!A601,df_bloqueios_judiciais!G:G,"&gt;0")</f>
        <v/>
      </c>
      <c r="H601" s="7">
        <f>SUMIFS(df_extratos!I:I,df_extratos!F:F,"&gt;="&amp;Conciliacao!BE601,df_extratos!F:F,"&lt;"&amp;Conciliacao!BE601+1,df_extratos!G:G,"CREDITO")
+SUMIFS(df_extratos!I:I,df_extratos!F:F,"&gt;="&amp;Conciliacao!A601, df_extratos!F:F,"&lt;"&amp;Conciliacao!A601+1, df_extratos!G:G,"CREDITO")
+SUMIFS(df_extratos!I:I,df_extratos!F:F,"&gt;="&amp;Conciliacao!BF601,df_extratos!F:F,"&lt;"&amp;Conciliacao!BF601+1,df_extratos!G:G,"CREDITO")
+SUMIFS(df_extratos!I:I,df_extratos!F:F,"&gt;="&amp;Conciliacao!BG601,df_extratos!F:F,"&lt;"&amp;Conciliacao!BG601+1,df_extratos!G:G,"CREDITO")
+SUMIFS(df_extratos!I:I,df_extratos!F:F,"&gt;="&amp;Conciliacao!BH601,df_extratos!F:F,"&lt;"&amp;Conciliacao!BH601+1,df_extratos!G:G,"CREDITO")</f>
        <v/>
      </c>
      <c r="I601" s="9">
        <f>H601-SUM(B601:G601)</f>
        <v/>
      </c>
      <c r="J601" s="4">
        <f>SUMIFS(df_blueme_sem_parcelamento!E:E,df_blueme_sem_parcelamento!H:H,Conciliacao!A601)*(-1)</f>
        <v/>
      </c>
      <c r="K601" s="4">
        <f>SUMIFS(df_blueme_com_parcelamento!J:J,df_blueme_com_parcelamento!M:M,Conciliacao!A601)*(-1)</f>
        <v/>
      </c>
      <c r="L601" s="4">
        <f>SUMIFS(df_mutuos!N:N,df_mutuos!B:B,Conciliacao!A601)*(-1)</f>
        <v/>
      </c>
      <c r="M601" s="8">
        <f>SUMIFS(df_bloqueios_judiciais!G:G,df_bloqueios_judiciais!D:D,Conciliacao!A601,df_bloqueios_judiciais!G:G,"&lt;0")</f>
        <v/>
      </c>
      <c r="N601" s="10">
        <f>SUMIFS(df_extratos!I:I,df_extratos!F:F,"&gt;="&amp;Conciliacao!BE601,df_extratos!F:F,"&lt;"&amp;Conciliacao!BE601+1,df_extratos!G:G,"DEBITO")
+SUMIFS(df_extratos!I:I,df_extratos!F:F,"&gt;="&amp;Conciliacao!A601, df_extratos!F:F,"&lt;"&amp;Conciliacao!A601+1, df_extratos!G:G,"DEBITO")
+SUMIFS(df_extratos!I:I,df_extratos!F:F,"&gt;="&amp;Conciliacao!BF601,df_extratos!F:F,"&lt;"&amp;Conciliacao!BF601+1,df_extratos!G:G,"DEBITO")
+SUMIFS(df_extratos!I:I,df_extratos!F:F,"&gt;="&amp;Conciliacao!BG601,df_extratos!F:F,"&lt;"&amp;Conciliacao!BG601+1,df_extratos!G:G,"DEBITO")
+SUMIFS(df_extratos!I:I,df_extratos!F:F,"&gt;="&amp;Conciliacao!BH601,df_extratos!F:F,"&lt;"&amp;Conciliacao!BH601+1,df_extratos!G:G,"DEBITO")</f>
        <v/>
      </c>
      <c r="O601" s="11">
        <f>N601-SUM(J601:M601)</f>
        <v/>
      </c>
      <c r="P601" s="25">
        <f>SUMIFS(df_ajustes_conciliaco!D:D,df_ajustes_conciliaco!C:C,Conciliacao!A601)</f>
        <v/>
      </c>
      <c r="Q601" s="22">
        <f>O601+I601-P601</f>
        <v/>
      </c>
    </row>
    <row r="602">
      <c r="A602" s="5">
        <f>A601+1</f>
        <v/>
      </c>
      <c r="B602" s="3">
        <f>-SUMIFS(df_extrato_zig!G:G,df_extrato_zig!E:E,Conciliacao!A602,df_extrato_zig!D:D,"Saque")-SUMIFS(df_extrato_zig!G:G,df_extrato_zig!E:E,Conciliacao!A602,df_extrato_zig!D:D,"Antecipação")</f>
        <v/>
      </c>
      <c r="C602" s="3">
        <f>SUMIFS(df_extrato_zig!E:E,df_extrato_zig!L:L,Conciliacao!A602,df_extrato_zig!F:F,"DINHEIRO")</f>
        <v/>
      </c>
      <c r="D602" s="3">
        <f>SUMIFS(view_parc_agrup!H:H,view_parc_agrup!G:G,Conciliacao!A602)</f>
        <v/>
      </c>
      <c r="E602" s="3">
        <f>SUMIFS(df_eventos!F:F,df_eventos!H:H,Conciliacao!A602)</f>
        <v/>
      </c>
      <c r="F602" s="3">
        <f>SUMIFS(df_mutuos!M:M,df_mutuos!B:B,Conciliacao!A602)</f>
        <v/>
      </c>
      <c r="G602" s="6">
        <f>SUMIFS(df_bloqueios_judiciais!G:G,df_bloqueios_judiciais!D:D,Conciliacao!A602,df_bloqueios_judiciais!G:G,"&gt;0")</f>
        <v/>
      </c>
      <c r="H602" s="7">
        <f>SUMIFS(df_extratos!I:I,df_extratos!F:F,"&gt;="&amp;Conciliacao!BE602,df_extratos!F:F,"&lt;"&amp;Conciliacao!BE602+1,df_extratos!G:G,"CREDITO")
+SUMIFS(df_extratos!I:I,df_extratos!F:F,"&gt;="&amp;Conciliacao!A602, df_extratos!F:F,"&lt;"&amp;Conciliacao!A602+1, df_extratos!G:G,"CREDITO")
+SUMIFS(df_extratos!I:I,df_extratos!F:F,"&gt;="&amp;Conciliacao!BF602,df_extratos!F:F,"&lt;"&amp;Conciliacao!BF602+1,df_extratos!G:G,"CREDITO")
+SUMIFS(df_extratos!I:I,df_extratos!F:F,"&gt;="&amp;Conciliacao!BG602,df_extratos!F:F,"&lt;"&amp;Conciliacao!BG602+1,df_extratos!G:G,"CREDITO")
+SUMIFS(df_extratos!I:I,df_extratos!F:F,"&gt;="&amp;Conciliacao!BH602,df_extratos!F:F,"&lt;"&amp;Conciliacao!BH602+1,df_extratos!G:G,"CREDITO")</f>
        <v/>
      </c>
      <c r="I602" s="9">
        <f>H602-SUM(B602:G602)</f>
        <v/>
      </c>
      <c r="J602" s="4">
        <f>SUMIFS(df_blueme_sem_parcelamento!E:E,df_blueme_sem_parcelamento!H:H,Conciliacao!A602)*(-1)</f>
        <v/>
      </c>
      <c r="K602" s="4">
        <f>SUMIFS(df_blueme_com_parcelamento!J:J,df_blueme_com_parcelamento!M:M,Conciliacao!A602)*(-1)</f>
        <v/>
      </c>
      <c r="L602" s="4">
        <f>SUMIFS(df_mutuos!N:N,df_mutuos!B:B,Conciliacao!A602)*(-1)</f>
        <v/>
      </c>
      <c r="M602" s="8">
        <f>SUMIFS(df_bloqueios_judiciais!G:G,df_bloqueios_judiciais!D:D,Conciliacao!A602,df_bloqueios_judiciais!G:G,"&lt;0")</f>
        <v/>
      </c>
      <c r="N602" s="10">
        <f>SUMIFS(df_extratos!I:I,df_extratos!F:F,"&gt;="&amp;Conciliacao!BE602,df_extratos!F:F,"&lt;"&amp;Conciliacao!BE602+1,df_extratos!G:G,"DEBITO")
+SUMIFS(df_extratos!I:I,df_extratos!F:F,"&gt;="&amp;Conciliacao!A602, df_extratos!F:F,"&lt;"&amp;Conciliacao!A602+1, df_extratos!G:G,"DEBITO")
+SUMIFS(df_extratos!I:I,df_extratos!F:F,"&gt;="&amp;Conciliacao!BF602,df_extratos!F:F,"&lt;"&amp;Conciliacao!BF602+1,df_extratos!G:G,"DEBITO")
+SUMIFS(df_extratos!I:I,df_extratos!F:F,"&gt;="&amp;Conciliacao!BG602,df_extratos!F:F,"&lt;"&amp;Conciliacao!BG602+1,df_extratos!G:G,"DEBITO")
+SUMIFS(df_extratos!I:I,df_extratos!F:F,"&gt;="&amp;Conciliacao!BH602,df_extratos!F:F,"&lt;"&amp;Conciliacao!BH602+1,df_extratos!G:G,"DEBITO")</f>
        <v/>
      </c>
      <c r="O602" s="11">
        <f>N602-SUM(J602:M602)</f>
        <v/>
      </c>
      <c r="P602" s="25">
        <f>SUMIFS(df_ajustes_conciliaco!D:D,df_ajustes_conciliaco!C:C,Conciliacao!A602)</f>
        <v/>
      </c>
      <c r="Q602" s="22">
        <f>O602+I602-P602</f>
        <v/>
      </c>
    </row>
    <row r="603">
      <c r="A603" s="5">
        <f>A602+1</f>
        <v/>
      </c>
      <c r="B603" s="3">
        <f>-SUMIFS(df_extrato_zig!G:G,df_extrato_zig!E:E,Conciliacao!A603,df_extrato_zig!D:D,"Saque")-SUMIFS(df_extrato_zig!G:G,df_extrato_zig!E:E,Conciliacao!A603,df_extrato_zig!D:D,"Antecipação")</f>
        <v/>
      </c>
      <c r="C603" s="3">
        <f>SUMIFS(df_extrato_zig!E:E,df_extrato_zig!L:L,Conciliacao!A603,df_extrato_zig!F:F,"DINHEIRO")</f>
        <v/>
      </c>
      <c r="D603" s="3">
        <f>SUMIFS(view_parc_agrup!H:H,view_parc_agrup!G:G,Conciliacao!A603)</f>
        <v/>
      </c>
      <c r="E603" s="3">
        <f>SUMIFS(df_eventos!F:F,df_eventos!H:H,Conciliacao!A603)</f>
        <v/>
      </c>
      <c r="F603" s="3">
        <f>SUMIFS(df_mutuos!M:M,df_mutuos!B:B,Conciliacao!A603)</f>
        <v/>
      </c>
      <c r="G603" s="6">
        <f>SUMIFS(df_bloqueios_judiciais!G:G,df_bloqueios_judiciais!D:D,Conciliacao!A603,df_bloqueios_judiciais!G:G,"&gt;0")</f>
        <v/>
      </c>
      <c r="H603" s="7">
        <f>SUMIFS(df_extratos!I:I,df_extratos!F:F,"&gt;="&amp;Conciliacao!BE603,df_extratos!F:F,"&lt;"&amp;Conciliacao!BE603+1,df_extratos!G:G,"CREDITO")
+SUMIFS(df_extratos!I:I,df_extratos!F:F,"&gt;="&amp;Conciliacao!A603, df_extratos!F:F,"&lt;"&amp;Conciliacao!A603+1, df_extratos!G:G,"CREDITO")
+SUMIFS(df_extratos!I:I,df_extratos!F:F,"&gt;="&amp;Conciliacao!BF603,df_extratos!F:F,"&lt;"&amp;Conciliacao!BF603+1,df_extratos!G:G,"CREDITO")
+SUMIFS(df_extratos!I:I,df_extratos!F:F,"&gt;="&amp;Conciliacao!BG603,df_extratos!F:F,"&lt;"&amp;Conciliacao!BG603+1,df_extratos!G:G,"CREDITO")
+SUMIFS(df_extratos!I:I,df_extratos!F:F,"&gt;="&amp;Conciliacao!BH603,df_extratos!F:F,"&lt;"&amp;Conciliacao!BH603+1,df_extratos!G:G,"CREDITO")</f>
        <v/>
      </c>
      <c r="I603" s="9">
        <f>H603-SUM(B603:G603)</f>
        <v/>
      </c>
      <c r="J603" s="4">
        <f>SUMIFS(df_blueme_sem_parcelamento!E:E,df_blueme_sem_parcelamento!H:H,Conciliacao!A603)*(-1)</f>
        <v/>
      </c>
      <c r="K603" s="4">
        <f>SUMIFS(df_blueme_com_parcelamento!J:J,df_blueme_com_parcelamento!M:M,Conciliacao!A603)*(-1)</f>
        <v/>
      </c>
      <c r="L603" s="4">
        <f>SUMIFS(df_mutuos!N:N,df_mutuos!B:B,Conciliacao!A603)*(-1)</f>
        <v/>
      </c>
      <c r="M603" s="8">
        <f>SUMIFS(df_bloqueios_judiciais!G:G,df_bloqueios_judiciais!D:D,Conciliacao!A603,df_bloqueios_judiciais!G:G,"&lt;0")</f>
        <v/>
      </c>
      <c r="N603" s="10">
        <f>SUMIFS(df_extratos!I:I,df_extratos!F:F,"&gt;="&amp;Conciliacao!BE603,df_extratos!F:F,"&lt;"&amp;Conciliacao!BE603+1,df_extratos!G:G,"DEBITO")
+SUMIFS(df_extratos!I:I,df_extratos!F:F,"&gt;="&amp;Conciliacao!A603, df_extratos!F:F,"&lt;"&amp;Conciliacao!A603+1, df_extratos!G:G,"DEBITO")
+SUMIFS(df_extratos!I:I,df_extratos!F:F,"&gt;="&amp;Conciliacao!BF603,df_extratos!F:F,"&lt;"&amp;Conciliacao!BF603+1,df_extratos!G:G,"DEBITO")
+SUMIFS(df_extratos!I:I,df_extratos!F:F,"&gt;="&amp;Conciliacao!BG603,df_extratos!F:F,"&lt;"&amp;Conciliacao!BG603+1,df_extratos!G:G,"DEBITO")
+SUMIFS(df_extratos!I:I,df_extratos!F:F,"&gt;="&amp;Conciliacao!BH603,df_extratos!F:F,"&lt;"&amp;Conciliacao!BH603+1,df_extratos!G:G,"DEBITO")</f>
        <v/>
      </c>
      <c r="O603" s="11">
        <f>N603-SUM(J603:M603)</f>
        <v/>
      </c>
      <c r="P603" s="25">
        <f>SUMIFS(df_ajustes_conciliaco!D:D,df_ajustes_conciliaco!C:C,Conciliacao!A603)</f>
        <v/>
      </c>
      <c r="Q603" s="22">
        <f>O603+I603-P603</f>
        <v/>
      </c>
    </row>
    <row r="604">
      <c r="A604" s="5">
        <f>A603+1</f>
        <v/>
      </c>
      <c r="B604" s="3">
        <f>-SUMIFS(df_extrato_zig!G:G,df_extrato_zig!E:E,Conciliacao!A604,df_extrato_zig!D:D,"Saque")-SUMIFS(df_extrato_zig!G:G,df_extrato_zig!E:E,Conciliacao!A604,df_extrato_zig!D:D,"Antecipação")</f>
        <v/>
      </c>
      <c r="C604" s="3">
        <f>SUMIFS(df_extrato_zig!E:E,df_extrato_zig!L:L,Conciliacao!A604,df_extrato_zig!F:F,"DINHEIRO")</f>
        <v/>
      </c>
      <c r="D604" s="3">
        <f>SUMIFS(view_parc_agrup!H:H,view_parc_agrup!G:G,Conciliacao!A604)</f>
        <v/>
      </c>
      <c r="E604" s="3">
        <f>SUMIFS(df_eventos!F:F,df_eventos!H:H,Conciliacao!A604)</f>
        <v/>
      </c>
      <c r="F604" s="3">
        <f>SUMIFS(df_mutuos!M:M,df_mutuos!B:B,Conciliacao!A604)</f>
        <v/>
      </c>
      <c r="G604" s="6">
        <f>SUMIFS(df_bloqueios_judiciais!G:G,df_bloqueios_judiciais!D:D,Conciliacao!A604,df_bloqueios_judiciais!G:G,"&gt;0")</f>
        <v/>
      </c>
      <c r="H604" s="7">
        <f>SUMIFS(df_extratos!I:I,df_extratos!F:F,"&gt;="&amp;Conciliacao!BE604,df_extratos!F:F,"&lt;"&amp;Conciliacao!BE604+1,df_extratos!G:G,"CREDITO")
+SUMIFS(df_extratos!I:I,df_extratos!F:F,"&gt;="&amp;Conciliacao!A604, df_extratos!F:F,"&lt;"&amp;Conciliacao!A604+1, df_extratos!G:G,"CREDITO")
+SUMIFS(df_extratos!I:I,df_extratos!F:F,"&gt;="&amp;Conciliacao!BF604,df_extratos!F:F,"&lt;"&amp;Conciliacao!BF604+1,df_extratos!G:G,"CREDITO")
+SUMIFS(df_extratos!I:I,df_extratos!F:F,"&gt;="&amp;Conciliacao!BG604,df_extratos!F:F,"&lt;"&amp;Conciliacao!BG604+1,df_extratos!G:G,"CREDITO")
+SUMIFS(df_extratos!I:I,df_extratos!F:F,"&gt;="&amp;Conciliacao!BH604,df_extratos!F:F,"&lt;"&amp;Conciliacao!BH604+1,df_extratos!G:G,"CREDITO")</f>
        <v/>
      </c>
      <c r="I604" s="9">
        <f>H604-SUM(B604:G604)</f>
        <v/>
      </c>
      <c r="J604" s="4">
        <f>SUMIFS(df_blueme_sem_parcelamento!E:E,df_blueme_sem_parcelamento!H:H,Conciliacao!A604)*(-1)</f>
        <v/>
      </c>
      <c r="K604" s="4">
        <f>SUMIFS(df_blueme_com_parcelamento!J:J,df_blueme_com_parcelamento!M:M,Conciliacao!A604)*(-1)</f>
        <v/>
      </c>
      <c r="L604" s="4">
        <f>SUMIFS(df_mutuos!N:N,df_mutuos!B:B,Conciliacao!A604)*(-1)</f>
        <v/>
      </c>
      <c r="M604" s="8">
        <f>SUMIFS(df_bloqueios_judiciais!G:G,df_bloqueios_judiciais!D:D,Conciliacao!A604,df_bloqueios_judiciais!G:G,"&lt;0")</f>
        <v/>
      </c>
      <c r="N604" s="10">
        <f>SUMIFS(df_extratos!I:I,df_extratos!F:F,"&gt;="&amp;Conciliacao!BE604,df_extratos!F:F,"&lt;"&amp;Conciliacao!BE604+1,df_extratos!G:G,"DEBITO")
+SUMIFS(df_extratos!I:I,df_extratos!F:F,"&gt;="&amp;Conciliacao!A604, df_extratos!F:F,"&lt;"&amp;Conciliacao!A604+1, df_extratos!G:G,"DEBITO")
+SUMIFS(df_extratos!I:I,df_extratos!F:F,"&gt;="&amp;Conciliacao!BF604,df_extratos!F:F,"&lt;"&amp;Conciliacao!BF604+1,df_extratos!G:G,"DEBITO")
+SUMIFS(df_extratos!I:I,df_extratos!F:F,"&gt;="&amp;Conciliacao!BG604,df_extratos!F:F,"&lt;"&amp;Conciliacao!BG604+1,df_extratos!G:G,"DEBITO")
+SUMIFS(df_extratos!I:I,df_extratos!F:F,"&gt;="&amp;Conciliacao!BH604,df_extratos!F:F,"&lt;"&amp;Conciliacao!BH604+1,df_extratos!G:G,"DEBITO")</f>
        <v/>
      </c>
      <c r="O604" s="11">
        <f>N604-SUM(J604:M604)</f>
        <v/>
      </c>
      <c r="P604" s="25">
        <f>SUMIFS(df_ajustes_conciliaco!D:D,df_ajustes_conciliaco!C:C,Conciliacao!A604)</f>
        <v/>
      </c>
      <c r="Q604" s="22">
        <f>O604+I604-P604</f>
        <v/>
      </c>
    </row>
    <row r="605">
      <c r="A605" s="5">
        <f>A604+1</f>
        <v/>
      </c>
      <c r="B605" s="3">
        <f>-SUMIFS(df_extrato_zig!G:G,df_extrato_zig!E:E,Conciliacao!A605,df_extrato_zig!D:D,"Saque")-SUMIFS(df_extrato_zig!G:G,df_extrato_zig!E:E,Conciliacao!A605,df_extrato_zig!D:D,"Antecipação")</f>
        <v/>
      </c>
      <c r="C605" s="3">
        <f>SUMIFS(df_extrato_zig!E:E,df_extrato_zig!L:L,Conciliacao!A605,df_extrato_zig!F:F,"DINHEIRO")</f>
        <v/>
      </c>
      <c r="D605" s="3">
        <f>SUMIFS(view_parc_agrup!H:H,view_parc_agrup!G:G,Conciliacao!A605)</f>
        <v/>
      </c>
      <c r="E605" s="3">
        <f>SUMIFS(df_eventos!F:F,df_eventos!H:H,Conciliacao!A605)</f>
        <v/>
      </c>
      <c r="F605" s="3">
        <f>SUMIFS(df_mutuos!M:M,df_mutuos!B:B,Conciliacao!A605)</f>
        <v/>
      </c>
      <c r="G605" s="6">
        <f>SUMIFS(df_bloqueios_judiciais!G:G,df_bloqueios_judiciais!D:D,Conciliacao!A605,df_bloqueios_judiciais!G:G,"&gt;0")</f>
        <v/>
      </c>
      <c r="H605" s="7">
        <f>SUMIFS(df_extratos!I:I,df_extratos!F:F,"&gt;="&amp;Conciliacao!BE605,df_extratos!F:F,"&lt;"&amp;Conciliacao!BE605+1,df_extratos!G:G,"CREDITO")
+SUMIFS(df_extratos!I:I,df_extratos!F:F,"&gt;="&amp;Conciliacao!A605, df_extratos!F:F,"&lt;"&amp;Conciliacao!A605+1, df_extratos!G:G,"CREDITO")
+SUMIFS(df_extratos!I:I,df_extratos!F:F,"&gt;="&amp;Conciliacao!BF605,df_extratos!F:F,"&lt;"&amp;Conciliacao!BF605+1,df_extratos!G:G,"CREDITO")
+SUMIFS(df_extratos!I:I,df_extratos!F:F,"&gt;="&amp;Conciliacao!BG605,df_extratos!F:F,"&lt;"&amp;Conciliacao!BG605+1,df_extratos!G:G,"CREDITO")
+SUMIFS(df_extratos!I:I,df_extratos!F:F,"&gt;="&amp;Conciliacao!BH605,df_extratos!F:F,"&lt;"&amp;Conciliacao!BH605+1,df_extratos!G:G,"CREDITO")</f>
        <v/>
      </c>
      <c r="I605" s="9">
        <f>H605-SUM(B605:G605)</f>
        <v/>
      </c>
      <c r="J605" s="4">
        <f>SUMIFS(df_blueme_sem_parcelamento!E:E,df_blueme_sem_parcelamento!H:H,Conciliacao!A605)*(-1)</f>
        <v/>
      </c>
      <c r="K605" s="4">
        <f>SUMIFS(df_blueme_com_parcelamento!J:J,df_blueme_com_parcelamento!M:M,Conciliacao!A605)*(-1)</f>
        <v/>
      </c>
      <c r="L605" s="4">
        <f>SUMIFS(df_mutuos!N:N,df_mutuos!B:B,Conciliacao!A605)*(-1)</f>
        <v/>
      </c>
      <c r="M605" s="8">
        <f>SUMIFS(df_bloqueios_judiciais!G:G,df_bloqueios_judiciais!D:D,Conciliacao!A605,df_bloqueios_judiciais!G:G,"&lt;0")</f>
        <v/>
      </c>
      <c r="N605" s="10">
        <f>SUMIFS(df_extratos!I:I,df_extratos!F:F,"&gt;="&amp;Conciliacao!BE605,df_extratos!F:F,"&lt;"&amp;Conciliacao!BE605+1,df_extratos!G:G,"DEBITO")
+SUMIFS(df_extratos!I:I,df_extratos!F:F,"&gt;="&amp;Conciliacao!A605, df_extratos!F:F,"&lt;"&amp;Conciliacao!A605+1, df_extratos!G:G,"DEBITO")
+SUMIFS(df_extratos!I:I,df_extratos!F:F,"&gt;="&amp;Conciliacao!BF605,df_extratos!F:F,"&lt;"&amp;Conciliacao!BF605+1,df_extratos!G:G,"DEBITO")
+SUMIFS(df_extratos!I:I,df_extratos!F:F,"&gt;="&amp;Conciliacao!BG605,df_extratos!F:F,"&lt;"&amp;Conciliacao!BG605+1,df_extratos!G:G,"DEBITO")
+SUMIFS(df_extratos!I:I,df_extratos!F:F,"&gt;="&amp;Conciliacao!BH605,df_extratos!F:F,"&lt;"&amp;Conciliacao!BH605+1,df_extratos!G:G,"DEBITO")</f>
        <v/>
      </c>
      <c r="O605" s="11">
        <f>N605-SUM(J605:M605)</f>
        <v/>
      </c>
      <c r="P605" s="25">
        <f>SUMIFS(df_ajustes_conciliaco!D:D,df_ajustes_conciliaco!C:C,Conciliacao!A605)</f>
        <v/>
      </c>
      <c r="Q605" s="22">
        <f>O605+I605-P605</f>
        <v/>
      </c>
    </row>
    <row r="606">
      <c r="A606" s="5">
        <f>A605+1</f>
        <v/>
      </c>
      <c r="B606" s="3">
        <f>-SUMIFS(df_extrato_zig!G:G,df_extrato_zig!E:E,Conciliacao!A606,df_extrato_zig!D:D,"Saque")-SUMIFS(df_extrato_zig!G:G,df_extrato_zig!E:E,Conciliacao!A606,df_extrato_zig!D:D,"Antecipação")</f>
        <v/>
      </c>
      <c r="C606" s="3">
        <f>SUMIFS(df_extrato_zig!E:E,df_extrato_zig!L:L,Conciliacao!A606,df_extrato_zig!F:F,"DINHEIRO")</f>
        <v/>
      </c>
      <c r="D606" s="3">
        <f>SUMIFS(view_parc_agrup!H:H,view_parc_agrup!G:G,Conciliacao!A606)</f>
        <v/>
      </c>
      <c r="E606" s="3">
        <f>SUMIFS(df_eventos!F:F,df_eventos!H:H,Conciliacao!A606)</f>
        <v/>
      </c>
      <c r="F606" s="3">
        <f>SUMIFS(df_mutuos!M:M,df_mutuos!B:B,Conciliacao!A606)</f>
        <v/>
      </c>
      <c r="G606" s="6">
        <f>SUMIFS(df_bloqueios_judiciais!G:G,df_bloqueios_judiciais!D:D,Conciliacao!A606,df_bloqueios_judiciais!G:G,"&gt;0")</f>
        <v/>
      </c>
      <c r="H606" s="7">
        <f>SUMIFS(df_extratos!I:I,df_extratos!F:F,"&gt;="&amp;Conciliacao!BE606,df_extratos!F:F,"&lt;"&amp;Conciliacao!BE606+1,df_extratos!G:G,"CREDITO")
+SUMIFS(df_extratos!I:I,df_extratos!F:F,"&gt;="&amp;Conciliacao!A606, df_extratos!F:F,"&lt;"&amp;Conciliacao!A606+1, df_extratos!G:G,"CREDITO")
+SUMIFS(df_extratos!I:I,df_extratos!F:F,"&gt;="&amp;Conciliacao!BF606,df_extratos!F:F,"&lt;"&amp;Conciliacao!BF606+1,df_extratos!G:G,"CREDITO")
+SUMIFS(df_extratos!I:I,df_extratos!F:F,"&gt;="&amp;Conciliacao!BG606,df_extratos!F:F,"&lt;"&amp;Conciliacao!BG606+1,df_extratos!G:G,"CREDITO")
+SUMIFS(df_extratos!I:I,df_extratos!F:F,"&gt;="&amp;Conciliacao!BH606,df_extratos!F:F,"&lt;"&amp;Conciliacao!BH606+1,df_extratos!G:G,"CREDITO")</f>
        <v/>
      </c>
      <c r="I606" s="9">
        <f>H606-SUM(B606:G606)</f>
        <v/>
      </c>
      <c r="J606" s="4">
        <f>SUMIFS(df_blueme_sem_parcelamento!E:E,df_blueme_sem_parcelamento!H:H,Conciliacao!A606)*(-1)</f>
        <v/>
      </c>
      <c r="K606" s="4">
        <f>SUMIFS(df_blueme_com_parcelamento!J:J,df_blueme_com_parcelamento!M:M,Conciliacao!A606)*(-1)</f>
        <v/>
      </c>
      <c r="L606" s="4">
        <f>SUMIFS(df_mutuos!N:N,df_mutuos!B:B,Conciliacao!A606)*(-1)</f>
        <v/>
      </c>
      <c r="M606" s="8">
        <f>SUMIFS(df_bloqueios_judiciais!G:G,df_bloqueios_judiciais!D:D,Conciliacao!A606,df_bloqueios_judiciais!G:G,"&lt;0")</f>
        <v/>
      </c>
      <c r="N606" s="10">
        <f>SUMIFS(df_extratos!I:I,df_extratos!F:F,"&gt;="&amp;Conciliacao!BE606,df_extratos!F:F,"&lt;"&amp;Conciliacao!BE606+1,df_extratos!G:G,"DEBITO")
+SUMIFS(df_extratos!I:I,df_extratos!F:F,"&gt;="&amp;Conciliacao!A606, df_extratos!F:F,"&lt;"&amp;Conciliacao!A606+1, df_extratos!G:G,"DEBITO")
+SUMIFS(df_extratos!I:I,df_extratos!F:F,"&gt;="&amp;Conciliacao!BF606,df_extratos!F:F,"&lt;"&amp;Conciliacao!BF606+1,df_extratos!G:G,"DEBITO")
+SUMIFS(df_extratos!I:I,df_extratos!F:F,"&gt;="&amp;Conciliacao!BG606,df_extratos!F:F,"&lt;"&amp;Conciliacao!BG606+1,df_extratos!G:G,"DEBITO")
+SUMIFS(df_extratos!I:I,df_extratos!F:F,"&gt;="&amp;Conciliacao!BH606,df_extratos!F:F,"&lt;"&amp;Conciliacao!BH606+1,df_extratos!G:G,"DEBITO")</f>
        <v/>
      </c>
      <c r="O606" s="11">
        <f>N606-SUM(J606:M606)</f>
        <v/>
      </c>
      <c r="P606" s="25">
        <f>SUMIFS(df_ajustes_conciliaco!D:D,df_ajustes_conciliaco!C:C,Conciliacao!A606)</f>
        <v/>
      </c>
      <c r="Q606" s="22">
        <f>O606+I606-P606</f>
        <v/>
      </c>
    </row>
    <row r="607">
      <c r="A607" s="5">
        <f>A606+1</f>
        <v/>
      </c>
      <c r="B607" s="3">
        <f>-SUMIFS(df_extrato_zig!G:G,df_extrato_zig!E:E,Conciliacao!A607,df_extrato_zig!D:D,"Saque")-SUMIFS(df_extrato_zig!G:G,df_extrato_zig!E:E,Conciliacao!A607,df_extrato_zig!D:D,"Antecipação")</f>
        <v/>
      </c>
      <c r="C607" s="3">
        <f>SUMIFS(df_extrato_zig!E:E,df_extrato_zig!L:L,Conciliacao!A607,df_extrato_zig!F:F,"DINHEIRO")</f>
        <v/>
      </c>
      <c r="D607" s="3">
        <f>SUMIFS(view_parc_agrup!H:H,view_parc_agrup!G:G,Conciliacao!A607)</f>
        <v/>
      </c>
      <c r="E607" s="3">
        <f>SUMIFS(df_eventos!F:F,df_eventos!H:H,Conciliacao!A607)</f>
        <v/>
      </c>
      <c r="F607" s="3">
        <f>SUMIFS(df_mutuos!M:M,df_mutuos!B:B,Conciliacao!A607)</f>
        <v/>
      </c>
      <c r="G607" s="6">
        <f>SUMIFS(df_bloqueios_judiciais!G:G,df_bloqueios_judiciais!D:D,Conciliacao!A607,df_bloqueios_judiciais!G:G,"&gt;0")</f>
        <v/>
      </c>
      <c r="H607" s="7">
        <f>SUMIFS(df_extratos!I:I,df_extratos!F:F,"&gt;="&amp;Conciliacao!BE607,df_extratos!F:F,"&lt;"&amp;Conciliacao!BE607+1,df_extratos!G:G,"CREDITO")
+SUMIFS(df_extratos!I:I,df_extratos!F:F,"&gt;="&amp;Conciliacao!A607, df_extratos!F:F,"&lt;"&amp;Conciliacao!A607+1, df_extratos!G:G,"CREDITO")
+SUMIFS(df_extratos!I:I,df_extratos!F:F,"&gt;="&amp;Conciliacao!BF607,df_extratos!F:F,"&lt;"&amp;Conciliacao!BF607+1,df_extratos!G:G,"CREDITO")
+SUMIFS(df_extratos!I:I,df_extratos!F:F,"&gt;="&amp;Conciliacao!BG607,df_extratos!F:F,"&lt;"&amp;Conciliacao!BG607+1,df_extratos!G:G,"CREDITO")
+SUMIFS(df_extratos!I:I,df_extratos!F:F,"&gt;="&amp;Conciliacao!BH607,df_extratos!F:F,"&lt;"&amp;Conciliacao!BH607+1,df_extratos!G:G,"CREDITO")</f>
        <v/>
      </c>
      <c r="I607" s="9">
        <f>H607-SUM(B607:G607)</f>
        <v/>
      </c>
      <c r="J607" s="4">
        <f>SUMIFS(df_blueme_sem_parcelamento!E:E,df_blueme_sem_parcelamento!H:H,Conciliacao!A607)*(-1)</f>
        <v/>
      </c>
      <c r="K607" s="4">
        <f>SUMIFS(df_blueme_com_parcelamento!J:J,df_blueme_com_parcelamento!M:M,Conciliacao!A607)*(-1)</f>
        <v/>
      </c>
      <c r="L607" s="4">
        <f>SUMIFS(df_mutuos!N:N,df_mutuos!B:B,Conciliacao!A607)*(-1)</f>
        <v/>
      </c>
      <c r="M607" s="8">
        <f>SUMIFS(df_bloqueios_judiciais!G:G,df_bloqueios_judiciais!D:D,Conciliacao!A607,df_bloqueios_judiciais!G:G,"&lt;0")</f>
        <v/>
      </c>
      <c r="N607" s="10">
        <f>SUMIFS(df_extratos!I:I,df_extratos!F:F,"&gt;="&amp;Conciliacao!BE607,df_extratos!F:F,"&lt;"&amp;Conciliacao!BE607+1,df_extratos!G:G,"DEBITO")
+SUMIFS(df_extratos!I:I,df_extratos!F:F,"&gt;="&amp;Conciliacao!A607, df_extratos!F:F,"&lt;"&amp;Conciliacao!A607+1, df_extratos!G:G,"DEBITO")
+SUMIFS(df_extratos!I:I,df_extratos!F:F,"&gt;="&amp;Conciliacao!BF607,df_extratos!F:F,"&lt;"&amp;Conciliacao!BF607+1,df_extratos!G:G,"DEBITO")
+SUMIFS(df_extratos!I:I,df_extratos!F:F,"&gt;="&amp;Conciliacao!BG607,df_extratos!F:F,"&lt;"&amp;Conciliacao!BG607+1,df_extratos!G:G,"DEBITO")
+SUMIFS(df_extratos!I:I,df_extratos!F:F,"&gt;="&amp;Conciliacao!BH607,df_extratos!F:F,"&lt;"&amp;Conciliacao!BH607+1,df_extratos!G:G,"DEBITO")</f>
        <v/>
      </c>
      <c r="O607" s="11">
        <f>N607-SUM(J607:M607)</f>
        <v/>
      </c>
      <c r="P607" s="25">
        <f>SUMIFS(df_ajustes_conciliaco!D:D,df_ajustes_conciliaco!C:C,Conciliacao!A607)</f>
        <v/>
      </c>
      <c r="Q607" s="22">
        <f>O607+I607-P607</f>
        <v/>
      </c>
    </row>
    <row r="608">
      <c r="A608" s="5">
        <f>A607+1</f>
        <v/>
      </c>
      <c r="B608" s="3">
        <f>-SUMIFS(df_extrato_zig!G:G,df_extrato_zig!E:E,Conciliacao!A608,df_extrato_zig!D:D,"Saque")-SUMIFS(df_extrato_zig!G:G,df_extrato_zig!E:E,Conciliacao!A608,df_extrato_zig!D:D,"Antecipação")</f>
        <v/>
      </c>
      <c r="C608" s="3">
        <f>SUMIFS(df_extrato_zig!E:E,df_extrato_zig!L:L,Conciliacao!A608,df_extrato_zig!F:F,"DINHEIRO")</f>
        <v/>
      </c>
      <c r="D608" s="3">
        <f>SUMIFS(view_parc_agrup!H:H,view_parc_agrup!G:G,Conciliacao!A608)</f>
        <v/>
      </c>
      <c r="E608" s="3">
        <f>SUMIFS(df_eventos!F:F,df_eventos!H:H,Conciliacao!A608)</f>
        <v/>
      </c>
      <c r="F608" s="3">
        <f>SUMIFS(df_mutuos!M:M,df_mutuos!B:B,Conciliacao!A608)</f>
        <v/>
      </c>
      <c r="G608" s="6">
        <f>SUMIFS(df_bloqueios_judiciais!G:G,df_bloqueios_judiciais!D:D,Conciliacao!A608,df_bloqueios_judiciais!G:G,"&gt;0")</f>
        <v/>
      </c>
      <c r="H608" s="7">
        <f>SUMIFS(df_extratos!I:I,df_extratos!F:F,"&gt;="&amp;Conciliacao!BE608,df_extratos!F:F,"&lt;"&amp;Conciliacao!BE608+1,df_extratos!G:G,"CREDITO")
+SUMIFS(df_extratos!I:I,df_extratos!F:F,"&gt;="&amp;Conciliacao!A608, df_extratos!F:F,"&lt;"&amp;Conciliacao!A608+1, df_extratos!G:G,"CREDITO")
+SUMIFS(df_extratos!I:I,df_extratos!F:F,"&gt;="&amp;Conciliacao!BF608,df_extratos!F:F,"&lt;"&amp;Conciliacao!BF608+1,df_extratos!G:G,"CREDITO")
+SUMIFS(df_extratos!I:I,df_extratos!F:F,"&gt;="&amp;Conciliacao!BG608,df_extratos!F:F,"&lt;"&amp;Conciliacao!BG608+1,df_extratos!G:G,"CREDITO")
+SUMIFS(df_extratos!I:I,df_extratos!F:F,"&gt;="&amp;Conciliacao!BH608,df_extratos!F:F,"&lt;"&amp;Conciliacao!BH608+1,df_extratos!G:G,"CREDITO")</f>
        <v/>
      </c>
      <c r="I608" s="9">
        <f>H608-SUM(B608:G608)</f>
        <v/>
      </c>
      <c r="J608" s="4">
        <f>SUMIFS(df_blueme_sem_parcelamento!E:E,df_blueme_sem_parcelamento!H:H,Conciliacao!A608)*(-1)</f>
        <v/>
      </c>
      <c r="K608" s="4">
        <f>SUMIFS(df_blueme_com_parcelamento!J:J,df_blueme_com_parcelamento!M:M,Conciliacao!A608)*(-1)</f>
        <v/>
      </c>
      <c r="L608" s="4">
        <f>SUMIFS(df_mutuos!N:N,df_mutuos!B:B,Conciliacao!A608)*(-1)</f>
        <v/>
      </c>
      <c r="M608" s="8">
        <f>SUMIFS(df_bloqueios_judiciais!G:G,df_bloqueios_judiciais!D:D,Conciliacao!A608,df_bloqueios_judiciais!G:G,"&lt;0")</f>
        <v/>
      </c>
      <c r="N608" s="10">
        <f>SUMIFS(df_extratos!I:I,df_extratos!F:F,"&gt;="&amp;Conciliacao!BE608,df_extratos!F:F,"&lt;"&amp;Conciliacao!BE608+1,df_extratos!G:G,"DEBITO")
+SUMIFS(df_extratos!I:I,df_extratos!F:F,"&gt;="&amp;Conciliacao!A608, df_extratos!F:F,"&lt;"&amp;Conciliacao!A608+1, df_extratos!G:G,"DEBITO")
+SUMIFS(df_extratos!I:I,df_extratos!F:F,"&gt;="&amp;Conciliacao!BF608,df_extratos!F:F,"&lt;"&amp;Conciliacao!BF608+1,df_extratos!G:G,"DEBITO")
+SUMIFS(df_extratos!I:I,df_extratos!F:F,"&gt;="&amp;Conciliacao!BG608,df_extratos!F:F,"&lt;"&amp;Conciliacao!BG608+1,df_extratos!G:G,"DEBITO")
+SUMIFS(df_extratos!I:I,df_extratos!F:F,"&gt;="&amp;Conciliacao!BH608,df_extratos!F:F,"&lt;"&amp;Conciliacao!BH608+1,df_extratos!G:G,"DEBITO")</f>
        <v/>
      </c>
      <c r="O608" s="11">
        <f>N608-SUM(J608:M608)</f>
        <v/>
      </c>
      <c r="P608" s="25">
        <f>SUMIFS(df_ajustes_conciliaco!D:D,df_ajustes_conciliaco!C:C,Conciliacao!A608)</f>
        <v/>
      </c>
      <c r="Q608" s="22">
        <f>O608+I608-P608</f>
        <v/>
      </c>
    </row>
    <row r="609">
      <c r="A609" s="5">
        <f>A608+1</f>
        <v/>
      </c>
      <c r="B609" s="3">
        <f>-SUMIFS(df_extrato_zig!G:G,df_extrato_zig!E:E,Conciliacao!A609,df_extrato_zig!D:D,"Saque")-SUMIFS(df_extrato_zig!G:G,df_extrato_zig!E:E,Conciliacao!A609,df_extrato_zig!D:D,"Antecipação")</f>
        <v/>
      </c>
      <c r="C609" s="3">
        <f>SUMIFS(df_extrato_zig!E:E,df_extrato_zig!L:L,Conciliacao!A609,df_extrato_zig!F:F,"DINHEIRO")</f>
        <v/>
      </c>
      <c r="D609" s="3">
        <f>SUMIFS(view_parc_agrup!H:H,view_parc_agrup!G:G,Conciliacao!A609)</f>
        <v/>
      </c>
      <c r="E609" s="3">
        <f>SUMIFS(df_eventos!F:F,df_eventos!H:H,Conciliacao!A609)</f>
        <v/>
      </c>
      <c r="F609" s="3">
        <f>SUMIFS(df_mutuos!M:M,df_mutuos!B:B,Conciliacao!A609)</f>
        <v/>
      </c>
      <c r="G609" s="6">
        <f>SUMIFS(df_bloqueios_judiciais!G:G,df_bloqueios_judiciais!D:D,Conciliacao!A609,df_bloqueios_judiciais!G:G,"&gt;0")</f>
        <v/>
      </c>
      <c r="H609" s="7">
        <f>SUMIFS(df_extratos!I:I,df_extratos!F:F,"&gt;="&amp;Conciliacao!BE609,df_extratos!F:F,"&lt;"&amp;Conciliacao!BE609+1,df_extratos!G:G,"CREDITO")
+SUMIFS(df_extratos!I:I,df_extratos!F:F,"&gt;="&amp;Conciliacao!A609, df_extratos!F:F,"&lt;"&amp;Conciliacao!A609+1, df_extratos!G:G,"CREDITO")
+SUMIFS(df_extratos!I:I,df_extratos!F:F,"&gt;="&amp;Conciliacao!BF609,df_extratos!F:F,"&lt;"&amp;Conciliacao!BF609+1,df_extratos!G:G,"CREDITO")
+SUMIFS(df_extratos!I:I,df_extratos!F:F,"&gt;="&amp;Conciliacao!BG609,df_extratos!F:F,"&lt;"&amp;Conciliacao!BG609+1,df_extratos!G:G,"CREDITO")
+SUMIFS(df_extratos!I:I,df_extratos!F:F,"&gt;="&amp;Conciliacao!BH609,df_extratos!F:F,"&lt;"&amp;Conciliacao!BH609+1,df_extratos!G:G,"CREDITO")</f>
        <v/>
      </c>
      <c r="I609" s="9">
        <f>H609-SUM(B609:G609)</f>
        <v/>
      </c>
      <c r="J609" s="4">
        <f>SUMIFS(df_blueme_sem_parcelamento!E:E,df_blueme_sem_parcelamento!H:H,Conciliacao!A609)*(-1)</f>
        <v/>
      </c>
      <c r="K609" s="4">
        <f>SUMIFS(df_blueme_com_parcelamento!J:J,df_blueme_com_parcelamento!M:M,Conciliacao!A609)*(-1)</f>
        <v/>
      </c>
      <c r="L609" s="4">
        <f>SUMIFS(df_mutuos!N:N,df_mutuos!B:B,Conciliacao!A609)*(-1)</f>
        <v/>
      </c>
      <c r="M609" s="8">
        <f>SUMIFS(df_bloqueios_judiciais!G:G,df_bloqueios_judiciais!D:D,Conciliacao!A609,df_bloqueios_judiciais!G:G,"&lt;0")</f>
        <v/>
      </c>
      <c r="N609" s="10">
        <f>SUMIFS(df_extratos!I:I,df_extratos!F:F,"&gt;="&amp;Conciliacao!BE609,df_extratos!F:F,"&lt;"&amp;Conciliacao!BE609+1,df_extratos!G:G,"DEBITO")
+SUMIFS(df_extratos!I:I,df_extratos!F:F,"&gt;="&amp;Conciliacao!A609, df_extratos!F:F,"&lt;"&amp;Conciliacao!A609+1, df_extratos!G:G,"DEBITO")
+SUMIFS(df_extratos!I:I,df_extratos!F:F,"&gt;="&amp;Conciliacao!BF609,df_extratos!F:F,"&lt;"&amp;Conciliacao!BF609+1,df_extratos!G:G,"DEBITO")
+SUMIFS(df_extratos!I:I,df_extratos!F:F,"&gt;="&amp;Conciliacao!BG609,df_extratos!F:F,"&lt;"&amp;Conciliacao!BG609+1,df_extratos!G:G,"DEBITO")
+SUMIFS(df_extratos!I:I,df_extratos!F:F,"&gt;="&amp;Conciliacao!BH609,df_extratos!F:F,"&lt;"&amp;Conciliacao!BH609+1,df_extratos!G:G,"DEBITO")</f>
        <v/>
      </c>
      <c r="O609" s="11">
        <f>N609-SUM(J609:M609)</f>
        <v/>
      </c>
      <c r="P609" s="25">
        <f>SUMIFS(df_ajustes_conciliaco!D:D,df_ajustes_conciliaco!C:C,Conciliacao!A609)</f>
        <v/>
      </c>
      <c r="Q609" s="22">
        <f>O609+I609-P609</f>
        <v/>
      </c>
    </row>
    <row r="610">
      <c r="A610" s="5">
        <f>A609+1</f>
        <v/>
      </c>
      <c r="B610" s="3">
        <f>-SUMIFS(df_extrato_zig!G:G,df_extrato_zig!E:E,Conciliacao!A610,df_extrato_zig!D:D,"Saque")-SUMIFS(df_extrato_zig!G:G,df_extrato_zig!E:E,Conciliacao!A610,df_extrato_zig!D:D,"Antecipação")</f>
        <v/>
      </c>
      <c r="C610" s="3">
        <f>SUMIFS(df_extrato_zig!E:E,df_extrato_zig!L:L,Conciliacao!A610,df_extrato_zig!F:F,"DINHEIRO")</f>
        <v/>
      </c>
      <c r="D610" s="3">
        <f>SUMIFS(view_parc_agrup!H:H,view_parc_agrup!G:G,Conciliacao!A610)</f>
        <v/>
      </c>
      <c r="E610" s="3">
        <f>SUMIFS(df_eventos!F:F,df_eventos!H:H,Conciliacao!A610)</f>
        <v/>
      </c>
      <c r="F610" s="3">
        <f>SUMIFS(df_mutuos!M:M,df_mutuos!B:B,Conciliacao!A610)</f>
        <v/>
      </c>
      <c r="G610" s="6">
        <f>SUMIFS(df_bloqueios_judiciais!G:G,df_bloqueios_judiciais!D:D,Conciliacao!A610,df_bloqueios_judiciais!G:G,"&gt;0")</f>
        <v/>
      </c>
      <c r="H610" s="7">
        <f>SUMIFS(df_extratos!I:I,df_extratos!F:F,"&gt;="&amp;Conciliacao!BE610,df_extratos!F:F,"&lt;"&amp;Conciliacao!BE610+1,df_extratos!G:G,"CREDITO")
+SUMIFS(df_extratos!I:I,df_extratos!F:F,"&gt;="&amp;Conciliacao!A610, df_extratos!F:F,"&lt;"&amp;Conciliacao!A610+1, df_extratos!G:G,"CREDITO")
+SUMIFS(df_extratos!I:I,df_extratos!F:F,"&gt;="&amp;Conciliacao!BF610,df_extratos!F:F,"&lt;"&amp;Conciliacao!BF610+1,df_extratos!G:G,"CREDITO")
+SUMIFS(df_extratos!I:I,df_extratos!F:F,"&gt;="&amp;Conciliacao!BG610,df_extratos!F:F,"&lt;"&amp;Conciliacao!BG610+1,df_extratos!G:G,"CREDITO")
+SUMIFS(df_extratos!I:I,df_extratos!F:F,"&gt;="&amp;Conciliacao!BH610,df_extratos!F:F,"&lt;"&amp;Conciliacao!BH610+1,df_extratos!G:G,"CREDITO")</f>
        <v/>
      </c>
      <c r="I610" s="9">
        <f>H610-SUM(B610:G610)</f>
        <v/>
      </c>
      <c r="J610" s="4">
        <f>SUMIFS(df_blueme_sem_parcelamento!E:E,df_blueme_sem_parcelamento!H:H,Conciliacao!A610)*(-1)</f>
        <v/>
      </c>
      <c r="K610" s="4">
        <f>SUMIFS(df_blueme_com_parcelamento!J:J,df_blueme_com_parcelamento!M:M,Conciliacao!A610)*(-1)</f>
        <v/>
      </c>
      <c r="L610" s="4">
        <f>SUMIFS(df_mutuos!N:N,df_mutuos!B:B,Conciliacao!A610)*(-1)</f>
        <v/>
      </c>
      <c r="M610" s="8">
        <f>SUMIFS(df_bloqueios_judiciais!G:G,df_bloqueios_judiciais!D:D,Conciliacao!A610,df_bloqueios_judiciais!G:G,"&lt;0")</f>
        <v/>
      </c>
      <c r="N610" s="10">
        <f>SUMIFS(df_extratos!I:I,df_extratos!F:F,"&gt;="&amp;Conciliacao!BE610,df_extratos!F:F,"&lt;"&amp;Conciliacao!BE610+1,df_extratos!G:G,"DEBITO")
+SUMIFS(df_extratos!I:I,df_extratos!F:F,"&gt;="&amp;Conciliacao!A610, df_extratos!F:F,"&lt;"&amp;Conciliacao!A610+1, df_extratos!G:G,"DEBITO")
+SUMIFS(df_extratos!I:I,df_extratos!F:F,"&gt;="&amp;Conciliacao!BF610,df_extratos!F:F,"&lt;"&amp;Conciliacao!BF610+1,df_extratos!G:G,"DEBITO")
+SUMIFS(df_extratos!I:I,df_extratos!F:F,"&gt;="&amp;Conciliacao!BG610,df_extratos!F:F,"&lt;"&amp;Conciliacao!BG610+1,df_extratos!G:G,"DEBITO")
+SUMIFS(df_extratos!I:I,df_extratos!F:F,"&gt;="&amp;Conciliacao!BH610,df_extratos!F:F,"&lt;"&amp;Conciliacao!BH610+1,df_extratos!G:G,"DEBITO")</f>
        <v/>
      </c>
      <c r="O610" s="11">
        <f>N610-SUM(J610:M610)</f>
        <v/>
      </c>
      <c r="P610" s="25">
        <f>SUMIFS(df_ajustes_conciliaco!D:D,df_ajustes_conciliaco!C:C,Conciliacao!A610)</f>
        <v/>
      </c>
      <c r="Q610" s="22">
        <f>O610+I610-P610</f>
        <v/>
      </c>
    </row>
    <row r="611">
      <c r="A611" s="5">
        <f>A610+1</f>
        <v/>
      </c>
      <c r="B611" s="3">
        <f>-SUMIFS(df_extrato_zig!G:G,df_extrato_zig!E:E,Conciliacao!A611,df_extrato_zig!D:D,"Saque")-SUMIFS(df_extrato_zig!G:G,df_extrato_zig!E:E,Conciliacao!A611,df_extrato_zig!D:D,"Antecipação")</f>
        <v/>
      </c>
      <c r="C611" s="3">
        <f>SUMIFS(df_extrato_zig!E:E,df_extrato_zig!L:L,Conciliacao!A611,df_extrato_zig!F:F,"DINHEIRO")</f>
        <v/>
      </c>
      <c r="D611" s="3">
        <f>SUMIFS(view_parc_agrup!H:H,view_parc_agrup!G:G,Conciliacao!A611)</f>
        <v/>
      </c>
      <c r="E611" s="3">
        <f>SUMIFS(df_eventos!F:F,df_eventos!H:H,Conciliacao!A611)</f>
        <v/>
      </c>
      <c r="F611" s="3">
        <f>SUMIFS(df_mutuos!M:M,df_mutuos!B:B,Conciliacao!A611)</f>
        <v/>
      </c>
      <c r="G611" s="6">
        <f>SUMIFS(df_bloqueios_judiciais!G:G,df_bloqueios_judiciais!D:D,Conciliacao!A611,df_bloqueios_judiciais!G:G,"&gt;0")</f>
        <v/>
      </c>
      <c r="H611" s="7">
        <f>SUMIFS(df_extratos!I:I,df_extratos!F:F,"&gt;="&amp;Conciliacao!BE611,df_extratos!F:F,"&lt;"&amp;Conciliacao!BE611+1,df_extratos!G:G,"CREDITO")
+SUMIFS(df_extratos!I:I,df_extratos!F:F,"&gt;="&amp;Conciliacao!A611, df_extratos!F:F,"&lt;"&amp;Conciliacao!A611+1, df_extratos!G:G,"CREDITO")
+SUMIFS(df_extratos!I:I,df_extratos!F:F,"&gt;="&amp;Conciliacao!BF611,df_extratos!F:F,"&lt;"&amp;Conciliacao!BF611+1,df_extratos!G:G,"CREDITO")
+SUMIFS(df_extratos!I:I,df_extratos!F:F,"&gt;="&amp;Conciliacao!BG611,df_extratos!F:F,"&lt;"&amp;Conciliacao!BG611+1,df_extratos!G:G,"CREDITO")
+SUMIFS(df_extratos!I:I,df_extratos!F:F,"&gt;="&amp;Conciliacao!BH611,df_extratos!F:F,"&lt;"&amp;Conciliacao!BH611+1,df_extratos!G:G,"CREDITO")</f>
        <v/>
      </c>
      <c r="I611" s="9">
        <f>H611-SUM(B611:G611)</f>
        <v/>
      </c>
      <c r="J611" s="4">
        <f>SUMIFS(df_blueme_sem_parcelamento!E:E,df_blueme_sem_parcelamento!H:H,Conciliacao!A611)*(-1)</f>
        <v/>
      </c>
      <c r="K611" s="4">
        <f>SUMIFS(df_blueme_com_parcelamento!J:J,df_blueme_com_parcelamento!M:M,Conciliacao!A611)*(-1)</f>
        <v/>
      </c>
      <c r="L611" s="4">
        <f>SUMIFS(df_mutuos!N:N,df_mutuos!B:B,Conciliacao!A611)*(-1)</f>
        <v/>
      </c>
      <c r="M611" s="8">
        <f>SUMIFS(df_bloqueios_judiciais!G:G,df_bloqueios_judiciais!D:D,Conciliacao!A611,df_bloqueios_judiciais!G:G,"&lt;0")</f>
        <v/>
      </c>
      <c r="N611" s="10">
        <f>SUMIFS(df_extratos!I:I,df_extratos!F:F,"&gt;="&amp;Conciliacao!BE611,df_extratos!F:F,"&lt;"&amp;Conciliacao!BE611+1,df_extratos!G:G,"DEBITO")
+SUMIFS(df_extratos!I:I,df_extratos!F:F,"&gt;="&amp;Conciliacao!A611, df_extratos!F:F,"&lt;"&amp;Conciliacao!A611+1, df_extratos!G:G,"DEBITO")
+SUMIFS(df_extratos!I:I,df_extratos!F:F,"&gt;="&amp;Conciliacao!BF611,df_extratos!F:F,"&lt;"&amp;Conciliacao!BF611+1,df_extratos!G:G,"DEBITO")
+SUMIFS(df_extratos!I:I,df_extratos!F:F,"&gt;="&amp;Conciliacao!BG611,df_extratos!F:F,"&lt;"&amp;Conciliacao!BG611+1,df_extratos!G:G,"DEBITO")
+SUMIFS(df_extratos!I:I,df_extratos!F:F,"&gt;="&amp;Conciliacao!BH611,df_extratos!F:F,"&lt;"&amp;Conciliacao!BH611+1,df_extratos!G:G,"DEBITO")</f>
        <v/>
      </c>
      <c r="O611" s="11">
        <f>N611-SUM(J611:M611)</f>
        <v/>
      </c>
      <c r="P611" s="25">
        <f>SUMIFS(df_ajustes_conciliaco!D:D,df_ajustes_conciliaco!C:C,Conciliacao!A611)</f>
        <v/>
      </c>
      <c r="Q611" s="22">
        <f>O611+I611-P611</f>
        <v/>
      </c>
    </row>
    <row r="612">
      <c r="A612" s="5">
        <f>A611+1</f>
        <v/>
      </c>
      <c r="B612" s="3">
        <f>-SUMIFS(df_extrato_zig!G:G,df_extrato_zig!E:E,Conciliacao!A612,df_extrato_zig!D:D,"Saque")-SUMIFS(df_extrato_zig!G:G,df_extrato_zig!E:E,Conciliacao!A612,df_extrato_zig!D:D,"Antecipação")</f>
        <v/>
      </c>
      <c r="C612" s="3">
        <f>SUMIFS(df_extrato_zig!E:E,df_extrato_zig!L:L,Conciliacao!A612,df_extrato_zig!F:F,"DINHEIRO")</f>
        <v/>
      </c>
      <c r="D612" s="3">
        <f>SUMIFS(view_parc_agrup!H:H,view_parc_agrup!G:G,Conciliacao!A612)</f>
        <v/>
      </c>
      <c r="E612" s="3">
        <f>SUMIFS(df_eventos!F:F,df_eventos!H:H,Conciliacao!A612)</f>
        <v/>
      </c>
      <c r="F612" s="3">
        <f>SUMIFS(df_mutuos!M:M,df_mutuos!B:B,Conciliacao!A612)</f>
        <v/>
      </c>
      <c r="G612" s="6">
        <f>SUMIFS(df_bloqueios_judiciais!G:G,df_bloqueios_judiciais!D:D,Conciliacao!A612,df_bloqueios_judiciais!G:G,"&gt;0")</f>
        <v/>
      </c>
      <c r="H612" s="7">
        <f>SUMIFS(df_extratos!I:I,df_extratos!F:F,"&gt;="&amp;Conciliacao!BE612,df_extratos!F:F,"&lt;"&amp;Conciliacao!BE612+1,df_extratos!G:G,"CREDITO")
+SUMIFS(df_extratos!I:I,df_extratos!F:F,"&gt;="&amp;Conciliacao!A612, df_extratos!F:F,"&lt;"&amp;Conciliacao!A612+1, df_extratos!G:G,"CREDITO")
+SUMIFS(df_extratos!I:I,df_extratos!F:F,"&gt;="&amp;Conciliacao!BF612,df_extratos!F:F,"&lt;"&amp;Conciliacao!BF612+1,df_extratos!G:G,"CREDITO")
+SUMIFS(df_extratos!I:I,df_extratos!F:F,"&gt;="&amp;Conciliacao!BG612,df_extratos!F:F,"&lt;"&amp;Conciliacao!BG612+1,df_extratos!G:G,"CREDITO")
+SUMIFS(df_extratos!I:I,df_extratos!F:F,"&gt;="&amp;Conciliacao!BH612,df_extratos!F:F,"&lt;"&amp;Conciliacao!BH612+1,df_extratos!G:G,"CREDITO")</f>
        <v/>
      </c>
      <c r="I612" s="9">
        <f>H612-SUM(B612:G612)</f>
        <v/>
      </c>
      <c r="J612" s="4">
        <f>SUMIFS(df_blueme_sem_parcelamento!E:E,df_blueme_sem_parcelamento!H:H,Conciliacao!A612)*(-1)</f>
        <v/>
      </c>
      <c r="K612" s="4">
        <f>SUMIFS(df_blueme_com_parcelamento!J:J,df_blueme_com_parcelamento!M:M,Conciliacao!A612)*(-1)</f>
        <v/>
      </c>
      <c r="L612" s="4">
        <f>SUMIFS(df_mutuos!N:N,df_mutuos!B:B,Conciliacao!A612)*(-1)</f>
        <v/>
      </c>
      <c r="M612" s="8">
        <f>SUMIFS(df_bloqueios_judiciais!G:G,df_bloqueios_judiciais!D:D,Conciliacao!A612,df_bloqueios_judiciais!G:G,"&lt;0")</f>
        <v/>
      </c>
      <c r="N612" s="10">
        <f>SUMIFS(df_extratos!I:I,df_extratos!F:F,"&gt;="&amp;Conciliacao!BE612,df_extratos!F:F,"&lt;"&amp;Conciliacao!BE612+1,df_extratos!G:G,"DEBITO")
+SUMIFS(df_extratos!I:I,df_extratos!F:F,"&gt;="&amp;Conciliacao!A612, df_extratos!F:F,"&lt;"&amp;Conciliacao!A612+1, df_extratos!G:G,"DEBITO")
+SUMIFS(df_extratos!I:I,df_extratos!F:F,"&gt;="&amp;Conciliacao!BF612,df_extratos!F:F,"&lt;"&amp;Conciliacao!BF612+1,df_extratos!G:G,"DEBITO")
+SUMIFS(df_extratos!I:I,df_extratos!F:F,"&gt;="&amp;Conciliacao!BG612,df_extratos!F:F,"&lt;"&amp;Conciliacao!BG612+1,df_extratos!G:G,"DEBITO")
+SUMIFS(df_extratos!I:I,df_extratos!F:F,"&gt;="&amp;Conciliacao!BH612,df_extratos!F:F,"&lt;"&amp;Conciliacao!BH612+1,df_extratos!G:G,"DEBITO")</f>
        <v/>
      </c>
      <c r="O612" s="11">
        <f>N612-SUM(J612:M612)</f>
        <v/>
      </c>
      <c r="P612" s="25">
        <f>SUMIFS(df_ajustes_conciliaco!D:D,df_ajustes_conciliaco!C:C,Conciliacao!A612)</f>
        <v/>
      </c>
      <c r="Q612" s="22">
        <f>O612+I612-P612</f>
        <v/>
      </c>
    </row>
    <row r="613">
      <c r="A613" s="5">
        <f>A612+1</f>
        <v/>
      </c>
      <c r="B613" s="3">
        <f>-SUMIFS(df_extrato_zig!G:G,df_extrato_zig!E:E,Conciliacao!A613,df_extrato_zig!D:D,"Saque")-SUMIFS(df_extrato_zig!G:G,df_extrato_zig!E:E,Conciliacao!A613,df_extrato_zig!D:D,"Antecipação")</f>
        <v/>
      </c>
      <c r="C613" s="3">
        <f>SUMIFS(df_extrato_zig!E:E,df_extrato_zig!L:L,Conciliacao!A613,df_extrato_zig!F:F,"DINHEIRO")</f>
        <v/>
      </c>
      <c r="D613" s="3">
        <f>SUMIFS(view_parc_agrup!H:H,view_parc_agrup!G:G,Conciliacao!A613)</f>
        <v/>
      </c>
      <c r="E613" s="3">
        <f>SUMIFS(df_eventos!F:F,df_eventos!H:H,Conciliacao!A613)</f>
        <v/>
      </c>
      <c r="F613" s="3">
        <f>SUMIFS(df_mutuos!M:M,df_mutuos!B:B,Conciliacao!A613)</f>
        <v/>
      </c>
      <c r="G613" s="6">
        <f>SUMIFS(df_bloqueios_judiciais!G:G,df_bloqueios_judiciais!D:D,Conciliacao!A613,df_bloqueios_judiciais!G:G,"&gt;0")</f>
        <v/>
      </c>
      <c r="H613" s="7">
        <f>SUMIFS(df_extratos!I:I,df_extratos!F:F,"&gt;="&amp;Conciliacao!BE613,df_extratos!F:F,"&lt;"&amp;Conciliacao!BE613+1,df_extratos!G:G,"CREDITO")
+SUMIFS(df_extratos!I:I,df_extratos!F:F,"&gt;="&amp;Conciliacao!A613, df_extratos!F:F,"&lt;"&amp;Conciliacao!A613+1, df_extratos!G:G,"CREDITO")
+SUMIFS(df_extratos!I:I,df_extratos!F:F,"&gt;="&amp;Conciliacao!BF613,df_extratos!F:F,"&lt;"&amp;Conciliacao!BF613+1,df_extratos!G:G,"CREDITO")
+SUMIFS(df_extratos!I:I,df_extratos!F:F,"&gt;="&amp;Conciliacao!BG613,df_extratos!F:F,"&lt;"&amp;Conciliacao!BG613+1,df_extratos!G:G,"CREDITO")
+SUMIFS(df_extratos!I:I,df_extratos!F:F,"&gt;="&amp;Conciliacao!BH613,df_extratos!F:F,"&lt;"&amp;Conciliacao!BH613+1,df_extratos!G:G,"CREDITO")</f>
        <v/>
      </c>
      <c r="I613" s="9">
        <f>H613-SUM(B613:G613)</f>
        <v/>
      </c>
      <c r="J613" s="4">
        <f>SUMIFS(df_blueme_sem_parcelamento!E:E,df_blueme_sem_parcelamento!H:H,Conciliacao!A613)*(-1)</f>
        <v/>
      </c>
      <c r="K613" s="4">
        <f>SUMIFS(df_blueme_com_parcelamento!J:J,df_blueme_com_parcelamento!M:M,Conciliacao!A613)*(-1)</f>
        <v/>
      </c>
      <c r="L613" s="4">
        <f>SUMIFS(df_mutuos!N:N,df_mutuos!B:B,Conciliacao!A613)*(-1)</f>
        <v/>
      </c>
      <c r="M613" s="8">
        <f>SUMIFS(df_bloqueios_judiciais!G:G,df_bloqueios_judiciais!D:D,Conciliacao!A613,df_bloqueios_judiciais!G:G,"&lt;0")</f>
        <v/>
      </c>
      <c r="N613" s="10">
        <f>SUMIFS(df_extratos!I:I,df_extratos!F:F,"&gt;="&amp;Conciliacao!BE613,df_extratos!F:F,"&lt;"&amp;Conciliacao!BE613+1,df_extratos!G:G,"DEBITO")
+SUMIFS(df_extratos!I:I,df_extratos!F:F,"&gt;="&amp;Conciliacao!A613, df_extratos!F:F,"&lt;"&amp;Conciliacao!A613+1, df_extratos!G:G,"DEBITO")
+SUMIFS(df_extratos!I:I,df_extratos!F:F,"&gt;="&amp;Conciliacao!BF613,df_extratos!F:F,"&lt;"&amp;Conciliacao!BF613+1,df_extratos!G:G,"DEBITO")
+SUMIFS(df_extratos!I:I,df_extratos!F:F,"&gt;="&amp;Conciliacao!BG613,df_extratos!F:F,"&lt;"&amp;Conciliacao!BG613+1,df_extratos!G:G,"DEBITO")
+SUMIFS(df_extratos!I:I,df_extratos!F:F,"&gt;="&amp;Conciliacao!BH613,df_extratos!F:F,"&lt;"&amp;Conciliacao!BH613+1,df_extratos!G:G,"DEBITO")</f>
        <v/>
      </c>
      <c r="O613" s="11">
        <f>N613-SUM(J613:M613)</f>
        <v/>
      </c>
      <c r="P613" s="25">
        <f>SUMIFS(df_ajustes_conciliaco!D:D,df_ajustes_conciliaco!C:C,Conciliacao!A613)</f>
        <v/>
      </c>
      <c r="Q613" s="22">
        <f>O613+I613-P613</f>
        <v/>
      </c>
    </row>
    <row r="614">
      <c r="A614" s="5">
        <f>A613+1</f>
        <v/>
      </c>
      <c r="B614" s="3">
        <f>-SUMIFS(df_extrato_zig!G:G,df_extrato_zig!E:E,Conciliacao!A614,df_extrato_zig!D:D,"Saque")-SUMIFS(df_extrato_zig!G:G,df_extrato_zig!E:E,Conciliacao!A614,df_extrato_zig!D:D,"Antecipação")</f>
        <v/>
      </c>
      <c r="C614" s="3">
        <f>SUMIFS(df_extrato_zig!E:E,df_extrato_zig!L:L,Conciliacao!A614,df_extrato_zig!F:F,"DINHEIRO")</f>
        <v/>
      </c>
      <c r="D614" s="3">
        <f>SUMIFS(view_parc_agrup!H:H,view_parc_agrup!G:G,Conciliacao!A614)</f>
        <v/>
      </c>
      <c r="E614" s="3">
        <f>SUMIFS(df_eventos!F:F,df_eventos!H:H,Conciliacao!A614)</f>
        <v/>
      </c>
      <c r="F614" s="3">
        <f>SUMIFS(df_mutuos!M:M,df_mutuos!B:B,Conciliacao!A614)</f>
        <v/>
      </c>
      <c r="G614" s="6">
        <f>SUMIFS(df_bloqueios_judiciais!G:G,df_bloqueios_judiciais!D:D,Conciliacao!A614,df_bloqueios_judiciais!G:G,"&gt;0")</f>
        <v/>
      </c>
      <c r="H614" s="7">
        <f>SUMIFS(df_extratos!I:I,df_extratos!F:F,"&gt;="&amp;Conciliacao!BE614,df_extratos!F:F,"&lt;"&amp;Conciliacao!BE614+1,df_extratos!G:G,"CREDITO")
+SUMIFS(df_extratos!I:I,df_extratos!F:F,"&gt;="&amp;Conciliacao!A614, df_extratos!F:F,"&lt;"&amp;Conciliacao!A614+1, df_extratos!G:G,"CREDITO")
+SUMIFS(df_extratos!I:I,df_extratos!F:F,"&gt;="&amp;Conciliacao!BF614,df_extratos!F:F,"&lt;"&amp;Conciliacao!BF614+1,df_extratos!G:G,"CREDITO")
+SUMIFS(df_extratos!I:I,df_extratos!F:F,"&gt;="&amp;Conciliacao!BG614,df_extratos!F:F,"&lt;"&amp;Conciliacao!BG614+1,df_extratos!G:G,"CREDITO")
+SUMIFS(df_extratos!I:I,df_extratos!F:F,"&gt;="&amp;Conciliacao!BH614,df_extratos!F:F,"&lt;"&amp;Conciliacao!BH614+1,df_extratos!G:G,"CREDITO")</f>
        <v/>
      </c>
      <c r="I614" s="9">
        <f>H614-SUM(B614:G614)</f>
        <v/>
      </c>
      <c r="J614" s="4">
        <f>SUMIFS(df_blueme_sem_parcelamento!E:E,df_blueme_sem_parcelamento!H:H,Conciliacao!A614)*(-1)</f>
        <v/>
      </c>
      <c r="K614" s="4">
        <f>SUMIFS(df_blueme_com_parcelamento!J:J,df_blueme_com_parcelamento!M:M,Conciliacao!A614)*(-1)</f>
        <v/>
      </c>
      <c r="L614" s="4">
        <f>SUMIFS(df_mutuos!N:N,df_mutuos!B:B,Conciliacao!A614)*(-1)</f>
        <v/>
      </c>
      <c r="M614" s="8">
        <f>SUMIFS(df_bloqueios_judiciais!G:G,df_bloqueios_judiciais!D:D,Conciliacao!A614,df_bloqueios_judiciais!G:G,"&lt;0")</f>
        <v/>
      </c>
      <c r="N614" s="10">
        <f>SUMIFS(df_extratos!I:I,df_extratos!F:F,"&gt;="&amp;Conciliacao!BE614,df_extratos!F:F,"&lt;"&amp;Conciliacao!BE614+1,df_extratos!G:G,"DEBITO")
+SUMIFS(df_extratos!I:I,df_extratos!F:F,"&gt;="&amp;Conciliacao!A614, df_extratos!F:F,"&lt;"&amp;Conciliacao!A614+1, df_extratos!G:G,"DEBITO")
+SUMIFS(df_extratos!I:I,df_extratos!F:F,"&gt;="&amp;Conciliacao!BF614,df_extratos!F:F,"&lt;"&amp;Conciliacao!BF614+1,df_extratos!G:G,"DEBITO")
+SUMIFS(df_extratos!I:I,df_extratos!F:F,"&gt;="&amp;Conciliacao!BG614,df_extratos!F:F,"&lt;"&amp;Conciliacao!BG614+1,df_extratos!G:G,"DEBITO")
+SUMIFS(df_extratos!I:I,df_extratos!F:F,"&gt;="&amp;Conciliacao!BH614,df_extratos!F:F,"&lt;"&amp;Conciliacao!BH614+1,df_extratos!G:G,"DEBITO")</f>
        <v/>
      </c>
      <c r="O614" s="11">
        <f>N614-SUM(J614:M614)</f>
        <v/>
      </c>
      <c r="P614" s="25">
        <f>SUMIFS(df_ajustes_conciliaco!D:D,df_ajustes_conciliaco!C:C,Conciliacao!A614)</f>
        <v/>
      </c>
      <c r="Q614" s="22">
        <f>O614+I614-P614</f>
        <v/>
      </c>
    </row>
    <row r="615">
      <c r="A615" s="5">
        <f>A614+1</f>
        <v/>
      </c>
      <c r="B615" s="3">
        <f>-SUMIFS(df_extrato_zig!G:G,df_extrato_zig!E:E,Conciliacao!A615,df_extrato_zig!D:D,"Saque")-SUMIFS(df_extrato_zig!G:G,df_extrato_zig!E:E,Conciliacao!A615,df_extrato_zig!D:D,"Antecipação")</f>
        <v/>
      </c>
      <c r="C615" s="3">
        <f>SUMIFS(df_extrato_zig!E:E,df_extrato_zig!L:L,Conciliacao!A615,df_extrato_zig!F:F,"DINHEIRO")</f>
        <v/>
      </c>
      <c r="D615" s="3">
        <f>SUMIFS(view_parc_agrup!H:H,view_parc_agrup!G:G,Conciliacao!A615)</f>
        <v/>
      </c>
      <c r="E615" s="3">
        <f>SUMIFS(df_eventos!F:F,df_eventos!H:H,Conciliacao!A615)</f>
        <v/>
      </c>
      <c r="F615" s="3">
        <f>SUMIFS(df_mutuos!M:M,df_mutuos!B:B,Conciliacao!A615)</f>
        <v/>
      </c>
      <c r="G615" s="6">
        <f>SUMIFS(df_bloqueios_judiciais!G:G,df_bloqueios_judiciais!D:D,Conciliacao!A615,df_bloqueios_judiciais!G:G,"&gt;0")</f>
        <v/>
      </c>
      <c r="H615" s="7">
        <f>SUMIFS(df_extratos!I:I,df_extratos!F:F,"&gt;="&amp;Conciliacao!BE615,df_extratos!F:F,"&lt;"&amp;Conciliacao!BE615+1,df_extratos!G:G,"CREDITO")
+SUMIFS(df_extratos!I:I,df_extratos!F:F,"&gt;="&amp;Conciliacao!A615, df_extratos!F:F,"&lt;"&amp;Conciliacao!A615+1, df_extratos!G:G,"CREDITO")
+SUMIFS(df_extratos!I:I,df_extratos!F:F,"&gt;="&amp;Conciliacao!BF615,df_extratos!F:F,"&lt;"&amp;Conciliacao!BF615+1,df_extratos!G:G,"CREDITO")
+SUMIFS(df_extratos!I:I,df_extratos!F:F,"&gt;="&amp;Conciliacao!BG615,df_extratos!F:F,"&lt;"&amp;Conciliacao!BG615+1,df_extratos!G:G,"CREDITO")
+SUMIFS(df_extratos!I:I,df_extratos!F:F,"&gt;="&amp;Conciliacao!BH615,df_extratos!F:F,"&lt;"&amp;Conciliacao!BH615+1,df_extratos!G:G,"CREDITO")</f>
        <v/>
      </c>
      <c r="I615" s="9">
        <f>H615-SUM(B615:G615)</f>
        <v/>
      </c>
      <c r="J615" s="4">
        <f>SUMIFS(df_blueme_sem_parcelamento!E:E,df_blueme_sem_parcelamento!H:H,Conciliacao!A615)*(-1)</f>
        <v/>
      </c>
      <c r="K615" s="4">
        <f>SUMIFS(df_blueme_com_parcelamento!J:J,df_blueme_com_parcelamento!M:M,Conciliacao!A615)*(-1)</f>
        <v/>
      </c>
      <c r="L615" s="4">
        <f>SUMIFS(df_mutuos!N:N,df_mutuos!B:B,Conciliacao!A615)*(-1)</f>
        <v/>
      </c>
      <c r="M615" s="8">
        <f>SUMIFS(df_bloqueios_judiciais!G:G,df_bloqueios_judiciais!D:D,Conciliacao!A615,df_bloqueios_judiciais!G:G,"&lt;0")</f>
        <v/>
      </c>
      <c r="N615" s="10">
        <f>SUMIFS(df_extratos!I:I,df_extratos!F:F,"&gt;="&amp;Conciliacao!BE615,df_extratos!F:F,"&lt;"&amp;Conciliacao!BE615+1,df_extratos!G:G,"DEBITO")
+SUMIFS(df_extratos!I:I,df_extratos!F:F,"&gt;="&amp;Conciliacao!A615, df_extratos!F:F,"&lt;"&amp;Conciliacao!A615+1, df_extratos!G:G,"DEBITO")
+SUMIFS(df_extratos!I:I,df_extratos!F:F,"&gt;="&amp;Conciliacao!BF615,df_extratos!F:F,"&lt;"&amp;Conciliacao!BF615+1,df_extratos!G:G,"DEBITO")
+SUMIFS(df_extratos!I:I,df_extratos!F:F,"&gt;="&amp;Conciliacao!BG615,df_extratos!F:F,"&lt;"&amp;Conciliacao!BG615+1,df_extratos!G:G,"DEBITO")
+SUMIFS(df_extratos!I:I,df_extratos!F:F,"&gt;="&amp;Conciliacao!BH615,df_extratos!F:F,"&lt;"&amp;Conciliacao!BH615+1,df_extratos!G:G,"DEBITO")</f>
        <v/>
      </c>
      <c r="O615" s="11">
        <f>N615-SUM(J615:M615)</f>
        <v/>
      </c>
      <c r="P615" s="25">
        <f>SUMIFS(df_ajustes_conciliaco!D:D,df_ajustes_conciliaco!C:C,Conciliacao!A615)</f>
        <v/>
      </c>
      <c r="Q615" s="22">
        <f>O615+I615-P615</f>
        <v/>
      </c>
    </row>
    <row r="616">
      <c r="A616" s="5">
        <f>A615+1</f>
        <v/>
      </c>
      <c r="B616" s="3">
        <f>-SUMIFS(df_extrato_zig!G:G,df_extrato_zig!E:E,Conciliacao!A616,df_extrato_zig!D:D,"Saque")-SUMIFS(df_extrato_zig!G:G,df_extrato_zig!E:E,Conciliacao!A616,df_extrato_zig!D:D,"Antecipação")</f>
        <v/>
      </c>
      <c r="C616" s="3">
        <f>SUMIFS(df_extrato_zig!E:E,df_extrato_zig!L:L,Conciliacao!A616,df_extrato_zig!F:F,"DINHEIRO")</f>
        <v/>
      </c>
      <c r="D616" s="3">
        <f>SUMIFS(view_parc_agrup!H:H,view_parc_agrup!G:G,Conciliacao!A616)</f>
        <v/>
      </c>
      <c r="E616" s="3">
        <f>SUMIFS(df_eventos!F:F,df_eventos!H:H,Conciliacao!A616)</f>
        <v/>
      </c>
      <c r="F616" s="3">
        <f>SUMIFS(df_mutuos!M:M,df_mutuos!B:B,Conciliacao!A616)</f>
        <v/>
      </c>
      <c r="G616" s="6">
        <f>SUMIFS(df_bloqueios_judiciais!G:G,df_bloqueios_judiciais!D:D,Conciliacao!A616,df_bloqueios_judiciais!G:G,"&gt;0")</f>
        <v/>
      </c>
      <c r="H616" s="7">
        <f>SUMIFS(df_extratos!I:I,df_extratos!F:F,"&gt;="&amp;Conciliacao!BE616,df_extratos!F:F,"&lt;"&amp;Conciliacao!BE616+1,df_extratos!G:G,"CREDITO")
+SUMIFS(df_extratos!I:I,df_extratos!F:F,"&gt;="&amp;Conciliacao!A616, df_extratos!F:F,"&lt;"&amp;Conciliacao!A616+1, df_extratos!G:G,"CREDITO")
+SUMIFS(df_extratos!I:I,df_extratos!F:F,"&gt;="&amp;Conciliacao!BF616,df_extratos!F:F,"&lt;"&amp;Conciliacao!BF616+1,df_extratos!G:G,"CREDITO")
+SUMIFS(df_extratos!I:I,df_extratos!F:F,"&gt;="&amp;Conciliacao!BG616,df_extratos!F:F,"&lt;"&amp;Conciliacao!BG616+1,df_extratos!G:G,"CREDITO")
+SUMIFS(df_extratos!I:I,df_extratos!F:F,"&gt;="&amp;Conciliacao!BH616,df_extratos!F:F,"&lt;"&amp;Conciliacao!BH616+1,df_extratos!G:G,"CREDITO")</f>
        <v/>
      </c>
      <c r="I616" s="9">
        <f>H616-SUM(B616:G616)</f>
        <v/>
      </c>
      <c r="J616" s="4">
        <f>SUMIFS(df_blueme_sem_parcelamento!E:E,df_blueme_sem_parcelamento!H:H,Conciliacao!A616)*(-1)</f>
        <v/>
      </c>
      <c r="K616" s="4">
        <f>SUMIFS(df_blueme_com_parcelamento!J:J,df_blueme_com_parcelamento!M:M,Conciliacao!A616)*(-1)</f>
        <v/>
      </c>
      <c r="L616" s="4">
        <f>SUMIFS(df_mutuos!N:N,df_mutuos!B:B,Conciliacao!A616)*(-1)</f>
        <v/>
      </c>
      <c r="M616" s="8">
        <f>SUMIFS(df_bloqueios_judiciais!G:G,df_bloqueios_judiciais!D:D,Conciliacao!A616,df_bloqueios_judiciais!G:G,"&lt;0")</f>
        <v/>
      </c>
      <c r="N616" s="10">
        <f>SUMIFS(df_extratos!I:I,df_extratos!F:F,"&gt;="&amp;Conciliacao!BE616,df_extratos!F:F,"&lt;"&amp;Conciliacao!BE616+1,df_extratos!G:G,"DEBITO")
+SUMIFS(df_extratos!I:I,df_extratos!F:F,"&gt;="&amp;Conciliacao!A616, df_extratos!F:F,"&lt;"&amp;Conciliacao!A616+1, df_extratos!G:G,"DEBITO")
+SUMIFS(df_extratos!I:I,df_extratos!F:F,"&gt;="&amp;Conciliacao!BF616,df_extratos!F:F,"&lt;"&amp;Conciliacao!BF616+1,df_extratos!G:G,"DEBITO")
+SUMIFS(df_extratos!I:I,df_extratos!F:F,"&gt;="&amp;Conciliacao!BG616,df_extratos!F:F,"&lt;"&amp;Conciliacao!BG616+1,df_extratos!G:G,"DEBITO")
+SUMIFS(df_extratos!I:I,df_extratos!F:F,"&gt;="&amp;Conciliacao!BH616,df_extratos!F:F,"&lt;"&amp;Conciliacao!BH616+1,df_extratos!G:G,"DEBITO")</f>
        <v/>
      </c>
      <c r="O616" s="11">
        <f>N616-SUM(J616:M616)</f>
        <v/>
      </c>
      <c r="P616" s="25">
        <f>SUMIFS(df_ajustes_conciliaco!D:D,df_ajustes_conciliaco!C:C,Conciliacao!A616)</f>
        <v/>
      </c>
      <c r="Q616" s="22">
        <f>O616+I616-P616</f>
        <v/>
      </c>
    </row>
    <row r="617">
      <c r="A617" s="5">
        <f>A616+1</f>
        <v/>
      </c>
      <c r="B617" s="3">
        <f>-SUMIFS(df_extrato_zig!G:G,df_extrato_zig!E:E,Conciliacao!A617,df_extrato_zig!D:D,"Saque")-SUMIFS(df_extrato_zig!G:G,df_extrato_zig!E:E,Conciliacao!A617,df_extrato_zig!D:D,"Antecipação")</f>
        <v/>
      </c>
      <c r="C617" s="3">
        <f>SUMIFS(df_extrato_zig!E:E,df_extrato_zig!L:L,Conciliacao!A617,df_extrato_zig!F:F,"DINHEIRO")</f>
        <v/>
      </c>
      <c r="D617" s="3">
        <f>SUMIFS(view_parc_agrup!H:H,view_parc_agrup!G:G,Conciliacao!A617)</f>
        <v/>
      </c>
      <c r="E617" s="3">
        <f>SUMIFS(df_eventos!F:F,df_eventos!H:H,Conciliacao!A617)</f>
        <v/>
      </c>
      <c r="F617" s="3">
        <f>SUMIFS(df_mutuos!M:M,df_mutuos!B:B,Conciliacao!A617)</f>
        <v/>
      </c>
      <c r="G617" s="6">
        <f>SUMIFS(df_bloqueios_judiciais!G:G,df_bloqueios_judiciais!D:D,Conciliacao!A617,df_bloqueios_judiciais!G:G,"&gt;0")</f>
        <v/>
      </c>
      <c r="H617" s="7">
        <f>SUMIFS(df_extratos!I:I,df_extratos!F:F,"&gt;="&amp;Conciliacao!BE617,df_extratos!F:F,"&lt;"&amp;Conciliacao!BE617+1,df_extratos!G:G,"CREDITO")
+SUMIFS(df_extratos!I:I,df_extratos!F:F,"&gt;="&amp;Conciliacao!A617, df_extratos!F:F,"&lt;"&amp;Conciliacao!A617+1, df_extratos!G:G,"CREDITO")
+SUMIFS(df_extratos!I:I,df_extratos!F:F,"&gt;="&amp;Conciliacao!BF617,df_extratos!F:F,"&lt;"&amp;Conciliacao!BF617+1,df_extratos!G:G,"CREDITO")
+SUMIFS(df_extratos!I:I,df_extratos!F:F,"&gt;="&amp;Conciliacao!BG617,df_extratos!F:F,"&lt;"&amp;Conciliacao!BG617+1,df_extratos!G:G,"CREDITO")
+SUMIFS(df_extratos!I:I,df_extratos!F:F,"&gt;="&amp;Conciliacao!BH617,df_extratos!F:F,"&lt;"&amp;Conciliacao!BH617+1,df_extratos!G:G,"CREDITO")</f>
        <v/>
      </c>
      <c r="I617" s="9">
        <f>H617-SUM(B617:G617)</f>
        <v/>
      </c>
      <c r="J617" s="4">
        <f>SUMIFS(df_blueme_sem_parcelamento!E:E,df_blueme_sem_parcelamento!H:H,Conciliacao!A617)*(-1)</f>
        <v/>
      </c>
      <c r="K617" s="4">
        <f>SUMIFS(df_blueme_com_parcelamento!J:J,df_blueme_com_parcelamento!M:M,Conciliacao!A617)*(-1)</f>
        <v/>
      </c>
      <c r="L617" s="4">
        <f>SUMIFS(df_mutuos!N:N,df_mutuos!B:B,Conciliacao!A617)*(-1)</f>
        <v/>
      </c>
      <c r="M617" s="8">
        <f>SUMIFS(df_bloqueios_judiciais!G:G,df_bloqueios_judiciais!D:D,Conciliacao!A617,df_bloqueios_judiciais!G:G,"&lt;0")</f>
        <v/>
      </c>
      <c r="N617" s="10">
        <f>SUMIFS(df_extratos!I:I,df_extratos!F:F,"&gt;="&amp;Conciliacao!BE617,df_extratos!F:F,"&lt;"&amp;Conciliacao!BE617+1,df_extratos!G:G,"DEBITO")
+SUMIFS(df_extratos!I:I,df_extratos!F:F,"&gt;="&amp;Conciliacao!A617, df_extratos!F:F,"&lt;"&amp;Conciliacao!A617+1, df_extratos!G:G,"DEBITO")
+SUMIFS(df_extratos!I:I,df_extratos!F:F,"&gt;="&amp;Conciliacao!BF617,df_extratos!F:F,"&lt;"&amp;Conciliacao!BF617+1,df_extratos!G:G,"DEBITO")
+SUMIFS(df_extratos!I:I,df_extratos!F:F,"&gt;="&amp;Conciliacao!BG617,df_extratos!F:F,"&lt;"&amp;Conciliacao!BG617+1,df_extratos!G:G,"DEBITO")
+SUMIFS(df_extratos!I:I,df_extratos!F:F,"&gt;="&amp;Conciliacao!BH617,df_extratos!F:F,"&lt;"&amp;Conciliacao!BH617+1,df_extratos!G:G,"DEBITO")</f>
        <v/>
      </c>
      <c r="O617" s="11">
        <f>N617-SUM(J617:M617)</f>
        <v/>
      </c>
      <c r="P617" s="25">
        <f>SUMIFS(df_ajustes_conciliaco!D:D,df_ajustes_conciliaco!C:C,Conciliacao!A617)</f>
        <v/>
      </c>
      <c r="Q617" s="22">
        <f>O617+I617-P617</f>
        <v/>
      </c>
    </row>
    <row r="618">
      <c r="A618" s="5">
        <f>A617+1</f>
        <v/>
      </c>
      <c r="B618" s="3">
        <f>-SUMIFS(df_extrato_zig!G:G,df_extrato_zig!E:E,Conciliacao!A618,df_extrato_zig!D:D,"Saque")-SUMIFS(df_extrato_zig!G:G,df_extrato_zig!E:E,Conciliacao!A618,df_extrato_zig!D:D,"Antecipação")</f>
        <v/>
      </c>
      <c r="C618" s="3">
        <f>SUMIFS(df_extrato_zig!E:E,df_extrato_zig!L:L,Conciliacao!A618,df_extrato_zig!F:F,"DINHEIRO")</f>
        <v/>
      </c>
      <c r="D618" s="3">
        <f>SUMIFS(view_parc_agrup!H:H,view_parc_agrup!G:G,Conciliacao!A618)</f>
        <v/>
      </c>
      <c r="E618" s="3">
        <f>SUMIFS(df_eventos!F:F,df_eventos!H:H,Conciliacao!A618)</f>
        <v/>
      </c>
      <c r="F618" s="3">
        <f>SUMIFS(df_mutuos!M:M,df_mutuos!B:B,Conciliacao!A618)</f>
        <v/>
      </c>
      <c r="G618" s="6">
        <f>SUMIFS(df_bloqueios_judiciais!G:G,df_bloqueios_judiciais!D:D,Conciliacao!A618,df_bloqueios_judiciais!G:G,"&gt;0")</f>
        <v/>
      </c>
      <c r="H618" s="7">
        <f>SUMIFS(df_extratos!I:I,df_extratos!F:F,"&gt;="&amp;Conciliacao!BE618,df_extratos!F:F,"&lt;"&amp;Conciliacao!BE618+1,df_extratos!G:G,"CREDITO")
+SUMIFS(df_extratos!I:I,df_extratos!F:F,"&gt;="&amp;Conciliacao!A618, df_extratos!F:F,"&lt;"&amp;Conciliacao!A618+1, df_extratos!G:G,"CREDITO")
+SUMIFS(df_extratos!I:I,df_extratos!F:F,"&gt;="&amp;Conciliacao!BF618,df_extratos!F:F,"&lt;"&amp;Conciliacao!BF618+1,df_extratos!G:G,"CREDITO")
+SUMIFS(df_extratos!I:I,df_extratos!F:F,"&gt;="&amp;Conciliacao!BG618,df_extratos!F:F,"&lt;"&amp;Conciliacao!BG618+1,df_extratos!G:G,"CREDITO")
+SUMIFS(df_extratos!I:I,df_extratos!F:F,"&gt;="&amp;Conciliacao!BH618,df_extratos!F:F,"&lt;"&amp;Conciliacao!BH618+1,df_extratos!G:G,"CREDITO")</f>
        <v/>
      </c>
      <c r="I618" s="9">
        <f>H618-SUM(B618:G618)</f>
        <v/>
      </c>
      <c r="J618" s="4">
        <f>SUMIFS(df_blueme_sem_parcelamento!E:E,df_blueme_sem_parcelamento!H:H,Conciliacao!A618)*(-1)</f>
        <v/>
      </c>
      <c r="K618" s="4">
        <f>SUMIFS(df_blueme_com_parcelamento!J:J,df_blueme_com_parcelamento!M:M,Conciliacao!A618)*(-1)</f>
        <v/>
      </c>
      <c r="L618" s="4">
        <f>SUMIFS(df_mutuos!N:N,df_mutuos!B:B,Conciliacao!A618)*(-1)</f>
        <v/>
      </c>
      <c r="M618" s="8">
        <f>SUMIFS(df_bloqueios_judiciais!G:G,df_bloqueios_judiciais!D:D,Conciliacao!A618,df_bloqueios_judiciais!G:G,"&lt;0")</f>
        <v/>
      </c>
      <c r="N618" s="10">
        <f>SUMIFS(df_extratos!I:I,df_extratos!F:F,"&gt;="&amp;Conciliacao!BE618,df_extratos!F:F,"&lt;"&amp;Conciliacao!BE618+1,df_extratos!G:G,"DEBITO")
+SUMIFS(df_extratos!I:I,df_extratos!F:F,"&gt;="&amp;Conciliacao!A618, df_extratos!F:F,"&lt;"&amp;Conciliacao!A618+1, df_extratos!G:G,"DEBITO")
+SUMIFS(df_extratos!I:I,df_extratos!F:F,"&gt;="&amp;Conciliacao!BF618,df_extratos!F:F,"&lt;"&amp;Conciliacao!BF618+1,df_extratos!G:G,"DEBITO")
+SUMIFS(df_extratos!I:I,df_extratos!F:F,"&gt;="&amp;Conciliacao!BG618,df_extratos!F:F,"&lt;"&amp;Conciliacao!BG618+1,df_extratos!G:G,"DEBITO")
+SUMIFS(df_extratos!I:I,df_extratos!F:F,"&gt;="&amp;Conciliacao!BH618,df_extratos!F:F,"&lt;"&amp;Conciliacao!BH618+1,df_extratos!G:G,"DEBITO")</f>
        <v/>
      </c>
      <c r="O618" s="11">
        <f>N618-SUM(J618:M618)</f>
        <v/>
      </c>
      <c r="P618" s="25">
        <f>SUMIFS(df_ajustes_conciliaco!D:D,df_ajustes_conciliaco!C:C,Conciliacao!A618)</f>
        <v/>
      </c>
      <c r="Q618" s="22">
        <f>O618+I618-P618</f>
        <v/>
      </c>
    </row>
    <row r="619">
      <c r="A619" s="5">
        <f>A618+1</f>
        <v/>
      </c>
      <c r="B619" s="3">
        <f>-SUMIFS(df_extrato_zig!G:G,df_extrato_zig!E:E,Conciliacao!A619,df_extrato_zig!D:D,"Saque")-SUMIFS(df_extrato_zig!G:G,df_extrato_zig!E:E,Conciliacao!A619,df_extrato_zig!D:D,"Antecipação")</f>
        <v/>
      </c>
      <c r="C619" s="3">
        <f>SUMIFS(df_extrato_zig!E:E,df_extrato_zig!L:L,Conciliacao!A619,df_extrato_zig!F:F,"DINHEIRO")</f>
        <v/>
      </c>
      <c r="D619" s="3">
        <f>SUMIFS(view_parc_agrup!H:H,view_parc_agrup!G:G,Conciliacao!A619)</f>
        <v/>
      </c>
      <c r="E619" s="3">
        <f>SUMIFS(df_eventos!F:F,df_eventos!H:H,Conciliacao!A619)</f>
        <v/>
      </c>
      <c r="F619" s="3">
        <f>SUMIFS(df_mutuos!M:M,df_mutuos!B:B,Conciliacao!A619)</f>
        <v/>
      </c>
      <c r="G619" s="6">
        <f>SUMIFS(df_bloqueios_judiciais!G:G,df_bloqueios_judiciais!D:D,Conciliacao!A619,df_bloqueios_judiciais!G:G,"&gt;0")</f>
        <v/>
      </c>
      <c r="H619" s="7">
        <f>SUMIFS(df_extratos!I:I,df_extratos!F:F,"&gt;="&amp;Conciliacao!BE619,df_extratos!F:F,"&lt;"&amp;Conciliacao!BE619+1,df_extratos!G:G,"CREDITO")
+SUMIFS(df_extratos!I:I,df_extratos!F:F,"&gt;="&amp;Conciliacao!A619, df_extratos!F:F,"&lt;"&amp;Conciliacao!A619+1, df_extratos!G:G,"CREDITO")
+SUMIFS(df_extratos!I:I,df_extratos!F:F,"&gt;="&amp;Conciliacao!BF619,df_extratos!F:F,"&lt;"&amp;Conciliacao!BF619+1,df_extratos!G:G,"CREDITO")
+SUMIFS(df_extratos!I:I,df_extratos!F:F,"&gt;="&amp;Conciliacao!BG619,df_extratos!F:F,"&lt;"&amp;Conciliacao!BG619+1,df_extratos!G:G,"CREDITO")
+SUMIFS(df_extratos!I:I,df_extratos!F:F,"&gt;="&amp;Conciliacao!BH619,df_extratos!F:F,"&lt;"&amp;Conciliacao!BH619+1,df_extratos!G:G,"CREDITO")</f>
        <v/>
      </c>
      <c r="I619" s="9">
        <f>H619-SUM(B619:G619)</f>
        <v/>
      </c>
      <c r="J619" s="4">
        <f>SUMIFS(df_blueme_sem_parcelamento!E:E,df_blueme_sem_parcelamento!H:H,Conciliacao!A619)*(-1)</f>
        <v/>
      </c>
      <c r="K619" s="4">
        <f>SUMIFS(df_blueme_com_parcelamento!J:J,df_blueme_com_parcelamento!M:M,Conciliacao!A619)*(-1)</f>
        <v/>
      </c>
      <c r="L619" s="4">
        <f>SUMIFS(df_mutuos!N:N,df_mutuos!B:B,Conciliacao!A619)*(-1)</f>
        <v/>
      </c>
      <c r="M619" s="8">
        <f>SUMIFS(df_bloqueios_judiciais!G:G,df_bloqueios_judiciais!D:D,Conciliacao!A619,df_bloqueios_judiciais!G:G,"&lt;0")</f>
        <v/>
      </c>
      <c r="N619" s="10">
        <f>SUMIFS(df_extratos!I:I,df_extratos!F:F,"&gt;="&amp;Conciliacao!BE619,df_extratos!F:F,"&lt;"&amp;Conciliacao!BE619+1,df_extratos!G:G,"DEBITO")
+SUMIFS(df_extratos!I:I,df_extratos!F:F,"&gt;="&amp;Conciliacao!A619, df_extratos!F:F,"&lt;"&amp;Conciliacao!A619+1, df_extratos!G:G,"DEBITO")
+SUMIFS(df_extratos!I:I,df_extratos!F:F,"&gt;="&amp;Conciliacao!BF619,df_extratos!F:F,"&lt;"&amp;Conciliacao!BF619+1,df_extratos!G:G,"DEBITO")
+SUMIFS(df_extratos!I:I,df_extratos!F:F,"&gt;="&amp;Conciliacao!BG619,df_extratos!F:F,"&lt;"&amp;Conciliacao!BG619+1,df_extratos!G:G,"DEBITO")
+SUMIFS(df_extratos!I:I,df_extratos!F:F,"&gt;="&amp;Conciliacao!BH619,df_extratos!F:F,"&lt;"&amp;Conciliacao!BH619+1,df_extratos!G:G,"DEBITO")</f>
        <v/>
      </c>
      <c r="O619" s="11">
        <f>N619-SUM(J619:M619)</f>
        <v/>
      </c>
      <c r="P619" s="25">
        <f>SUMIFS(df_ajustes_conciliaco!D:D,df_ajustes_conciliaco!C:C,Conciliacao!A619)</f>
        <v/>
      </c>
      <c r="Q619" s="22">
        <f>O619+I619-P619</f>
        <v/>
      </c>
    </row>
    <row r="620">
      <c r="A620" s="5">
        <f>A619+1</f>
        <v/>
      </c>
      <c r="B620" s="3">
        <f>-SUMIFS(df_extrato_zig!G:G,df_extrato_zig!E:E,Conciliacao!A620,df_extrato_zig!D:D,"Saque")-SUMIFS(df_extrato_zig!G:G,df_extrato_zig!E:E,Conciliacao!A620,df_extrato_zig!D:D,"Antecipação")</f>
        <v/>
      </c>
      <c r="C620" s="3">
        <f>SUMIFS(df_extrato_zig!E:E,df_extrato_zig!L:L,Conciliacao!A620,df_extrato_zig!F:F,"DINHEIRO")</f>
        <v/>
      </c>
      <c r="D620" s="3">
        <f>SUMIFS(view_parc_agrup!H:H,view_parc_agrup!G:G,Conciliacao!A620)</f>
        <v/>
      </c>
      <c r="E620" s="3">
        <f>SUMIFS(df_eventos!F:F,df_eventos!H:H,Conciliacao!A620)</f>
        <v/>
      </c>
      <c r="F620" s="3">
        <f>SUMIFS(df_mutuos!M:M,df_mutuos!B:B,Conciliacao!A620)</f>
        <v/>
      </c>
      <c r="G620" s="6">
        <f>SUMIFS(df_bloqueios_judiciais!G:G,df_bloqueios_judiciais!D:D,Conciliacao!A620,df_bloqueios_judiciais!G:G,"&gt;0")</f>
        <v/>
      </c>
      <c r="H620" s="7">
        <f>SUMIFS(df_extratos!I:I,df_extratos!F:F,"&gt;="&amp;Conciliacao!BE620,df_extratos!F:F,"&lt;"&amp;Conciliacao!BE620+1,df_extratos!G:G,"CREDITO")
+SUMIFS(df_extratos!I:I,df_extratos!F:F,"&gt;="&amp;Conciliacao!A620, df_extratos!F:F,"&lt;"&amp;Conciliacao!A620+1, df_extratos!G:G,"CREDITO")
+SUMIFS(df_extratos!I:I,df_extratos!F:F,"&gt;="&amp;Conciliacao!BF620,df_extratos!F:F,"&lt;"&amp;Conciliacao!BF620+1,df_extratos!G:G,"CREDITO")
+SUMIFS(df_extratos!I:I,df_extratos!F:F,"&gt;="&amp;Conciliacao!BG620,df_extratos!F:F,"&lt;"&amp;Conciliacao!BG620+1,df_extratos!G:G,"CREDITO")
+SUMIFS(df_extratos!I:I,df_extratos!F:F,"&gt;="&amp;Conciliacao!BH620,df_extratos!F:F,"&lt;"&amp;Conciliacao!BH620+1,df_extratos!G:G,"CREDITO")</f>
        <v/>
      </c>
      <c r="I620" s="9">
        <f>H620-SUM(B620:G620)</f>
        <v/>
      </c>
      <c r="J620" s="4">
        <f>SUMIFS(df_blueme_sem_parcelamento!E:E,df_blueme_sem_parcelamento!H:H,Conciliacao!A620)*(-1)</f>
        <v/>
      </c>
      <c r="K620" s="4">
        <f>SUMIFS(df_blueme_com_parcelamento!J:J,df_blueme_com_parcelamento!M:M,Conciliacao!A620)*(-1)</f>
        <v/>
      </c>
      <c r="L620" s="4">
        <f>SUMIFS(df_mutuos!N:N,df_mutuos!B:B,Conciliacao!A620)*(-1)</f>
        <v/>
      </c>
      <c r="M620" s="8">
        <f>SUMIFS(df_bloqueios_judiciais!G:G,df_bloqueios_judiciais!D:D,Conciliacao!A620,df_bloqueios_judiciais!G:G,"&lt;0")</f>
        <v/>
      </c>
      <c r="N620" s="10">
        <f>SUMIFS(df_extratos!I:I,df_extratos!F:F,"&gt;="&amp;Conciliacao!BE620,df_extratos!F:F,"&lt;"&amp;Conciliacao!BE620+1,df_extratos!G:G,"DEBITO")
+SUMIFS(df_extratos!I:I,df_extratos!F:F,"&gt;="&amp;Conciliacao!A620, df_extratos!F:F,"&lt;"&amp;Conciliacao!A620+1, df_extratos!G:G,"DEBITO")
+SUMIFS(df_extratos!I:I,df_extratos!F:F,"&gt;="&amp;Conciliacao!BF620,df_extratos!F:F,"&lt;"&amp;Conciliacao!BF620+1,df_extratos!G:G,"DEBITO")
+SUMIFS(df_extratos!I:I,df_extratos!F:F,"&gt;="&amp;Conciliacao!BG620,df_extratos!F:F,"&lt;"&amp;Conciliacao!BG620+1,df_extratos!G:G,"DEBITO")
+SUMIFS(df_extratos!I:I,df_extratos!F:F,"&gt;="&amp;Conciliacao!BH620,df_extratos!F:F,"&lt;"&amp;Conciliacao!BH620+1,df_extratos!G:G,"DEBITO")</f>
        <v/>
      </c>
      <c r="O620" s="11">
        <f>N620-SUM(J620:M620)</f>
        <v/>
      </c>
      <c r="P620" s="25">
        <f>SUMIFS(df_ajustes_conciliaco!D:D,df_ajustes_conciliaco!C:C,Conciliacao!A620)</f>
        <v/>
      </c>
      <c r="Q620" s="22">
        <f>O620+I620-P620</f>
        <v/>
      </c>
    </row>
    <row r="621">
      <c r="A621" s="5">
        <f>A620+1</f>
        <v/>
      </c>
      <c r="B621" s="3">
        <f>-SUMIFS(df_extrato_zig!G:G,df_extrato_zig!E:E,Conciliacao!A621,df_extrato_zig!D:D,"Saque")-SUMIFS(df_extrato_zig!G:G,df_extrato_zig!E:E,Conciliacao!A621,df_extrato_zig!D:D,"Antecipação")</f>
        <v/>
      </c>
      <c r="C621" s="3">
        <f>SUMIFS(df_extrato_zig!E:E,df_extrato_zig!L:L,Conciliacao!A621,df_extrato_zig!F:F,"DINHEIRO")</f>
        <v/>
      </c>
      <c r="D621" s="3">
        <f>SUMIFS(view_parc_agrup!H:H,view_parc_agrup!G:G,Conciliacao!A621)</f>
        <v/>
      </c>
      <c r="E621" s="3">
        <f>SUMIFS(df_eventos!F:F,df_eventos!H:H,Conciliacao!A621)</f>
        <v/>
      </c>
      <c r="F621" s="3">
        <f>SUMIFS(df_mutuos!M:M,df_mutuos!B:B,Conciliacao!A621)</f>
        <v/>
      </c>
      <c r="G621" s="6">
        <f>SUMIFS(df_bloqueios_judiciais!G:G,df_bloqueios_judiciais!D:D,Conciliacao!A621,df_bloqueios_judiciais!G:G,"&gt;0")</f>
        <v/>
      </c>
      <c r="H621" s="7">
        <f>SUMIFS(df_extratos!I:I,df_extratos!F:F,"&gt;="&amp;Conciliacao!BE621,df_extratos!F:F,"&lt;"&amp;Conciliacao!BE621+1,df_extratos!G:G,"CREDITO")
+SUMIFS(df_extratos!I:I,df_extratos!F:F,"&gt;="&amp;Conciliacao!A621, df_extratos!F:F,"&lt;"&amp;Conciliacao!A621+1, df_extratos!G:G,"CREDITO")
+SUMIFS(df_extratos!I:I,df_extratos!F:F,"&gt;="&amp;Conciliacao!BF621,df_extratos!F:F,"&lt;"&amp;Conciliacao!BF621+1,df_extratos!G:G,"CREDITO")
+SUMIFS(df_extratos!I:I,df_extratos!F:F,"&gt;="&amp;Conciliacao!BG621,df_extratos!F:F,"&lt;"&amp;Conciliacao!BG621+1,df_extratos!G:G,"CREDITO")
+SUMIFS(df_extratos!I:I,df_extratos!F:F,"&gt;="&amp;Conciliacao!BH621,df_extratos!F:F,"&lt;"&amp;Conciliacao!BH621+1,df_extratos!G:G,"CREDITO")</f>
        <v/>
      </c>
      <c r="I621" s="9">
        <f>H621-SUM(B621:G621)</f>
        <v/>
      </c>
      <c r="J621" s="4">
        <f>SUMIFS(df_blueme_sem_parcelamento!E:E,df_blueme_sem_parcelamento!H:H,Conciliacao!A621)*(-1)</f>
        <v/>
      </c>
      <c r="K621" s="4">
        <f>SUMIFS(df_blueme_com_parcelamento!J:J,df_blueme_com_parcelamento!M:M,Conciliacao!A621)*(-1)</f>
        <v/>
      </c>
      <c r="L621" s="4">
        <f>SUMIFS(df_mutuos!N:N,df_mutuos!B:B,Conciliacao!A621)*(-1)</f>
        <v/>
      </c>
      <c r="M621" s="8">
        <f>SUMIFS(df_bloqueios_judiciais!G:G,df_bloqueios_judiciais!D:D,Conciliacao!A621,df_bloqueios_judiciais!G:G,"&lt;0")</f>
        <v/>
      </c>
      <c r="N621" s="10">
        <f>SUMIFS(df_extratos!I:I,df_extratos!F:F,"&gt;="&amp;Conciliacao!BE621,df_extratos!F:F,"&lt;"&amp;Conciliacao!BE621+1,df_extratos!G:G,"DEBITO")
+SUMIFS(df_extratos!I:I,df_extratos!F:F,"&gt;="&amp;Conciliacao!A621, df_extratos!F:F,"&lt;"&amp;Conciliacao!A621+1, df_extratos!G:G,"DEBITO")
+SUMIFS(df_extratos!I:I,df_extratos!F:F,"&gt;="&amp;Conciliacao!BF621,df_extratos!F:F,"&lt;"&amp;Conciliacao!BF621+1,df_extratos!G:G,"DEBITO")
+SUMIFS(df_extratos!I:I,df_extratos!F:F,"&gt;="&amp;Conciliacao!BG621,df_extratos!F:F,"&lt;"&amp;Conciliacao!BG621+1,df_extratos!G:G,"DEBITO")
+SUMIFS(df_extratos!I:I,df_extratos!F:F,"&gt;="&amp;Conciliacao!BH621,df_extratos!F:F,"&lt;"&amp;Conciliacao!BH621+1,df_extratos!G:G,"DEBITO")</f>
        <v/>
      </c>
      <c r="O621" s="11">
        <f>N621-SUM(J621:M621)</f>
        <v/>
      </c>
      <c r="P621" s="25">
        <f>SUMIFS(df_ajustes_conciliaco!D:D,df_ajustes_conciliaco!C:C,Conciliacao!A621)</f>
        <v/>
      </c>
      <c r="Q621" s="22">
        <f>O621+I621-P621</f>
        <v/>
      </c>
    </row>
    <row r="622">
      <c r="A622" s="5">
        <f>A621+1</f>
        <v/>
      </c>
      <c r="B622" s="3">
        <f>-SUMIFS(df_extrato_zig!G:G,df_extrato_zig!E:E,Conciliacao!A622,df_extrato_zig!D:D,"Saque")-SUMIFS(df_extrato_zig!G:G,df_extrato_zig!E:E,Conciliacao!A622,df_extrato_zig!D:D,"Antecipação")</f>
        <v/>
      </c>
      <c r="C622" s="3">
        <f>SUMIFS(df_extrato_zig!E:E,df_extrato_zig!L:L,Conciliacao!A622,df_extrato_zig!F:F,"DINHEIRO")</f>
        <v/>
      </c>
      <c r="D622" s="3">
        <f>SUMIFS(view_parc_agrup!H:H,view_parc_agrup!G:G,Conciliacao!A622)</f>
        <v/>
      </c>
      <c r="E622" s="3">
        <f>SUMIFS(df_eventos!F:F,df_eventos!H:H,Conciliacao!A622)</f>
        <v/>
      </c>
      <c r="F622" s="3">
        <f>SUMIFS(df_mutuos!M:M,df_mutuos!B:B,Conciliacao!A622)</f>
        <v/>
      </c>
      <c r="G622" s="6">
        <f>SUMIFS(df_bloqueios_judiciais!G:G,df_bloqueios_judiciais!D:D,Conciliacao!A622,df_bloqueios_judiciais!G:G,"&gt;0")</f>
        <v/>
      </c>
      <c r="H622" s="7">
        <f>SUMIFS(df_extratos!I:I,df_extratos!F:F,"&gt;="&amp;Conciliacao!BE622,df_extratos!F:F,"&lt;"&amp;Conciliacao!BE622+1,df_extratos!G:G,"CREDITO")
+SUMIFS(df_extratos!I:I,df_extratos!F:F,"&gt;="&amp;Conciliacao!A622, df_extratos!F:F,"&lt;"&amp;Conciliacao!A622+1, df_extratos!G:G,"CREDITO")
+SUMIFS(df_extratos!I:I,df_extratos!F:F,"&gt;="&amp;Conciliacao!BF622,df_extratos!F:F,"&lt;"&amp;Conciliacao!BF622+1,df_extratos!G:G,"CREDITO")
+SUMIFS(df_extratos!I:I,df_extratos!F:F,"&gt;="&amp;Conciliacao!BG622,df_extratos!F:F,"&lt;"&amp;Conciliacao!BG622+1,df_extratos!G:G,"CREDITO")
+SUMIFS(df_extratos!I:I,df_extratos!F:F,"&gt;="&amp;Conciliacao!BH622,df_extratos!F:F,"&lt;"&amp;Conciliacao!BH622+1,df_extratos!G:G,"CREDITO")</f>
        <v/>
      </c>
      <c r="I622" s="9">
        <f>H622-SUM(B622:G622)</f>
        <v/>
      </c>
      <c r="J622" s="4">
        <f>SUMIFS(df_blueme_sem_parcelamento!E:E,df_blueme_sem_parcelamento!H:H,Conciliacao!A622)*(-1)</f>
        <v/>
      </c>
      <c r="K622" s="4">
        <f>SUMIFS(df_blueme_com_parcelamento!J:J,df_blueme_com_parcelamento!M:M,Conciliacao!A622)*(-1)</f>
        <v/>
      </c>
      <c r="L622" s="4">
        <f>SUMIFS(df_mutuos!N:N,df_mutuos!B:B,Conciliacao!A622)*(-1)</f>
        <v/>
      </c>
      <c r="M622" s="8">
        <f>SUMIFS(df_bloqueios_judiciais!G:G,df_bloqueios_judiciais!D:D,Conciliacao!A622,df_bloqueios_judiciais!G:G,"&lt;0")</f>
        <v/>
      </c>
      <c r="N622" s="10">
        <f>SUMIFS(df_extratos!I:I,df_extratos!F:F,"&gt;="&amp;Conciliacao!BE622,df_extratos!F:F,"&lt;"&amp;Conciliacao!BE622+1,df_extratos!G:G,"DEBITO")
+SUMIFS(df_extratos!I:I,df_extratos!F:F,"&gt;="&amp;Conciliacao!A622, df_extratos!F:F,"&lt;"&amp;Conciliacao!A622+1, df_extratos!G:G,"DEBITO")
+SUMIFS(df_extratos!I:I,df_extratos!F:F,"&gt;="&amp;Conciliacao!BF622,df_extratos!F:F,"&lt;"&amp;Conciliacao!BF622+1,df_extratos!G:G,"DEBITO")
+SUMIFS(df_extratos!I:I,df_extratos!F:F,"&gt;="&amp;Conciliacao!BG622,df_extratos!F:F,"&lt;"&amp;Conciliacao!BG622+1,df_extratos!G:G,"DEBITO")
+SUMIFS(df_extratos!I:I,df_extratos!F:F,"&gt;="&amp;Conciliacao!BH622,df_extratos!F:F,"&lt;"&amp;Conciliacao!BH622+1,df_extratos!G:G,"DEBITO")</f>
        <v/>
      </c>
      <c r="O622" s="11">
        <f>N622-SUM(J622:M622)</f>
        <v/>
      </c>
      <c r="P622" s="25">
        <f>SUMIFS(df_ajustes_conciliaco!D:D,df_ajustes_conciliaco!C:C,Conciliacao!A622)</f>
        <v/>
      </c>
      <c r="Q622" s="22">
        <f>O622+I622-P622</f>
        <v/>
      </c>
    </row>
    <row r="623">
      <c r="A623" s="5">
        <f>A622+1</f>
        <v/>
      </c>
      <c r="B623" s="3">
        <f>-SUMIFS(df_extrato_zig!G:G,df_extrato_zig!E:E,Conciliacao!A623,df_extrato_zig!D:D,"Saque")-SUMIFS(df_extrato_zig!G:G,df_extrato_zig!E:E,Conciliacao!A623,df_extrato_zig!D:D,"Antecipação")</f>
        <v/>
      </c>
      <c r="C623" s="3">
        <f>SUMIFS(df_extrato_zig!E:E,df_extrato_zig!L:L,Conciliacao!A623,df_extrato_zig!F:F,"DINHEIRO")</f>
        <v/>
      </c>
      <c r="D623" s="3">
        <f>SUMIFS(view_parc_agrup!H:H,view_parc_agrup!G:G,Conciliacao!A623)</f>
        <v/>
      </c>
      <c r="E623" s="3">
        <f>SUMIFS(df_eventos!F:F,df_eventos!H:H,Conciliacao!A623)</f>
        <v/>
      </c>
      <c r="F623" s="3">
        <f>SUMIFS(df_mutuos!M:M,df_mutuos!B:B,Conciliacao!A623)</f>
        <v/>
      </c>
      <c r="G623" s="6">
        <f>SUMIFS(df_bloqueios_judiciais!G:G,df_bloqueios_judiciais!D:D,Conciliacao!A623,df_bloqueios_judiciais!G:G,"&gt;0")</f>
        <v/>
      </c>
      <c r="H623" s="7">
        <f>SUMIFS(df_extratos!I:I,df_extratos!F:F,"&gt;="&amp;Conciliacao!BE623,df_extratos!F:F,"&lt;"&amp;Conciliacao!BE623+1,df_extratos!G:G,"CREDITO")
+SUMIFS(df_extratos!I:I,df_extratos!F:F,"&gt;="&amp;Conciliacao!A623, df_extratos!F:F,"&lt;"&amp;Conciliacao!A623+1, df_extratos!G:G,"CREDITO")
+SUMIFS(df_extratos!I:I,df_extratos!F:F,"&gt;="&amp;Conciliacao!BF623,df_extratos!F:F,"&lt;"&amp;Conciliacao!BF623+1,df_extratos!G:G,"CREDITO")
+SUMIFS(df_extratos!I:I,df_extratos!F:F,"&gt;="&amp;Conciliacao!BG623,df_extratos!F:F,"&lt;"&amp;Conciliacao!BG623+1,df_extratos!G:G,"CREDITO")
+SUMIFS(df_extratos!I:I,df_extratos!F:F,"&gt;="&amp;Conciliacao!BH623,df_extratos!F:F,"&lt;"&amp;Conciliacao!BH623+1,df_extratos!G:G,"CREDITO")</f>
        <v/>
      </c>
      <c r="I623" s="9">
        <f>H623-SUM(B623:G623)</f>
        <v/>
      </c>
      <c r="J623" s="4">
        <f>SUMIFS(df_blueme_sem_parcelamento!E:E,df_blueme_sem_parcelamento!H:H,Conciliacao!A623)*(-1)</f>
        <v/>
      </c>
      <c r="K623" s="4">
        <f>SUMIFS(df_blueme_com_parcelamento!J:J,df_blueme_com_parcelamento!M:M,Conciliacao!A623)*(-1)</f>
        <v/>
      </c>
      <c r="L623" s="4">
        <f>SUMIFS(df_mutuos!N:N,df_mutuos!B:B,Conciliacao!A623)*(-1)</f>
        <v/>
      </c>
      <c r="M623" s="8">
        <f>SUMIFS(df_bloqueios_judiciais!G:G,df_bloqueios_judiciais!D:D,Conciliacao!A623,df_bloqueios_judiciais!G:G,"&lt;0")</f>
        <v/>
      </c>
      <c r="N623" s="10">
        <f>SUMIFS(df_extratos!I:I,df_extratos!F:F,"&gt;="&amp;Conciliacao!BE623,df_extratos!F:F,"&lt;"&amp;Conciliacao!BE623+1,df_extratos!G:G,"DEBITO")
+SUMIFS(df_extratos!I:I,df_extratos!F:F,"&gt;="&amp;Conciliacao!A623, df_extratos!F:F,"&lt;"&amp;Conciliacao!A623+1, df_extratos!G:G,"DEBITO")
+SUMIFS(df_extratos!I:I,df_extratos!F:F,"&gt;="&amp;Conciliacao!BF623,df_extratos!F:F,"&lt;"&amp;Conciliacao!BF623+1,df_extratos!G:G,"DEBITO")
+SUMIFS(df_extratos!I:I,df_extratos!F:F,"&gt;="&amp;Conciliacao!BG623,df_extratos!F:F,"&lt;"&amp;Conciliacao!BG623+1,df_extratos!G:G,"DEBITO")
+SUMIFS(df_extratos!I:I,df_extratos!F:F,"&gt;="&amp;Conciliacao!BH623,df_extratos!F:F,"&lt;"&amp;Conciliacao!BH623+1,df_extratos!G:G,"DEBITO")</f>
        <v/>
      </c>
      <c r="O623" s="11">
        <f>N623-SUM(J623:M623)</f>
        <v/>
      </c>
      <c r="P623" s="25">
        <f>SUMIFS(df_ajustes_conciliaco!D:D,df_ajustes_conciliaco!C:C,Conciliacao!A623)</f>
        <v/>
      </c>
      <c r="Q623" s="22">
        <f>O623+I623-P623</f>
        <v/>
      </c>
    </row>
    <row r="624">
      <c r="A624" s="5">
        <f>A623+1</f>
        <v/>
      </c>
      <c r="B624" s="3">
        <f>-SUMIFS(df_extrato_zig!G:G,df_extrato_zig!E:E,Conciliacao!A624,df_extrato_zig!D:D,"Saque")-SUMIFS(df_extrato_zig!G:G,df_extrato_zig!E:E,Conciliacao!A624,df_extrato_zig!D:D,"Antecipação")</f>
        <v/>
      </c>
      <c r="C624" s="3">
        <f>SUMIFS(df_extrato_zig!E:E,df_extrato_zig!L:L,Conciliacao!A624,df_extrato_zig!F:F,"DINHEIRO")</f>
        <v/>
      </c>
      <c r="D624" s="3">
        <f>SUMIFS(view_parc_agrup!H:H,view_parc_agrup!G:G,Conciliacao!A624)</f>
        <v/>
      </c>
      <c r="E624" s="3">
        <f>SUMIFS(df_eventos!F:F,df_eventos!H:H,Conciliacao!A624)</f>
        <v/>
      </c>
      <c r="F624" s="3">
        <f>SUMIFS(df_mutuos!M:M,df_mutuos!B:B,Conciliacao!A624)</f>
        <v/>
      </c>
      <c r="G624" s="6">
        <f>SUMIFS(df_bloqueios_judiciais!G:G,df_bloqueios_judiciais!D:D,Conciliacao!A624,df_bloqueios_judiciais!G:G,"&gt;0")</f>
        <v/>
      </c>
      <c r="H624" s="7">
        <f>SUMIFS(df_extratos!I:I,df_extratos!F:F,"&gt;="&amp;Conciliacao!BE624,df_extratos!F:F,"&lt;"&amp;Conciliacao!BE624+1,df_extratos!G:G,"CREDITO")
+SUMIFS(df_extratos!I:I,df_extratos!F:F,"&gt;="&amp;Conciliacao!A624, df_extratos!F:F,"&lt;"&amp;Conciliacao!A624+1, df_extratos!G:G,"CREDITO")
+SUMIFS(df_extratos!I:I,df_extratos!F:F,"&gt;="&amp;Conciliacao!BF624,df_extratos!F:F,"&lt;"&amp;Conciliacao!BF624+1,df_extratos!G:G,"CREDITO")
+SUMIFS(df_extratos!I:I,df_extratos!F:F,"&gt;="&amp;Conciliacao!BG624,df_extratos!F:F,"&lt;"&amp;Conciliacao!BG624+1,df_extratos!G:G,"CREDITO")
+SUMIFS(df_extratos!I:I,df_extratos!F:F,"&gt;="&amp;Conciliacao!BH624,df_extratos!F:F,"&lt;"&amp;Conciliacao!BH624+1,df_extratos!G:G,"CREDITO")</f>
        <v/>
      </c>
      <c r="I624" s="9">
        <f>H624-SUM(B624:G624)</f>
        <v/>
      </c>
      <c r="J624" s="4">
        <f>SUMIFS(df_blueme_sem_parcelamento!E:E,df_blueme_sem_parcelamento!H:H,Conciliacao!A624)*(-1)</f>
        <v/>
      </c>
      <c r="K624" s="4">
        <f>SUMIFS(df_blueme_com_parcelamento!J:J,df_blueme_com_parcelamento!M:M,Conciliacao!A624)*(-1)</f>
        <v/>
      </c>
      <c r="L624" s="4">
        <f>SUMIFS(df_mutuos!N:N,df_mutuos!B:B,Conciliacao!A624)*(-1)</f>
        <v/>
      </c>
      <c r="M624" s="8">
        <f>SUMIFS(df_bloqueios_judiciais!G:G,df_bloqueios_judiciais!D:D,Conciliacao!A624,df_bloqueios_judiciais!G:G,"&lt;0")</f>
        <v/>
      </c>
      <c r="N624" s="10">
        <f>SUMIFS(df_extratos!I:I,df_extratos!F:F,"&gt;="&amp;Conciliacao!BE624,df_extratos!F:F,"&lt;"&amp;Conciliacao!BE624+1,df_extratos!G:G,"DEBITO")
+SUMIFS(df_extratos!I:I,df_extratos!F:F,"&gt;="&amp;Conciliacao!A624, df_extratos!F:F,"&lt;"&amp;Conciliacao!A624+1, df_extratos!G:G,"DEBITO")
+SUMIFS(df_extratos!I:I,df_extratos!F:F,"&gt;="&amp;Conciliacao!BF624,df_extratos!F:F,"&lt;"&amp;Conciliacao!BF624+1,df_extratos!G:G,"DEBITO")
+SUMIFS(df_extratos!I:I,df_extratos!F:F,"&gt;="&amp;Conciliacao!BG624,df_extratos!F:F,"&lt;"&amp;Conciliacao!BG624+1,df_extratos!G:G,"DEBITO")
+SUMIFS(df_extratos!I:I,df_extratos!F:F,"&gt;="&amp;Conciliacao!BH624,df_extratos!F:F,"&lt;"&amp;Conciliacao!BH624+1,df_extratos!G:G,"DEBITO")</f>
        <v/>
      </c>
      <c r="O624" s="11">
        <f>N624-SUM(J624:M624)</f>
        <v/>
      </c>
      <c r="P624" s="25">
        <f>SUMIFS(df_ajustes_conciliaco!D:D,df_ajustes_conciliaco!C:C,Conciliacao!A624)</f>
        <v/>
      </c>
      <c r="Q624" s="22">
        <f>O624+I624-P624</f>
        <v/>
      </c>
    </row>
    <row r="625">
      <c r="A625" s="5">
        <f>A624+1</f>
        <v/>
      </c>
      <c r="B625" s="3">
        <f>-SUMIFS(df_extrato_zig!G:G,df_extrato_zig!E:E,Conciliacao!A625,df_extrato_zig!D:D,"Saque")-SUMIFS(df_extrato_zig!G:G,df_extrato_zig!E:E,Conciliacao!A625,df_extrato_zig!D:D,"Antecipação")</f>
        <v/>
      </c>
      <c r="C625" s="3">
        <f>SUMIFS(df_extrato_zig!E:E,df_extrato_zig!L:L,Conciliacao!A625,df_extrato_zig!F:F,"DINHEIRO")</f>
        <v/>
      </c>
      <c r="D625" s="3">
        <f>SUMIFS(view_parc_agrup!H:H,view_parc_agrup!G:G,Conciliacao!A625)</f>
        <v/>
      </c>
      <c r="E625" s="3">
        <f>SUMIFS(df_eventos!F:F,df_eventos!H:H,Conciliacao!A625)</f>
        <v/>
      </c>
      <c r="F625" s="3">
        <f>SUMIFS(df_mutuos!M:M,df_mutuos!B:B,Conciliacao!A625)</f>
        <v/>
      </c>
      <c r="G625" s="6">
        <f>SUMIFS(df_bloqueios_judiciais!G:G,df_bloqueios_judiciais!D:D,Conciliacao!A625,df_bloqueios_judiciais!G:G,"&gt;0")</f>
        <v/>
      </c>
      <c r="H625" s="7">
        <f>SUMIFS(df_extratos!I:I,df_extratos!F:F,"&gt;="&amp;Conciliacao!BE625,df_extratos!F:F,"&lt;"&amp;Conciliacao!BE625+1,df_extratos!G:G,"CREDITO")
+SUMIFS(df_extratos!I:I,df_extratos!F:F,"&gt;="&amp;Conciliacao!A625, df_extratos!F:F,"&lt;"&amp;Conciliacao!A625+1, df_extratos!G:G,"CREDITO")
+SUMIFS(df_extratos!I:I,df_extratos!F:F,"&gt;="&amp;Conciliacao!BF625,df_extratos!F:F,"&lt;"&amp;Conciliacao!BF625+1,df_extratos!G:G,"CREDITO")
+SUMIFS(df_extratos!I:I,df_extratos!F:F,"&gt;="&amp;Conciliacao!BG625,df_extratos!F:F,"&lt;"&amp;Conciliacao!BG625+1,df_extratos!G:G,"CREDITO")
+SUMIFS(df_extratos!I:I,df_extratos!F:F,"&gt;="&amp;Conciliacao!BH625,df_extratos!F:F,"&lt;"&amp;Conciliacao!BH625+1,df_extratos!G:G,"CREDITO")</f>
        <v/>
      </c>
      <c r="I625" s="9">
        <f>H625-SUM(B625:G625)</f>
        <v/>
      </c>
      <c r="J625" s="4">
        <f>SUMIFS(df_blueme_sem_parcelamento!E:E,df_blueme_sem_parcelamento!H:H,Conciliacao!A625)*(-1)</f>
        <v/>
      </c>
      <c r="K625" s="4">
        <f>SUMIFS(df_blueme_com_parcelamento!J:J,df_blueme_com_parcelamento!M:M,Conciliacao!A625)*(-1)</f>
        <v/>
      </c>
      <c r="L625" s="4">
        <f>SUMIFS(df_mutuos!N:N,df_mutuos!B:B,Conciliacao!A625)*(-1)</f>
        <v/>
      </c>
      <c r="M625" s="8">
        <f>SUMIFS(df_bloqueios_judiciais!G:G,df_bloqueios_judiciais!D:D,Conciliacao!A625,df_bloqueios_judiciais!G:G,"&lt;0")</f>
        <v/>
      </c>
      <c r="N625" s="10">
        <f>SUMIFS(df_extratos!I:I,df_extratos!F:F,"&gt;="&amp;Conciliacao!BE625,df_extratos!F:F,"&lt;"&amp;Conciliacao!BE625+1,df_extratos!G:G,"DEBITO")
+SUMIFS(df_extratos!I:I,df_extratos!F:F,"&gt;="&amp;Conciliacao!A625, df_extratos!F:F,"&lt;"&amp;Conciliacao!A625+1, df_extratos!G:G,"DEBITO")
+SUMIFS(df_extratos!I:I,df_extratos!F:F,"&gt;="&amp;Conciliacao!BF625,df_extratos!F:F,"&lt;"&amp;Conciliacao!BF625+1,df_extratos!G:G,"DEBITO")
+SUMIFS(df_extratos!I:I,df_extratos!F:F,"&gt;="&amp;Conciliacao!BG625,df_extratos!F:F,"&lt;"&amp;Conciliacao!BG625+1,df_extratos!G:G,"DEBITO")
+SUMIFS(df_extratos!I:I,df_extratos!F:F,"&gt;="&amp;Conciliacao!BH625,df_extratos!F:F,"&lt;"&amp;Conciliacao!BH625+1,df_extratos!G:G,"DEBITO")</f>
        <v/>
      </c>
      <c r="O625" s="11">
        <f>N625-SUM(J625:M625)</f>
        <v/>
      </c>
      <c r="P625" s="25">
        <f>SUMIFS(df_ajustes_conciliaco!D:D,df_ajustes_conciliaco!C:C,Conciliacao!A625)</f>
        <v/>
      </c>
      <c r="Q625" s="22">
        <f>O625+I625-P625</f>
        <v/>
      </c>
    </row>
    <row r="626">
      <c r="A626" s="5">
        <f>A625+1</f>
        <v/>
      </c>
      <c r="B626" s="3">
        <f>-SUMIFS(df_extrato_zig!G:G,df_extrato_zig!E:E,Conciliacao!A626,df_extrato_zig!D:D,"Saque")-SUMIFS(df_extrato_zig!G:G,df_extrato_zig!E:E,Conciliacao!A626,df_extrato_zig!D:D,"Antecipação")</f>
        <v/>
      </c>
      <c r="C626" s="3">
        <f>SUMIFS(df_extrato_zig!E:E,df_extrato_zig!L:L,Conciliacao!A626,df_extrato_zig!F:F,"DINHEIRO")</f>
        <v/>
      </c>
      <c r="D626" s="3">
        <f>SUMIFS(view_parc_agrup!H:H,view_parc_agrup!G:G,Conciliacao!A626)</f>
        <v/>
      </c>
      <c r="E626" s="3">
        <f>SUMIFS(df_eventos!F:F,df_eventos!H:H,Conciliacao!A626)</f>
        <v/>
      </c>
      <c r="F626" s="3">
        <f>SUMIFS(df_mutuos!M:M,df_mutuos!B:B,Conciliacao!A626)</f>
        <v/>
      </c>
      <c r="G626" s="6">
        <f>SUMIFS(df_bloqueios_judiciais!G:G,df_bloqueios_judiciais!D:D,Conciliacao!A626,df_bloqueios_judiciais!G:G,"&gt;0")</f>
        <v/>
      </c>
      <c r="H626" s="7">
        <f>SUMIFS(df_extratos!I:I,df_extratos!F:F,"&gt;="&amp;Conciliacao!BE626,df_extratos!F:F,"&lt;"&amp;Conciliacao!BE626+1,df_extratos!G:G,"CREDITO")
+SUMIFS(df_extratos!I:I,df_extratos!F:F,"&gt;="&amp;Conciliacao!A626, df_extratos!F:F,"&lt;"&amp;Conciliacao!A626+1, df_extratos!G:G,"CREDITO")
+SUMIFS(df_extratos!I:I,df_extratos!F:F,"&gt;="&amp;Conciliacao!BF626,df_extratos!F:F,"&lt;"&amp;Conciliacao!BF626+1,df_extratos!G:G,"CREDITO")
+SUMIFS(df_extratos!I:I,df_extratos!F:F,"&gt;="&amp;Conciliacao!BG626,df_extratos!F:F,"&lt;"&amp;Conciliacao!BG626+1,df_extratos!G:G,"CREDITO")
+SUMIFS(df_extratos!I:I,df_extratos!F:F,"&gt;="&amp;Conciliacao!BH626,df_extratos!F:F,"&lt;"&amp;Conciliacao!BH626+1,df_extratos!G:G,"CREDITO")</f>
        <v/>
      </c>
      <c r="I626" s="9">
        <f>H626-SUM(B626:G626)</f>
        <v/>
      </c>
      <c r="J626" s="4">
        <f>SUMIFS(df_blueme_sem_parcelamento!E:E,df_blueme_sem_parcelamento!H:H,Conciliacao!A626)*(-1)</f>
        <v/>
      </c>
      <c r="K626" s="4">
        <f>SUMIFS(df_blueme_com_parcelamento!J:J,df_blueme_com_parcelamento!M:M,Conciliacao!A626)*(-1)</f>
        <v/>
      </c>
      <c r="L626" s="4">
        <f>SUMIFS(df_mutuos!N:N,df_mutuos!B:B,Conciliacao!A626)*(-1)</f>
        <v/>
      </c>
      <c r="M626" s="8">
        <f>SUMIFS(df_bloqueios_judiciais!G:G,df_bloqueios_judiciais!D:D,Conciliacao!A626,df_bloqueios_judiciais!G:G,"&lt;0")</f>
        <v/>
      </c>
      <c r="N626" s="10">
        <f>SUMIFS(df_extratos!I:I,df_extratos!F:F,"&gt;="&amp;Conciliacao!BE626,df_extratos!F:F,"&lt;"&amp;Conciliacao!BE626+1,df_extratos!G:G,"DEBITO")
+SUMIFS(df_extratos!I:I,df_extratos!F:F,"&gt;="&amp;Conciliacao!A626, df_extratos!F:F,"&lt;"&amp;Conciliacao!A626+1, df_extratos!G:G,"DEBITO")
+SUMIFS(df_extratos!I:I,df_extratos!F:F,"&gt;="&amp;Conciliacao!BF626,df_extratos!F:F,"&lt;"&amp;Conciliacao!BF626+1,df_extratos!G:G,"DEBITO")
+SUMIFS(df_extratos!I:I,df_extratos!F:F,"&gt;="&amp;Conciliacao!BG626,df_extratos!F:F,"&lt;"&amp;Conciliacao!BG626+1,df_extratos!G:G,"DEBITO")
+SUMIFS(df_extratos!I:I,df_extratos!F:F,"&gt;="&amp;Conciliacao!BH626,df_extratos!F:F,"&lt;"&amp;Conciliacao!BH626+1,df_extratos!G:G,"DEBITO")</f>
        <v/>
      </c>
      <c r="O626" s="11">
        <f>N626-SUM(J626:M626)</f>
        <v/>
      </c>
      <c r="P626" s="25">
        <f>SUMIFS(df_ajustes_conciliaco!D:D,df_ajustes_conciliaco!C:C,Conciliacao!A626)</f>
        <v/>
      </c>
      <c r="Q626" s="22">
        <f>O626+I626-P626</f>
        <v/>
      </c>
    </row>
    <row r="627">
      <c r="A627" s="5">
        <f>A626+1</f>
        <v/>
      </c>
      <c r="B627" s="3">
        <f>-SUMIFS(df_extrato_zig!G:G,df_extrato_zig!E:E,Conciliacao!A627,df_extrato_zig!D:D,"Saque")-SUMIFS(df_extrato_zig!G:G,df_extrato_zig!E:E,Conciliacao!A627,df_extrato_zig!D:D,"Antecipação")</f>
        <v/>
      </c>
      <c r="C627" s="3">
        <f>SUMIFS(df_extrato_zig!E:E,df_extrato_zig!L:L,Conciliacao!A627,df_extrato_zig!F:F,"DINHEIRO")</f>
        <v/>
      </c>
      <c r="D627" s="3">
        <f>SUMIFS(view_parc_agrup!H:H,view_parc_agrup!G:G,Conciliacao!A627)</f>
        <v/>
      </c>
      <c r="E627" s="3">
        <f>SUMIFS(df_eventos!F:F,df_eventos!H:H,Conciliacao!A627)</f>
        <v/>
      </c>
      <c r="F627" s="3">
        <f>SUMIFS(df_mutuos!M:M,df_mutuos!B:B,Conciliacao!A627)</f>
        <v/>
      </c>
      <c r="G627" s="6">
        <f>SUMIFS(df_bloqueios_judiciais!G:G,df_bloqueios_judiciais!D:D,Conciliacao!A627,df_bloqueios_judiciais!G:G,"&gt;0")</f>
        <v/>
      </c>
      <c r="H627" s="7">
        <f>SUMIFS(df_extratos!I:I,df_extratos!F:F,"&gt;="&amp;Conciliacao!BE627,df_extratos!F:F,"&lt;"&amp;Conciliacao!BE627+1,df_extratos!G:G,"CREDITO")
+SUMIFS(df_extratos!I:I,df_extratos!F:F,"&gt;="&amp;Conciliacao!A627, df_extratos!F:F,"&lt;"&amp;Conciliacao!A627+1, df_extratos!G:G,"CREDITO")
+SUMIFS(df_extratos!I:I,df_extratos!F:F,"&gt;="&amp;Conciliacao!BF627,df_extratos!F:F,"&lt;"&amp;Conciliacao!BF627+1,df_extratos!G:G,"CREDITO")
+SUMIFS(df_extratos!I:I,df_extratos!F:F,"&gt;="&amp;Conciliacao!BG627,df_extratos!F:F,"&lt;"&amp;Conciliacao!BG627+1,df_extratos!G:G,"CREDITO")
+SUMIFS(df_extratos!I:I,df_extratos!F:F,"&gt;="&amp;Conciliacao!BH627,df_extratos!F:F,"&lt;"&amp;Conciliacao!BH627+1,df_extratos!G:G,"CREDITO")</f>
        <v/>
      </c>
      <c r="I627" s="9">
        <f>H627-SUM(B627:G627)</f>
        <v/>
      </c>
      <c r="J627" s="4">
        <f>SUMIFS(df_blueme_sem_parcelamento!E:E,df_blueme_sem_parcelamento!H:H,Conciliacao!A627)*(-1)</f>
        <v/>
      </c>
      <c r="K627" s="4">
        <f>SUMIFS(df_blueme_com_parcelamento!J:J,df_blueme_com_parcelamento!M:M,Conciliacao!A627)*(-1)</f>
        <v/>
      </c>
      <c r="L627" s="4">
        <f>SUMIFS(df_mutuos!N:N,df_mutuos!B:B,Conciliacao!A627)*(-1)</f>
        <v/>
      </c>
      <c r="M627" s="8">
        <f>SUMIFS(df_bloqueios_judiciais!G:G,df_bloqueios_judiciais!D:D,Conciliacao!A627,df_bloqueios_judiciais!G:G,"&lt;0")</f>
        <v/>
      </c>
      <c r="N627" s="10">
        <f>SUMIFS(df_extratos!I:I,df_extratos!F:F,"&gt;="&amp;Conciliacao!BE627,df_extratos!F:F,"&lt;"&amp;Conciliacao!BE627+1,df_extratos!G:G,"DEBITO")
+SUMIFS(df_extratos!I:I,df_extratos!F:F,"&gt;="&amp;Conciliacao!A627, df_extratos!F:F,"&lt;"&amp;Conciliacao!A627+1, df_extratos!G:G,"DEBITO")
+SUMIFS(df_extratos!I:I,df_extratos!F:F,"&gt;="&amp;Conciliacao!BF627,df_extratos!F:F,"&lt;"&amp;Conciliacao!BF627+1,df_extratos!G:G,"DEBITO")
+SUMIFS(df_extratos!I:I,df_extratos!F:F,"&gt;="&amp;Conciliacao!BG627,df_extratos!F:F,"&lt;"&amp;Conciliacao!BG627+1,df_extratos!G:G,"DEBITO")
+SUMIFS(df_extratos!I:I,df_extratos!F:F,"&gt;="&amp;Conciliacao!BH627,df_extratos!F:F,"&lt;"&amp;Conciliacao!BH627+1,df_extratos!G:G,"DEBITO")</f>
        <v/>
      </c>
      <c r="O627" s="11">
        <f>N627-SUM(J627:M627)</f>
        <v/>
      </c>
      <c r="P627" s="25">
        <f>SUMIFS(df_ajustes_conciliaco!D:D,df_ajustes_conciliaco!C:C,Conciliacao!A627)</f>
        <v/>
      </c>
      <c r="Q627" s="22">
        <f>O627+I627-P627</f>
        <v/>
      </c>
    </row>
    <row r="628">
      <c r="A628" s="5">
        <f>A627+1</f>
        <v/>
      </c>
      <c r="B628" s="3">
        <f>-SUMIFS(df_extrato_zig!G:G,df_extrato_zig!E:E,Conciliacao!A628,df_extrato_zig!D:D,"Saque")-SUMIFS(df_extrato_zig!G:G,df_extrato_zig!E:E,Conciliacao!A628,df_extrato_zig!D:D,"Antecipação")</f>
        <v/>
      </c>
      <c r="C628" s="3">
        <f>SUMIFS(df_extrato_zig!E:E,df_extrato_zig!L:L,Conciliacao!A628,df_extrato_zig!F:F,"DINHEIRO")</f>
        <v/>
      </c>
      <c r="D628" s="3">
        <f>SUMIFS(view_parc_agrup!H:H,view_parc_agrup!G:G,Conciliacao!A628)</f>
        <v/>
      </c>
      <c r="E628" s="3">
        <f>SUMIFS(df_eventos!F:F,df_eventos!H:H,Conciliacao!A628)</f>
        <v/>
      </c>
      <c r="F628" s="3">
        <f>SUMIFS(df_mutuos!M:M,df_mutuos!B:B,Conciliacao!A628)</f>
        <v/>
      </c>
      <c r="G628" s="6">
        <f>SUMIFS(df_bloqueios_judiciais!G:G,df_bloqueios_judiciais!D:D,Conciliacao!A628,df_bloqueios_judiciais!G:G,"&gt;0")</f>
        <v/>
      </c>
      <c r="H628" s="7">
        <f>SUMIFS(df_extratos!I:I,df_extratos!F:F,"&gt;="&amp;Conciliacao!BE628,df_extratos!F:F,"&lt;"&amp;Conciliacao!BE628+1,df_extratos!G:G,"CREDITO")
+SUMIFS(df_extratos!I:I,df_extratos!F:F,"&gt;="&amp;Conciliacao!A628, df_extratos!F:F,"&lt;"&amp;Conciliacao!A628+1, df_extratos!G:G,"CREDITO")
+SUMIFS(df_extratos!I:I,df_extratos!F:F,"&gt;="&amp;Conciliacao!BF628,df_extratos!F:F,"&lt;"&amp;Conciliacao!BF628+1,df_extratos!G:G,"CREDITO")
+SUMIFS(df_extratos!I:I,df_extratos!F:F,"&gt;="&amp;Conciliacao!BG628,df_extratos!F:F,"&lt;"&amp;Conciliacao!BG628+1,df_extratos!G:G,"CREDITO")
+SUMIFS(df_extratos!I:I,df_extratos!F:F,"&gt;="&amp;Conciliacao!BH628,df_extratos!F:F,"&lt;"&amp;Conciliacao!BH628+1,df_extratos!G:G,"CREDITO")</f>
        <v/>
      </c>
      <c r="I628" s="9">
        <f>H628-SUM(B628:G628)</f>
        <v/>
      </c>
      <c r="J628" s="4">
        <f>SUMIFS(df_blueme_sem_parcelamento!E:E,df_blueme_sem_parcelamento!H:H,Conciliacao!A628)*(-1)</f>
        <v/>
      </c>
      <c r="K628" s="4">
        <f>SUMIFS(df_blueme_com_parcelamento!J:J,df_blueme_com_parcelamento!M:M,Conciliacao!A628)*(-1)</f>
        <v/>
      </c>
      <c r="L628" s="4">
        <f>SUMIFS(df_mutuos!N:N,df_mutuos!B:B,Conciliacao!A628)*(-1)</f>
        <v/>
      </c>
      <c r="M628" s="8">
        <f>SUMIFS(df_bloqueios_judiciais!G:G,df_bloqueios_judiciais!D:D,Conciliacao!A628,df_bloqueios_judiciais!G:G,"&lt;0")</f>
        <v/>
      </c>
      <c r="N628" s="10">
        <f>SUMIFS(df_extratos!I:I,df_extratos!F:F,"&gt;="&amp;Conciliacao!BE628,df_extratos!F:F,"&lt;"&amp;Conciliacao!BE628+1,df_extratos!G:G,"DEBITO")
+SUMIFS(df_extratos!I:I,df_extratos!F:F,"&gt;="&amp;Conciliacao!A628, df_extratos!F:F,"&lt;"&amp;Conciliacao!A628+1, df_extratos!G:G,"DEBITO")
+SUMIFS(df_extratos!I:I,df_extratos!F:F,"&gt;="&amp;Conciliacao!BF628,df_extratos!F:F,"&lt;"&amp;Conciliacao!BF628+1,df_extratos!G:G,"DEBITO")
+SUMIFS(df_extratos!I:I,df_extratos!F:F,"&gt;="&amp;Conciliacao!BG628,df_extratos!F:F,"&lt;"&amp;Conciliacao!BG628+1,df_extratos!G:G,"DEBITO")
+SUMIFS(df_extratos!I:I,df_extratos!F:F,"&gt;="&amp;Conciliacao!BH628,df_extratos!F:F,"&lt;"&amp;Conciliacao!BH628+1,df_extratos!G:G,"DEBITO")</f>
        <v/>
      </c>
      <c r="O628" s="11">
        <f>N628-SUM(J628:M628)</f>
        <v/>
      </c>
      <c r="P628" s="25">
        <f>SUMIFS(df_ajustes_conciliaco!D:D,df_ajustes_conciliaco!C:C,Conciliacao!A628)</f>
        <v/>
      </c>
      <c r="Q628" s="22">
        <f>O628+I628-P628</f>
        <v/>
      </c>
    </row>
    <row r="629">
      <c r="A629" s="5">
        <f>A628+1</f>
        <v/>
      </c>
      <c r="B629" s="3">
        <f>-SUMIFS(df_extrato_zig!G:G,df_extrato_zig!E:E,Conciliacao!A629,df_extrato_zig!D:D,"Saque")-SUMIFS(df_extrato_zig!G:G,df_extrato_zig!E:E,Conciliacao!A629,df_extrato_zig!D:D,"Antecipação")</f>
        <v/>
      </c>
      <c r="C629" s="3">
        <f>SUMIFS(df_extrato_zig!E:E,df_extrato_zig!L:L,Conciliacao!A629,df_extrato_zig!F:F,"DINHEIRO")</f>
        <v/>
      </c>
      <c r="D629" s="3">
        <f>SUMIFS(view_parc_agrup!H:H,view_parc_agrup!G:G,Conciliacao!A629)</f>
        <v/>
      </c>
      <c r="E629" s="3">
        <f>SUMIFS(df_eventos!F:F,df_eventos!H:H,Conciliacao!A629)</f>
        <v/>
      </c>
      <c r="F629" s="3">
        <f>SUMIFS(df_mutuos!M:M,df_mutuos!B:B,Conciliacao!A629)</f>
        <v/>
      </c>
      <c r="G629" s="6">
        <f>SUMIFS(df_bloqueios_judiciais!G:G,df_bloqueios_judiciais!D:D,Conciliacao!A629,df_bloqueios_judiciais!G:G,"&gt;0")</f>
        <v/>
      </c>
      <c r="H629" s="7">
        <f>SUMIFS(df_extratos!I:I,df_extratos!F:F,"&gt;="&amp;Conciliacao!BE629,df_extratos!F:F,"&lt;"&amp;Conciliacao!BE629+1,df_extratos!G:G,"CREDITO")
+SUMIFS(df_extratos!I:I,df_extratos!F:F,"&gt;="&amp;Conciliacao!A629, df_extratos!F:F,"&lt;"&amp;Conciliacao!A629+1, df_extratos!G:G,"CREDITO")
+SUMIFS(df_extratos!I:I,df_extratos!F:F,"&gt;="&amp;Conciliacao!BF629,df_extratos!F:F,"&lt;"&amp;Conciliacao!BF629+1,df_extratos!G:G,"CREDITO")
+SUMIFS(df_extratos!I:I,df_extratos!F:F,"&gt;="&amp;Conciliacao!BG629,df_extratos!F:F,"&lt;"&amp;Conciliacao!BG629+1,df_extratos!G:G,"CREDITO")
+SUMIFS(df_extratos!I:I,df_extratos!F:F,"&gt;="&amp;Conciliacao!BH629,df_extratos!F:F,"&lt;"&amp;Conciliacao!BH629+1,df_extratos!G:G,"CREDITO")</f>
        <v/>
      </c>
      <c r="I629" s="9">
        <f>H629-SUM(B629:G629)</f>
        <v/>
      </c>
      <c r="J629" s="4">
        <f>SUMIFS(df_blueme_sem_parcelamento!E:E,df_blueme_sem_parcelamento!H:H,Conciliacao!A629)*(-1)</f>
        <v/>
      </c>
      <c r="K629" s="4">
        <f>SUMIFS(df_blueme_com_parcelamento!J:J,df_blueme_com_parcelamento!M:M,Conciliacao!A629)*(-1)</f>
        <v/>
      </c>
      <c r="L629" s="4">
        <f>SUMIFS(df_mutuos!N:N,df_mutuos!B:B,Conciliacao!A629)*(-1)</f>
        <v/>
      </c>
      <c r="M629" s="8">
        <f>SUMIFS(df_bloqueios_judiciais!G:G,df_bloqueios_judiciais!D:D,Conciliacao!A629,df_bloqueios_judiciais!G:G,"&lt;0")</f>
        <v/>
      </c>
      <c r="N629" s="10">
        <f>SUMIFS(df_extratos!I:I,df_extratos!F:F,"&gt;="&amp;Conciliacao!BE629,df_extratos!F:F,"&lt;"&amp;Conciliacao!BE629+1,df_extratos!G:G,"DEBITO")
+SUMIFS(df_extratos!I:I,df_extratos!F:F,"&gt;="&amp;Conciliacao!A629, df_extratos!F:F,"&lt;"&amp;Conciliacao!A629+1, df_extratos!G:G,"DEBITO")
+SUMIFS(df_extratos!I:I,df_extratos!F:F,"&gt;="&amp;Conciliacao!BF629,df_extratos!F:F,"&lt;"&amp;Conciliacao!BF629+1,df_extratos!G:G,"DEBITO")
+SUMIFS(df_extratos!I:I,df_extratos!F:F,"&gt;="&amp;Conciliacao!BG629,df_extratos!F:F,"&lt;"&amp;Conciliacao!BG629+1,df_extratos!G:G,"DEBITO")
+SUMIFS(df_extratos!I:I,df_extratos!F:F,"&gt;="&amp;Conciliacao!BH629,df_extratos!F:F,"&lt;"&amp;Conciliacao!BH629+1,df_extratos!G:G,"DEBITO")</f>
        <v/>
      </c>
      <c r="O629" s="11">
        <f>N629-SUM(J629:M629)</f>
        <v/>
      </c>
      <c r="P629" s="25">
        <f>SUMIFS(df_ajustes_conciliaco!D:D,df_ajustes_conciliaco!C:C,Conciliacao!A629)</f>
        <v/>
      </c>
      <c r="Q629" s="22">
        <f>O629+I629-P629</f>
        <v/>
      </c>
    </row>
    <row r="630">
      <c r="A630" s="5">
        <f>A629+1</f>
        <v/>
      </c>
      <c r="B630" s="3">
        <f>-SUMIFS(df_extrato_zig!G:G,df_extrato_zig!E:E,Conciliacao!A630,df_extrato_zig!D:D,"Saque")-SUMIFS(df_extrato_zig!G:G,df_extrato_zig!E:E,Conciliacao!A630,df_extrato_zig!D:D,"Antecipação")</f>
        <v/>
      </c>
      <c r="C630" s="3">
        <f>SUMIFS(df_extrato_zig!E:E,df_extrato_zig!L:L,Conciliacao!A630,df_extrato_zig!F:F,"DINHEIRO")</f>
        <v/>
      </c>
      <c r="D630" s="3">
        <f>SUMIFS(view_parc_agrup!H:H,view_parc_agrup!G:G,Conciliacao!A630)</f>
        <v/>
      </c>
      <c r="E630" s="3">
        <f>SUMIFS(df_eventos!F:F,df_eventos!H:H,Conciliacao!A630)</f>
        <v/>
      </c>
      <c r="F630" s="3">
        <f>SUMIFS(df_mutuos!M:M,df_mutuos!B:B,Conciliacao!A630)</f>
        <v/>
      </c>
      <c r="G630" s="6">
        <f>SUMIFS(df_bloqueios_judiciais!G:G,df_bloqueios_judiciais!D:D,Conciliacao!A630,df_bloqueios_judiciais!G:G,"&gt;0")</f>
        <v/>
      </c>
      <c r="H630" s="7">
        <f>SUMIFS(df_extratos!I:I,df_extratos!F:F,"&gt;="&amp;Conciliacao!BE630,df_extratos!F:F,"&lt;"&amp;Conciliacao!BE630+1,df_extratos!G:G,"CREDITO")
+SUMIFS(df_extratos!I:I,df_extratos!F:F,"&gt;="&amp;Conciliacao!A630, df_extratos!F:F,"&lt;"&amp;Conciliacao!A630+1, df_extratos!G:G,"CREDITO")
+SUMIFS(df_extratos!I:I,df_extratos!F:F,"&gt;="&amp;Conciliacao!BF630,df_extratos!F:F,"&lt;"&amp;Conciliacao!BF630+1,df_extratos!G:G,"CREDITO")
+SUMIFS(df_extratos!I:I,df_extratos!F:F,"&gt;="&amp;Conciliacao!BG630,df_extratos!F:F,"&lt;"&amp;Conciliacao!BG630+1,df_extratos!G:G,"CREDITO")
+SUMIFS(df_extratos!I:I,df_extratos!F:F,"&gt;="&amp;Conciliacao!BH630,df_extratos!F:F,"&lt;"&amp;Conciliacao!BH630+1,df_extratos!G:G,"CREDITO")</f>
        <v/>
      </c>
      <c r="I630" s="9">
        <f>H630-SUM(B630:G630)</f>
        <v/>
      </c>
      <c r="J630" s="4">
        <f>SUMIFS(df_blueme_sem_parcelamento!E:E,df_blueme_sem_parcelamento!H:H,Conciliacao!A630)*(-1)</f>
        <v/>
      </c>
      <c r="K630" s="4">
        <f>SUMIFS(df_blueme_com_parcelamento!J:J,df_blueme_com_parcelamento!M:M,Conciliacao!A630)*(-1)</f>
        <v/>
      </c>
      <c r="L630" s="4">
        <f>SUMIFS(df_mutuos!N:N,df_mutuos!B:B,Conciliacao!A630)*(-1)</f>
        <v/>
      </c>
      <c r="M630" s="8">
        <f>SUMIFS(df_bloqueios_judiciais!G:G,df_bloqueios_judiciais!D:D,Conciliacao!A630,df_bloqueios_judiciais!G:G,"&lt;0")</f>
        <v/>
      </c>
      <c r="N630" s="10">
        <f>SUMIFS(df_extratos!I:I,df_extratos!F:F,"&gt;="&amp;Conciliacao!BE630,df_extratos!F:F,"&lt;"&amp;Conciliacao!BE630+1,df_extratos!G:G,"DEBITO")
+SUMIFS(df_extratos!I:I,df_extratos!F:F,"&gt;="&amp;Conciliacao!A630, df_extratos!F:F,"&lt;"&amp;Conciliacao!A630+1, df_extratos!G:G,"DEBITO")
+SUMIFS(df_extratos!I:I,df_extratos!F:F,"&gt;="&amp;Conciliacao!BF630,df_extratos!F:F,"&lt;"&amp;Conciliacao!BF630+1,df_extratos!G:G,"DEBITO")
+SUMIFS(df_extratos!I:I,df_extratos!F:F,"&gt;="&amp;Conciliacao!BG630,df_extratos!F:F,"&lt;"&amp;Conciliacao!BG630+1,df_extratos!G:G,"DEBITO")
+SUMIFS(df_extratos!I:I,df_extratos!F:F,"&gt;="&amp;Conciliacao!BH630,df_extratos!F:F,"&lt;"&amp;Conciliacao!BH630+1,df_extratos!G:G,"DEBITO")</f>
        <v/>
      </c>
      <c r="O630" s="11">
        <f>N630-SUM(J630:M630)</f>
        <v/>
      </c>
      <c r="P630" s="25">
        <f>SUMIFS(df_ajustes_conciliaco!D:D,df_ajustes_conciliaco!C:C,Conciliacao!A630)</f>
        <v/>
      </c>
      <c r="Q630" s="22">
        <f>O630+I630-P630</f>
        <v/>
      </c>
    </row>
    <row r="631">
      <c r="A631" s="5">
        <f>A630+1</f>
        <v/>
      </c>
      <c r="B631" s="3">
        <f>-SUMIFS(df_extrato_zig!G:G,df_extrato_zig!E:E,Conciliacao!A631,df_extrato_zig!D:D,"Saque")-SUMIFS(df_extrato_zig!G:G,df_extrato_zig!E:E,Conciliacao!A631,df_extrato_zig!D:D,"Antecipação")</f>
        <v/>
      </c>
      <c r="C631" s="3">
        <f>SUMIFS(df_extrato_zig!E:E,df_extrato_zig!L:L,Conciliacao!A631,df_extrato_zig!F:F,"DINHEIRO")</f>
        <v/>
      </c>
      <c r="D631" s="3">
        <f>SUMIFS(view_parc_agrup!H:H,view_parc_agrup!G:G,Conciliacao!A631)</f>
        <v/>
      </c>
      <c r="E631" s="3">
        <f>SUMIFS(df_eventos!F:F,df_eventos!H:H,Conciliacao!A631)</f>
        <v/>
      </c>
      <c r="F631" s="3">
        <f>SUMIFS(df_mutuos!M:M,df_mutuos!B:B,Conciliacao!A631)</f>
        <v/>
      </c>
      <c r="G631" s="6">
        <f>SUMIFS(df_bloqueios_judiciais!G:G,df_bloqueios_judiciais!D:D,Conciliacao!A631,df_bloqueios_judiciais!G:G,"&gt;0")</f>
        <v/>
      </c>
      <c r="H631" s="7">
        <f>SUMIFS(df_extratos!I:I,df_extratos!F:F,"&gt;="&amp;Conciliacao!BE631,df_extratos!F:F,"&lt;"&amp;Conciliacao!BE631+1,df_extratos!G:G,"CREDITO")
+SUMIFS(df_extratos!I:I,df_extratos!F:F,"&gt;="&amp;Conciliacao!A631, df_extratos!F:F,"&lt;"&amp;Conciliacao!A631+1, df_extratos!G:G,"CREDITO")
+SUMIFS(df_extratos!I:I,df_extratos!F:F,"&gt;="&amp;Conciliacao!BF631,df_extratos!F:F,"&lt;"&amp;Conciliacao!BF631+1,df_extratos!G:G,"CREDITO")
+SUMIFS(df_extratos!I:I,df_extratos!F:F,"&gt;="&amp;Conciliacao!BG631,df_extratos!F:F,"&lt;"&amp;Conciliacao!BG631+1,df_extratos!G:G,"CREDITO")
+SUMIFS(df_extratos!I:I,df_extratos!F:F,"&gt;="&amp;Conciliacao!BH631,df_extratos!F:F,"&lt;"&amp;Conciliacao!BH631+1,df_extratos!G:G,"CREDITO")</f>
        <v/>
      </c>
      <c r="I631" s="9">
        <f>H631-SUM(B631:G631)</f>
        <v/>
      </c>
      <c r="J631" s="4">
        <f>SUMIFS(df_blueme_sem_parcelamento!E:E,df_blueme_sem_parcelamento!H:H,Conciliacao!A631)*(-1)</f>
        <v/>
      </c>
      <c r="K631" s="4">
        <f>SUMIFS(df_blueme_com_parcelamento!J:J,df_blueme_com_parcelamento!M:M,Conciliacao!A631)*(-1)</f>
        <v/>
      </c>
      <c r="L631" s="4">
        <f>SUMIFS(df_mutuos!N:N,df_mutuos!B:B,Conciliacao!A631)*(-1)</f>
        <v/>
      </c>
      <c r="M631" s="8">
        <f>SUMIFS(df_bloqueios_judiciais!G:G,df_bloqueios_judiciais!D:D,Conciliacao!A631,df_bloqueios_judiciais!G:G,"&lt;0")</f>
        <v/>
      </c>
      <c r="N631" s="10">
        <f>SUMIFS(df_extratos!I:I,df_extratos!F:F,"&gt;="&amp;Conciliacao!BE631,df_extratos!F:F,"&lt;"&amp;Conciliacao!BE631+1,df_extratos!G:G,"DEBITO")
+SUMIFS(df_extratos!I:I,df_extratos!F:F,"&gt;="&amp;Conciliacao!A631, df_extratos!F:F,"&lt;"&amp;Conciliacao!A631+1, df_extratos!G:G,"DEBITO")
+SUMIFS(df_extratos!I:I,df_extratos!F:F,"&gt;="&amp;Conciliacao!BF631,df_extratos!F:F,"&lt;"&amp;Conciliacao!BF631+1,df_extratos!G:G,"DEBITO")
+SUMIFS(df_extratos!I:I,df_extratos!F:F,"&gt;="&amp;Conciliacao!BG631,df_extratos!F:F,"&lt;"&amp;Conciliacao!BG631+1,df_extratos!G:G,"DEBITO")
+SUMIFS(df_extratos!I:I,df_extratos!F:F,"&gt;="&amp;Conciliacao!BH631,df_extratos!F:F,"&lt;"&amp;Conciliacao!BH631+1,df_extratos!G:G,"DEBITO")</f>
        <v/>
      </c>
      <c r="O631" s="11">
        <f>N631-SUM(J631:M631)</f>
        <v/>
      </c>
      <c r="P631" s="25">
        <f>SUMIFS(df_ajustes_conciliaco!D:D,df_ajustes_conciliaco!C:C,Conciliacao!A631)</f>
        <v/>
      </c>
      <c r="Q631" s="22">
        <f>O631+I631-P631</f>
        <v/>
      </c>
    </row>
    <row r="632">
      <c r="A632" s="5">
        <f>A631+1</f>
        <v/>
      </c>
      <c r="B632" s="3">
        <f>-SUMIFS(df_extrato_zig!G:G,df_extrato_zig!E:E,Conciliacao!A632,df_extrato_zig!D:D,"Saque")-SUMIFS(df_extrato_zig!G:G,df_extrato_zig!E:E,Conciliacao!A632,df_extrato_zig!D:D,"Antecipação")</f>
        <v/>
      </c>
      <c r="C632" s="3">
        <f>SUMIFS(df_extrato_zig!E:E,df_extrato_zig!L:L,Conciliacao!A632,df_extrato_zig!F:F,"DINHEIRO")</f>
        <v/>
      </c>
      <c r="D632" s="3">
        <f>SUMIFS(view_parc_agrup!H:H,view_parc_agrup!G:G,Conciliacao!A632)</f>
        <v/>
      </c>
      <c r="E632" s="3">
        <f>SUMIFS(df_eventos!F:F,df_eventos!H:H,Conciliacao!A632)</f>
        <v/>
      </c>
      <c r="F632" s="3">
        <f>SUMIFS(df_mutuos!M:M,df_mutuos!B:B,Conciliacao!A632)</f>
        <v/>
      </c>
      <c r="G632" s="6">
        <f>SUMIFS(df_bloqueios_judiciais!G:G,df_bloqueios_judiciais!D:D,Conciliacao!A632,df_bloqueios_judiciais!G:G,"&gt;0")</f>
        <v/>
      </c>
      <c r="H632" s="7">
        <f>SUMIFS(df_extratos!I:I,df_extratos!F:F,"&gt;="&amp;Conciliacao!BE632,df_extratos!F:F,"&lt;"&amp;Conciliacao!BE632+1,df_extratos!G:G,"CREDITO")
+SUMIFS(df_extratos!I:I,df_extratos!F:F,"&gt;="&amp;Conciliacao!A632, df_extratos!F:F,"&lt;"&amp;Conciliacao!A632+1, df_extratos!G:G,"CREDITO")
+SUMIFS(df_extratos!I:I,df_extratos!F:F,"&gt;="&amp;Conciliacao!BF632,df_extratos!F:F,"&lt;"&amp;Conciliacao!BF632+1,df_extratos!G:G,"CREDITO")
+SUMIFS(df_extratos!I:I,df_extratos!F:F,"&gt;="&amp;Conciliacao!BG632,df_extratos!F:F,"&lt;"&amp;Conciliacao!BG632+1,df_extratos!G:G,"CREDITO")
+SUMIFS(df_extratos!I:I,df_extratos!F:F,"&gt;="&amp;Conciliacao!BH632,df_extratos!F:F,"&lt;"&amp;Conciliacao!BH632+1,df_extratos!G:G,"CREDITO")</f>
        <v/>
      </c>
      <c r="I632" s="9">
        <f>H632-SUM(B632:G632)</f>
        <v/>
      </c>
      <c r="J632" s="4">
        <f>SUMIFS(df_blueme_sem_parcelamento!E:E,df_blueme_sem_parcelamento!H:H,Conciliacao!A632)*(-1)</f>
        <v/>
      </c>
      <c r="K632" s="4">
        <f>SUMIFS(df_blueme_com_parcelamento!J:J,df_blueme_com_parcelamento!M:M,Conciliacao!A632)*(-1)</f>
        <v/>
      </c>
      <c r="L632" s="4">
        <f>SUMIFS(df_mutuos!N:N,df_mutuos!B:B,Conciliacao!A632)*(-1)</f>
        <v/>
      </c>
      <c r="M632" s="8">
        <f>SUMIFS(df_bloqueios_judiciais!G:G,df_bloqueios_judiciais!D:D,Conciliacao!A632,df_bloqueios_judiciais!G:G,"&lt;0")</f>
        <v/>
      </c>
      <c r="N632" s="10">
        <f>SUMIFS(df_extratos!I:I,df_extratos!F:F,"&gt;="&amp;Conciliacao!BE632,df_extratos!F:F,"&lt;"&amp;Conciliacao!BE632+1,df_extratos!G:G,"DEBITO")
+SUMIFS(df_extratos!I:I,df_extratos!F:F,"&gt;="&amp;Conciliacao!A632, df_extratos!F:F,"&lt;"&amp;Conciliacao!A632+1, df_extratos!G:G,"DEBITO")
+SUMIFS(df_extratos!I:I,df_extratos!F:F,"&gt;="&amp;Conciliacao!BF632,df_extratos!F:F,"&lt;"&amp;Conciliacao!BF632+1,df_extratos!G:G,"DEBITO")
+SUMIFS(df_extratos!I:I,df_extratos!F:F,"&gt;="&amp;Conciliacao!BG632,df_extratos!F:F,"&lt;"&amp;Conciliacao!BG632+1,df_extratos!G:G,"DEBITO")
+SUMIFS(df_extratos!I:I,df_extratos!F:F,"&gt;="&amp;Conciliacao!BH632,df_extratos!F:F,"&lt;"&amp;Conciliacao!BH632+1,df_extratos!G:G,"DEBITO")</f>
        <v/>
      </c>
      <c r="O632" s="11">
        <f>N632-SUM(J632:M632)</f>
        <v/>
      </c>
      <c r="P632" s="25">
        <f>SUMIFS(df_ajustes_conciliaco!D:D,df_ajustes_conciliaco!C:C,Conciliacao!A632)</f>
        <v/>
      </c>
      <c r="Q632" s="22">
        <f>O632+I632-P632</f>
        <v/>
      </c>
    </row>
    <row r="633">
      <c r="A633" s="5">
        <f>A632+1</f>
        <v/>
      </c>
      <c r="B633" s="3">
        <f>-SUMIFS(df_extrato_zig!G:G,df_extrato_zig!E:E,Conciliacao!A633,df_extrato_zig!D:D,"Saque")-SUMIFS(df_extrato_zig!G:G,df_extrato_zig!E:E,Conciliacao!A633,df_extrato_zig!D:D,"Antecipação")</f>
        <v/>
      </c>
      <c r="C633" s="3">
        <f>SUMIFS(df_extrato_zig!E:E,df_extrato_zig!L:L,Conciliacao!A633,df_extrato_zig!F:F,"DINHEIRO")</f>
        <v/>
      </c>
      <c r="D633" s="3">
        <f>SUMIFS(view_parc_agrup!H:H,view_parc_agrup!G:G,Conciliacao!A633)</f>
        <v/>
      </c>
      <c r="E633" s="3">
        <f>SUMIFS(df_eventos!F:F,df_eventos!H:H,Conciliacao!A633)</f>
        <v/>
      </c>
      <c r="F633" s="3">
        <f>SUMIFS(df_mutuos!M:M,df_mutuos!B:B,Conciliacao!A633)</f>
        <v/>
      </c>
      <c r="G633" s="6">
        <f>SUMIFS(df_bloqueios_judiciais!G:G,df_bloqueios_judiciais!D:D,Conciliacao!A633,df_bloqueios_judiciais!G:G,"&gt;0")</f>
        <v/>
      </c>
      <c r="H633" s="7">
        <f>SUMIFS(df_extratos!I:I,df_extratos!F:F,"&gt;="&amp;Conciliacao!BE633,df_extratos!F:F,"&lt;"&amp;Conciliacao!BE633+1,df_extratos!G:G,"CREDITO")
+SUMIFS(df_extratos!I:I,df_extratos!F:F,"&gt;="&amp;Conciliacao!A633, df_extratos!F:F,"&lt;"&amp;Conciliacao!A633+1, df_extratos!G:G,"CREDITO")
+SUMIFS(df_extratos!I:I,df_extratos!F:F,"&gt;="&amp;Conciliacao!BF633,df_extratos!F:F,"&lt;"&amp;Conciliacao!BF633+1,df_extratos!G:G,"CREDITO")
+SUMIFS(df_extratos!I:I,df_extratos!F:F,"&gt;="&amp;Conciliacao!BG633,df_extratos!F:F,"&lt;"&amp;Conciliacao!BG633+1,df_extratos!G:G,"CREDITO")
+SUMIFS(df_extratos!I:I,df_extratos!F:F,"&gt;="&amp;Conciliacao!BH633,df_extratos!F:F,"&lt;"&amp;Conciliacao!BH633+1,df_extratos!G:G,"CREDITO")</f>
        <v/>
      </c>
      <c r="I633" s="9">
        <f>H633-SUM(B633:G633)</f>
        <v/>
      </c>
      <c r="J633" s="4">
        <f>SUMIFS(df_blueme_sem_parcelamento!E:E,df_blueme_sem_parcelamento!H:H,Conciliacao!A633)*(-1)</f>
        <v/>
      </c>
      <c r="K633" s="4">
        <f>SUMIFS(df_blueme_com_parcelamento!J:J,df_blueme_com_parcelamento!M:M,Conciliacao!A633)*(-1)</f>
        <v/>
      </c>
      <c r="L633" s="4">
        <f>SUMIFS(df_mutuos!N:N,df_mutuos!B:B,Conciliacao!A633)*(-1)</f>
        <v/>
      </c>
      <c r="M633" s="8">
        <f>SUMIFS(df_bloqueios_judiciais!G:G,df_bloqueios_judiciais!D:D,Conciliacao!A633,df_bloqueios_judiciais!G:G,"&lt;0")</f>
        <v/>
      </c>
      <c r="N633" s="10">
        <f>SUMIFS(df_extratos!I:I,df_extratos!F:F,"&gt;="&amp;Conciliacao!BE633,df_extratos!F:F,"&lt;"&amp;Conciliacao!BE633+1,df_extratos!G:G,"DEBITO")
+SUMIFS(df_extratos!I:I,df_extratos!F:F,"&gt;="&amp;Conciliacao!A633, df_extratos!F:F,"&lt;"&amp;Conciliacao!A633+1, df_extratos!G:G,"DEBITO")
+SUMIFS(df_extratos!I:I,df_extratos!F:F,"&gt;="&amp;Conciliacao!BF633,df_extratos!F:F,"&lt;"&amp;Conciliacao!BF633+1,df_extratos!G:G,"DEBITO")
+SUMIFS(df_extratos!I:I,df_extratos!F:F,"&gt;="&amp;Conciliacao!BG633,df_extratos!F:F,"&lt;"&amp;Conciliacao!BG633+1,df_extratos!G:G,"DEBITO")
+SUMIFS(df_extratos!I:I,df_extratos!F:F,"&gt;="&amp;Conciliacao!BH633,df_extratos!F:F,"&lt;"&amp;Conciliacao!BH633+1,df_extratos!G:G,"DEBITO")</f>
        <v/>
      </c>
      <c r="O633" s="11">
        <f>N633-SUM(J633:M633)</f>
        <v/>
      </c>
      <c r="P633" s="25">
        <f>SUMIFS(df_ajustes_conciliaco!D:D,df_ajustes_conciliaco!C:C,Conciliacao!A633)</f>
        <v/>
      </c>
      <c r="Q633" s="22">
        <f>O633+I633-P633</f>
        <v/>
      </c>
    </row>
    <row r="634">
      <c r="A634" s="5">
        <f>A633+1</f>
        <v/>
      </c>
      <c r="B634" s="3">
        <f>-SUMIFS(df_extrato_zig!G:G,df_extrato_zig!E:E,Conciliacao!A634,df_extrato_zig!D:D,"Saque")-SUMIFS(df_extrato_zig!G:G,df_extrato_zig!E:E,Conciliacao!A634,df_extrato_zig!D:D,"Antecipação")</f>
        <v/>
      </c>
      <c r="C634" s="3">
        <f>SUMIFS(df_extrato_zig!E:E,df_extrato_zig!L:L,Conciliacao!A634,df_extrato_zig!F:F,"DINHEIRO")</f>
        <v/>
      </c>
      <c r="D634" s="3">
        <f>SUMIFS(view_parc_agrup!H:H,view_parc_agrup!G:G,Conciliacao!A634)</f>
        <v/>
      </c>
      <c r="E634" s="3">
        <f>SUMIFS(df_eventos!F:F,df_eventos!H:H,Conciliacao!A634)</f>
        <v/>
      </c>
      <c r="F634" s="3">
        <f>SUMIFS(df_mutuos!M:M,df_mutuos!B:B,Conciliacao!A634)</f>
        <v/>
      </c>
      <c r="G634" s="6">
        <f>SUMIFS(df_bloqueios_judiciais!G:G,df_bloqueios_judiciais!D:D,Conciliacao!A634,df_bloqueios_judiciais!G:G,"&gt;0")</f>
        <v/>
      </c>
      <c r="H634" s="7">
        <f>SUMIFS(df_extratos!I:I,df_extratos!F:F,"&gt;="&amp;Conciliacao!BE634,df_extratos!F:F,"&lt;"&amp;Conciliacao!BE634+1,df_extratos!G:G,"CREDITO")
+SUMIFS(df_extratos!I:I,df_extratos!F:F,"&gt;="&amp;Conciliacao!A634, df_extratos!F:F,"&lt;"&amp;Conciliacao!A634+1, df_extratos!G:G,"CREDITO")
+SUMIFS(df_extratos!I:I,df_extratos!F:F,"&gt;="&amp;Conciliacao!BF634,df_extratos!F:F,"&lt;"&amp;Conciliacao!BF634+1,df_extratos!G:G,"CREDITO")
+SUMIFS(df_extratos!I:I,df_extratos!F:F,"&gt;="&amp;Conciliacao!BG634,df_extratos!F:F,"&lt;"&amp;Conciliacao!BG634+1,df_extratos!G:G,"CREDITO")
+SUMIFS(df_extratos!I:I,df_extratos!F:F,"&gt;="&amp;Conciliacao!BH634,df_extratos!F:F,"&lt;"&amp;Conciliacao!BH634+1,df_extratos!G:G,"CREDITO")</f>
        <v/>
      </c>
      <c r="I634" s="9">
        <f>H634-SUM(B634:G634)</f>
        <v/>
      </c>
      <c r="J634" s="4">
        <f>SUMIFS(df_blueme_sem_parcelamento!E:E,df_blueme_sem_parcelamento!H:H,Conciliacao!A634)*(-1)</f>
        <v/>
      </c>
      <c r="K634" s="4">
        <f>SUMIFS(df_blueme_com_parcelamento!J:J,df_blueme_com_parcelamento!M:M,Conciliacao!A634)*(-1)</f>
        <v/>
      </c>
      <c r="L634" s="4">
        <f>SUMIFS(df_mutuos!N:N,df_mutuos!B:B,Conciliacao!A634)*(-1)</f>
        <v/>
      </c>
      <c r="M634" s="8">
        <f>SUMIFS(df_bloqueios_judiciais!G:G,df_bloqueios_judiciais!D:D,Conciliacao!A634,df_bloqueios_judiciais!G:G,"&lt;0")</f>
        <v/>
      </c>
      <c r="N634" s="10">
        <f>SUMIFS(df_extratos!I:I,df_extratos!F:F,"&gt;="&amp;Conciliacao!BE634,df_extratos!F:F,"&lt;"&amp;Conciliacao!BE634+1,df_extratos!G:G,"DEBITO")
+SUMIFS(df_extratos!I:I,df_extratos!F:F,"&gt;="&amp;Conciliacao!A634, df_extratos!F:F,"&lt;"&amp;Conciliacao!A634+1, df_extratos!G:G,"DEBITO")
+SUMIFS(df_extratos!I:I,df_extratos!F:F,"&gt;="&amp;Conciliacao!BF634,df_extratos!F:F,"&lt;"&amp;Conciliacao!BF634+1,df_extratos!G:G,"DEBITO")
+SUMIFS(df_extratos!I:I,df_extratos!F:F,"&gt;="&amp;Conciliacao!BG634,df_extratos!F:F,"&lt;"&amp;Conciliacao!BG634+1,df_extratos!G:G,"DEBITO")
+SUMIFS(df_extratos!I:I,df_extratos!F:F,"&gt;="&amp;Conciliacao!BH634,df_extratos!F:F,"&lt;"&amp;Conciliacao!BH634+1,df_extratos!G:G,"DEBITO")</f>
        <v/>
      </c>
      <c r="O634" s="11">
        <f>N634-SUM(J634:M634)</f>
        <v/>
      </c>
      <c r="P634" s="25">
        <f>SUMIFS(df_ajustes_conciliaco!D:D,df_ajustes_conciliaco!C:C,Conciliacao!A634)</f>
        <v/>
      </c>
      <c r="Q634" s="22">
        <f>O634+I634-P634</f>
        <v/>
      </c>
    </row>
    <row r="635">
      <c r="A635" s="5">
        <f>A634+1</f>
        <v/>
      </c>
      <c r="B635" s="3">
        <f>-SUMIFS(df_extrato_zig!G:G,df_extrato_zig!E:E,Conciliacao!A635,df_extrato_zig!D:D,"Saque")-SUMIFS(df_extrato_zig!G:G,df_extrato_zig!E:E,Conciliacao!A635,df_extrato_zig!D:D,"Antecipação")</f>
        <v/>
      </c>
      <c r="C635" s="3">
        <f>SUMIFS(df_extrato_zig!E:E,df_extrato_zig!L:L,Conciliacao!A635,df_extrato_zig!F:F,"DINHEIRO")</f>
        <v/>
      </c>
      <c r="D635" s="3">
        <f>SUMIFS(view_parc_agrup!H:H,view_parc_agrup!G:G,Conciliacao!A635)</f>
        <v/>
      </c>
      <c r="E635" s="3">
        <f>SUMIFS(df_eventos!F:F,df_eventos!H:H,Conciliacao!A635)</f>
        <v/>
      </c>
      <c r="F635" s="3">
        <f>SUMIFS(df_mutuos!M:M,df_mutuos!B:B,Conciliacao!A635)</f>
        <v/>
      </c>
      <c r="G635" s="6">
        <f>SUMIFS(df_bloqueios_judiciais!G:G,df_bloqueios_judiciais!D:D,Conciliacao!A635,df_bloqueios_judiciais!G:G,"&gt;0")</f>
        <v/>
      </c>
      <c r="H635" s="7">
        <f>SUMIFS(df_extratos!I:I,df_extratos!F:F,"&gt;="&amp;Conciliacao!BE635,df_extratos!F:F,"&lt;"&amp;Conciliacao!BE635+1,df_extratos!G:G,"CREDITO")
+SUMIFS(df_extratos!I:I,df_extratos!F:F,"&gt;="&amp;Conciliacao!A635, df_extratos!F:F,"&lt;"&amp;Conciliacao!A635+1, df_extratos!G:G,"CREDITO")
+SUMIFS(df_extratos!I:I,df_extratos!F:F,"&gt;="&amp;Conciliacao!BF635,df_extratos!F:F,"&lt;"&amp;Conciliacao!BF635+1,df_extratos!G:G,"CREDITO")
+SUMIFS(df_extratos!I:I,df_extratos!F:F,"&gt;="&amp;Conciliacao!BG635,df_extratos!F:F,"&lt;"&amp;Conciliacao!BG635+1,df_extratos!G:G,"CREDITO")
+SUMIFS(df_extratos!I:I,df_extratos!F:F,"&gt;="&amp;Conciliacao!BH635,df_extratos!F:F,"&lt;"&amp;Conciliacao!BH635+1,df_extratos!G:G,"CREDITO")</f>
        <v/>
      </c>
      <c r="I635" s="9">
        <f>H635-SUM(B635:G635)</f>
        <v/>
      </c>
      <c r="J635" s="4">
        <f>SUMIFS(df_blueme_sem_parcelamento!E:E,df_blueme_sem_parcelamento!H:H,Conciliacao!A635)*(-1)</f>
        <v/>
      </c>
      <c r="K635" s="4">
        <f>SUMIFS(df_blueme_com_parcelamento!J:J,df_blueme_com_parcelamento!M:M,Conciliacao!A635)*(-1)</f>
        <v/>
      </c>
      <c r="L635" s="4">
        <f>SUMIFS(df_mutuos!N:N,df_mutuos!B:B,Conciliacao!A635)*(-1)</f>
        <v/>
      </c>
      <c r="M635" s="8">
        <f>SUMIFS(df_bloqueios_judiciais!G:G,df_bloqueios_judiciais!D:D,Conciliacao!A635,df_bloqueios_judiciais!G:G,"&lt;0")</f>
        <v/>
      </c>
      <c r="N635" s="10">
        <f>SUMIFS(df_extratos!I:I,df_extratos!F:F,"&gt;="&amp;Conciliacao!BE635,df_extratos!F:F,"&lt;"&amp;Conciliacao!BE635+1,df_extratos!G:G,"DEBITO")
+SUMIFS(df_extratos!I:I,df_extratos!F:F,"&gt;="&amp;Conciliacao!A635, df_extratos!F:F,"&lt;"&amp;Conciliacao!A635+1, df_extratos!G:G,"DEBITO")
+SUMIFS(df_extratos!I:I,df_extratos!F:F,"&gt;="&amp;Conciliacao!BF635,df_extratos!F:F,"&lt;"&amp;Conciliacao!BF635+1,df_extratos!G:G,"DEBITO")
+SUMIFS(df_extratos!I:I,df_extratos!F:F,"&gt;="&amp;Conciliacao!BG635,df_extratos!F:F,"&lt;"&amp;Conciliacao!BG635+1,df_extratos!G:G,"DEBITO")
+SUMIFS(df_extratos!I:I,df_extratos!F:F,"&gt;="&amp;Conciliacao!BH635,df_extratos!F:F,"&lt;"&amp;Conciliacao!BH635+1,df_extratos!G:G,"DEBITO")</f>
        <v/>
      </c>
      <c r="O635" s="11">
        <f>N635-SUM(J635:M635)</f>
        <v/>
      </c>
      <c r="P635" s="25">
        <f>SUMIFS(df_ajustes_conciliaco!D:D,df_ajustes_conciliaco!C:C,Conciliacao!A635)</f>
        <v/>
      </c>
      <c r="Q635" s="22">
        <f>O635+I635-P635</f>
        <v/>
      </c>
    </row>
    <row r="636">
      <c r="A636" s="5">
        <f>A635+1</f>
        <v/>
      </c>
      <c r="B636" s="3">
        <f>-SUMIFS(df_extrato_zig!G:G,df_extrato_zig!E:E,Conciliacao!A636,df_extrato_zig!D:D,"Saque")-SUMIFS(df_extrato_zig!G:G,df_extrato_zig!E:E,Conciliacao!A636,df_extrato_zig!D:D,"Antecipação")</f>
        <v/>
      </c>
      <c r="C636" s="3">
        <f>SUMIFS(df_extrato_zig!E:E,df_extrato_zig!L:L,Conciliacao!A636,df_extrato_zig!F:F,"DINHEIRO")</f>
        <v/>
      </c>
      <c r="D636" s="3">
        <f>SUMIFS(view_parc_agrup!H:H,view_parc_agrup!G:G,Conciliacao!A636)</f>
        <v/>
      </c>
      <c r="E636" s="3">
        <f>SUMIFS(df_eventos!F:F,df_eventos!H:H,Conciliacao!A636)</f>
        <v/>
      </c>
      <c r="F636" s="3">
        <f>SUMIFS(df_mutuos!M:M,df_mutuos!B:B,Conciliacao!A636)</f>
        <v/>
      </c>
      <c r="G636" s="6">
        <f>SUMIFS(df_bloqueios_judiciais!G:G,df_bloqueios_judiciais!D:D,Conciliacao!A636,df_bloqueios_judiciais!G:G,"&gt;0")</f>
        <v/>
      </c>
      <c r="H636" s="7">
        <f>SUMIFS(df_extratos!I:I,df_extratos!F:F,"&gt;="&amp;Conciliacao!BE636,df_extratos!F:F,"&lt;"&amp;Conciliacao!BE636+1,df_extratos!G:G,"CREDITO")
+SUMIFS(df_extratos!I:I,df_extratos!F:F,"&gt;="&amp;Conciliacao!A636, df_extratos!F:F,"&lt;"&amp;Conciliacao!A636+1, df_extratos!G:G,"CREDITO")
+SUMIFS(df_extratos!I:I,df_extratos!F:F,"&gt;="&amp;Conciliacao!BF636,df_extratos!F:F,"&lt;"&amp;Conciliacao!BF636+1,df_extratos!G:G,"CREDITO")
+SUMIFS(df_extratos!I:I,df_extratos!F:F,"&gt;="&amp;Conciliacao!BG636,df_extratos!F:F,"&lt;"&amp;Conciliacao!BG636+1,df_extratos!G:G,"CREDITO")
+SUMIFS(df_extratos!I:I,df_extratos!F:F,"&gt;="&amp;Conciliacao!BH636,df_extratos!F:F,"&lt;"&amp;Conciliacao!BH636+1,df_extratos!G:G,"CREDITO")</f>
        <v/>
      </c>
      <c r="I636" s="9">
        <f>H636-SUM(B636:G636)</f>
        <v/>
      </c>
      <c r="J636" s="4">
        <f>SUMIFS(df_blueme_sem_parcelamento!E:E,df_blueme_sem_parcelamento!H:H,Conciliacao!A636)*(-1)</f>
        <v/>
      </c>
      <c r="K636" s="4">
        <f>SUMIFS(df_blueme_com_parcelamento!J:J,df_blueme_com_parcelamento!M:M,Conciliacao!A636)*(-1)</f>
        <v/>
      </c>
      <c r="L636" s="4">
        <f>SUMIFS(df_mutuos!N:N,df_mutuos!B:B,Conciliacao!A636)*(-1)</f>
        <v/>
      </c>
      <c r="M636" s="8">
        <f>SUMIFS(df_bloqueios_judiciais!G:G,df_bloqueios_judiciais!D:D,Conciliacao!A636,df_bloqueios_judiciais!G:G,"&lt;0")</f>
        <v/>
      </c>
      <c r="N636" s="10">
        <f>SUMIFS(df_extratos!I:I,df_extratos!F:F,"&gt;="&amp;Conciliacao!BE636,df_extratos!F:F,"&lt;"&amp;Conciliacao!BE636+1,df_extratos!G:G,"DEBITO")
+SUMIFS(df_extratos!I:I,df_extratos!F:F,"&gt;="&amp;Conciliacao!A636, df_extratos!F:F,"&lt;"&amp;Conciliacao!A636+1, df_extratos!G:G,"DEBITO")
+SUMIFS(df_extratos!I:I,df_extratos!F:F,"&gt;="&amp;Conciliacao!BF636,df_extratos!F:F,"&lt;"&amp;Conciliacao!BF636+1,df_extratos!G:G,"DEBITO")
+SUMIFS(df_extratos!I:I,df_extratos!F:F,"&gt;="&amp;Conciliacao!BG636,df_extratos!F:F,"&lt;"&amp;Conciliacao!BG636+1,df_extratos!G:G,"DEBITO")
+SUMIFS(df_extratos!I:I,df_extratos!F:F,"&gt;="&amp;Conciliacao!BH636,df_extratos!F:F,"&lt;"&amp;Conciliacao!BH636+1,df_extratos!G:G,"DEBITO")</f>
        <v/>
      </c>
      <c r="O636" s="11">
        <f>N636-SUM(J636:M636)</f>
        <v/>
      </c>
      <c r="P636" s="25">
        <f>SUMIFS(df_ajustes_conciliaco!D:D,df_ajustes_conciliaco!C:C,Conciliacao!A636)</f>
        <v/>
      </c>
      <c r="Q636" s="22">
        <f>O636+I636-P636</f>
        <v/>
      </c>
    </row>
    <row r="637">
      <c r="A637" s="5">
        <f>A636+1</f>
        <v/>
      </c>
      <c r="B637" s="3">
        <f>-SUMIFS(df_extrato_zig!G:G,df_extrato_zig!E:E,Conciliacao!A637,df_extrato_zig!D:D,"Saque")-SUMIFS(df_extrato_zig!G:G,df_extrato_zig!E:E,Conciliacao!A637,df_extrato_zig!D:D,"Antecipação")</f>
        <v/>
      </c>
      <c r="C637" s="3">
        <f>SUMIFS(df_extrato_zig!E:E,df_extrato_zig!L:L,Conciliacao!A637,df_extrato_zig!F:F,"DINHEIRO")</f>
        <v/>
      </c>
      <c r="D637" s="3">
        <f>SUMIFS(view_parc_agrup!H:H,view_parc_agrup!G:G,Conciliacao!A637)</f>
        <v/>
      </c>
      <c r="E637" s="3">
        <f>SUMIFS(df_eventos!F:F,df_eventos!H:H,Conciliacao!A637)</f>
        <v/>
      </c>
      <c r="F637" s="3">
        <f>SUMIFS(df_mutuos!M:M,df_mutuos!B:B,Conciliacao!A637)</f>
        <v/>
      </c>
      <c r="G637" s="6">
        <f>SUMIFS(df_bloqueios_judiciais!G:G,df_bloqueios_judiciais!D:D,Conciliacao!A637,df_bloqueios_judiciais!G:G,"&gt;0")</f>
        <v/>
      </c>
      <c r="H637" s="7">
        <f>SUMIFS(df_extratos!I:I,df_extratos!F:F,"&gt;="&amp;Conciliacao!BE637,df_extratos!F:F,"&lt;"&amp;Conciliacao!BE637+1,df_extratos!G:G,"CREDITO")
+SUMIFS(df_extratos!I:I,df_extratos!F:F,"&gt;="&amp;Conciliacao!A637, df_extratos!F:F,"&lt;"&amp;Conciliacao!A637+1, df_extratos!G:G,"CREDITO")
+SUMIFS(df_extratos!I:I,df_extratos!F:F,"&gt;="&amp;Conciliacao!BF637,df_extratos!F:F,"&lt;"&amp;Conciliacao!BF637+1,df_extratos!G:G,"CREDITO")
+SUMIFS(df_extratos!I:I,df_extratos!F:F,"&gt;="&amp;Conciliacao!BG637,df_extratos!F:F,"&lt;"&amp;Conciliacao!BG637+1,df_extratos!G:G,"CREDITO")
+SUMIFS(df_extratos!I:I,df_extratos!F:F,"&gt;="&amp;Conciliacao!BH637,df_extratos!F:F,"&lt;"&amp;Conciliacao!BH637+1,df_extratos!G:G,"CREDITO")</f>
        <v/>
      </c>
      <c r="I637" s="9">
        <f>H637-SUM(B637:G637)</f>
        <v/>
      </c>
      <c r="J637" s="4">
        <f>SUMIFS(df_blueme_sem_parcelamento!E:E,df_blueme_sem_parcelamento!H:H,Conciliacao!A637)*(-1)</f>
        <v/>
      </c>
      <c r="K637" s="4">
        <f>SUMIFS(df_blueme_com_parcelamento!J:J,df_blueme_com_parcelamento!M:M,Conciliacao!A637)*(-1)</f>
        <v/>
      </c>
      <c r="L637" s="4">
        <f>SUMIFS(df_mutuos!N:N,df_mutuos!B:B,Conciliacao!A637)*(-1)</f>
        <v/>
      </c>
      <c r="M637" s="8">
        <f>SUMIFS(df_bloqueios_judiciais!G:G,df_bloqueios_judiciais!D:D,Conciliacao!A637,df_bloqueios_judiciais!G:G,"&lt;0")</f>
        <v/>
      </c>
      <c r="N637" s="10">
        <f>SUMIFS(df_extratos!I:I,df_extratos!F:F,"&gt;="&amp;Conciliacao!BE637,df_extratos!F:F,"&lt;"&amp;Conciliacao!BE637+1,df_extratos!G:G,"DEBITO")
+SUMIFS(df_extratos!I:I,df_extratos!F:F,"&gt;="&amp;Conciliacao!A637, df_extratos!F:F,"&lt;"&amp;Conciliacao!A637+1, df_extratos!G:G,"DEBITO")
+SUMIFS(df_extratos!I:I,df_extratos!F:F,"&gt;="&amp;Conciliacao!BF637,df_extratos!F:F,"&lt;"&amp;Conciliacao!BF637+1,df_extratos!G:G,"DEBITO")
+SUMIFS(df_extratos!I:I,df_extratos!F:F,"&gt;="&amp;Conciliacao!BG637,df_extratos!F:F,"&lt;"&amp;Conciliacao!BG637+1,df_extratos!G:G,"DEBITO")
+SUMIFS(df_extratos!I:I,df_extratos!F:F,"&gt;="&amp;Conciliacao!BH637,df_extratos!F:F,"&lt;"&amp;Conciliacao!BH637+1,df_extratos!G:G,"DEBITO")</f>
        <v/>
      </c>
      <c r="O637" s="11">
        <f>N637-SUM(J637:M637)</f>
        <v/>
      </c>
      <c r="P637" s="25">
        <f>SUMIFS(df_ajustes_conciliaco!D:D,df_ajustes_conciliaco!C:C,Conciliacao!A637)</f>
        <v/>
      </c>
      <c r="Q637" s="22">
        <f>O637+I637-P637</f>
        <v/>
      </c>
    </row>
    <row r="638">
      <c r="A638" s="5">
        <f>A637+1</f>
        <v/>
      </c>
      <c r="B638" s="3">
        <f>-SUMIFS(df_extrato_zig!G:G,df_extrato_zig!E:E,Conciliacao!A638,df_extrato_zig!D:D,"Saque")-SUMIFS(df_extrato_zig!G:G,df_extrato_zig!E:E,Conciliacao!A638,df_extrato_zig!D:D,"Antecipação")</f>
        <v/>
      </c>
      <c r="C638" s="3">
        <f>SUMIFS(df_extrato_zig!E:E,df_extrato_zig!L:L,Conciliacao!A638,df_extrato_zig!F:F,"DINHEIRO")</f>
        <v/>
      </c>
      <c r="D638" s="3">
        <f>SUMIFS(view_parc_agrup!H:H,view_parc_agrup!G:G,Conciliacao!A638)</f>
        <v/>
      </c>
      <c r="E638" s="3">
        <f>SUMIFS(df_eventos!F:F,df_eventos!H:H,Conciliacao!A638)</f>
        <v/>
      </c>
      <c r="F638" s="3">
        <f>SUMIFS(df_mutuos!M:M,df_mutuos!B:B,Conciliacao!A638)</f>
        <v/>
      </c>
      <c r="G638" s="6">
        <f>SUMIFS(df_bloqueios_judiciais!G:G,df_bloqueios_judiciais!D:D,Conciliacao!A638,df_bloqueios_judiciais!G:G,"&gt;0")</f>
        <v/>
      </c>
      <c r="H638" s="7">
        <f>SUMIFS(df_extratos!I:I,df_extratos!F:F,"&gt;="&amp;Conciliacao!BE638,df_extratos!F:F,"&lt;"&amp;Conciliacao!BE638+1,df_extratos!G:G,"CREDITO")
+SUMIFS(df_extratos!I:I,df_extratos!F:F,"&gt;="&amp;Conciliacao!A638, df_extratos!F:F,"&lt;"&amp;Conciliacao!A638+1, df_extratos!G:G,"CREDITO")
+SUMIFS(df_extratos!I:I,df_extratos!F:F,"&gt;="&amp;Conciliacao!BF638,df_extratos!F:F,"&lt;"&amp;Conciliacao!BF638+1,df_extratos!G:G,"CREDITO")
+SUMIFS(df_extratos!I:I,df_extratos!F:F,"&gt;="&amp;Conciliacao!BG638,df_extratos!F:F,"&lt;"&amp;Conciliacao!BG638+1,df_extratos!G:G,"CREDITO")
+SUMIFS(df_extratos!I:I,df_extratos!F:F,"&gt;="&amp;Conciliacao!BH638,df_extratos!F:F,"&lt;"&amp;Conciliacao!BH638+1,df_extratos!G:G,"CREDITO")</f>
        <v/>
      </c>
      <c r="I638" s="9">
        <f>H638-SUM(B638:G638)</f>
        <v/>
      </c>
      <c r="J638" s="4">
        <f>SUMIFS(df_blueme_sem_parcelamento!E:E,df_blueme_sem_parcelamento!H:H,Conciliacao!A638)*(-1)</f>
        <v/>
      </c>
      <c r="K638" s="4">
        <f>SUMIFS(df_blueme_com_parcelamento!J:J,df_blueme_com_parcelamento!M:M,Conciliacao!A638)*(-1)</f>
        <v/>
      </c>
      <c r="L638" s="4">
        <f>SUMIFS(df_mutuos!N:N,df_mutuos!B:B,Conciliacao!A638)*(-1)</f>
        <v/>
      </c>
      <c r="M638" s="8">
        <f>SUMIFS(df_bloqueios_judiciais!G:G,df_bloqueios_judiciais!D:D,Conciliacao!A638,df_bloqueios_judiciais!G:G,"&lt;0")</f>
        <v/>
      </c>
      <c r="N638" s="10">
        <f>SUMIFS(df_extratos!I:I,df_extratos!F:F,"&gt;="&amp;Conciliacao!BE638,df_extratos!F:F,"&lt;"&amp;Conciliacao!BE638+1,df_extratos!G:G,"DEBITO")
+SUMIFS(df_extratos!I:I,df_extratos!F:F,"&gt;="&amp;Conciliacao!A638, df_extratos!F:F,"&lt;"&amp;Conciliacao!A638+1, df_extratos!G:G,"DEBITO")
+SUMIFS(df_extratos!I:I,df_extratos!F:F,"&gt;="&amp;Conciliacao!BF638,df_extratos!F:F,"&lt;"&amp;Conciliacao!BF638+1,df_extratos!G:G,"DEBITO")
+SUMIFS(df_extratos!I:I,df_extratos!F:F,"&gt;="&amp;Conciliacao!BG638,df_extratos!F:F,"&lt;"&amp;Conciliacao!BG638+1,df_extratos!G:G,"DEBITO")
+SUMIFS(df_extratos!I:I,df_extratos!F:F,"&gt;="&amp;Conciliacao!BH638,df_extratos!F:F,"&lt;"&amp;Conciliacao!BH638+1,df_extratos!G:G,"DEBITO")</f>
        <v/>
      </c>
      <c r="O638" s="11">
        <f>N638-SUM(J638:M638)</f>
        <v/>
      </c>
      <c r="P638" s="25">
        <f>SUMIFS(df_ajustes_conciliaco!D:D,df_ajustes_conciliaco!C:C,Conciliacao!A638)</f>
        <v/>
      </c>
      <c r="Q638" s="22">
        <f>O638+I638-P638</f>
        <v/>
      </c>
    </row>
    <row r="639">
      <c r="A639" s="5">
        <f>A638+1</f>
        <v/>
      </c>
      <c r="B639" s="3">
        <f>-SUMIFS(df_extrato_zig!G:G,df_extrato_zig!E:E,Conciliacao!A639,df_extrato_zig!D:D,"Saque")-SUMIFS(df_extrato_zig!G:G,df_extrato_zig!E:E,Conciliacao!A639,df_extrato_zig!D:D,"Antecipação")</f>
        <v/>
      </c>
      <c r="C639" s="3">
        <f>SUMIFS(df_extrato_zig!E:E,df_extrato_zig!L:L,Conciliacao!A639,df_extrato_zig!F:F,"DINHEIRO")</f>
        <v/>
      </c>
      <c r="D639" s="3">
        <f>SUMIFS(view_parc_agrup!H:H,view_parc_agrup!G:G,Conciliacao!A639)</f>
        <v/>
      </c>
      <c r="E639" s="3">
        <f>SUMIFS(df_eventos!F:F,df_eventos!H:H,Conciliacao!A639)</f>
        <v/>
      </c>
      <c r="F639" s="3">
        <f>SUMIFS(df_mutuos!M:M,df_mutuos!B:B,Conciliacao!A639)</f>
        <v/>
      </c>
      <c r="G639" s="6">
        <f>SUMIFS(df_bloqueios_judiciais!G:G,df_bloqueios_judiciais!D:D,Conciliacao!A639,df_bloqueios_judiciais!G:G,"&gt;0")</f>
        <v/>
      </c>
      <c r="H639" s="7">
        <f>SUMIFS(df_extratos!I:I,df_extratos!F:F,"&gt;="&amp;Conciliacao!BE639,df_extratos!F:F,"&lt;"&amp;Conciliacao!BE639+1,df_extratos!G:G,"CREDITO")
+SUMIFS(df_extratos!I:I,df_extratos!F:F,"&gt;="&amp;Conciliacao!A639, df_extratos!F:F,"&lt;"&amp;Conciliacao!A639+1, df_extratos!G:G,"CREDITO")
+SUMIFS(df_extratos!I:I,df_extratos!F:F,"&gt;="&amp;Conciliacao!BF639,df_extratos!F:F,"&lt;"&amp;Conciliacao!BF639+1,df_extratos!G:G,"CREDITO")
+SUMIFS(df_extratos!I:I,df_extratos!F:F,"&gt;="&amp;Conciliacao!BG639,df_extratos!F:F,"&lt;"&amp;Conciliacao!BG639+1,df_extratos!G:G,"CREDITO")
+SUMIFS(df_extratos!I:I,df_extratos!F:F,"&gt;="&amp;Conciliacao!BH639,df_extratos!F:F,"&lt;"&amp;Conciliacao!BH639+1,df_extratos!G:G,"CREDITO")</f>
        <v/>
      </c>
      <c r="I639" s="9">
        <f>H639-SUM(B639:G639)</f>
        <v/>
      </c>
      <c r="J639" s="4">
        <f>SUMIFS(df_blueme_sem_parcelamento!E:E,df_blueme_sem_parcelamento!H:H,Conciliacao!A639)*(-1)</f>
        <v/>
      </c>
      <c r="K639" s="4">
        <f>SUMIFS(df_blueme_com_parcelamento!J:J,df_blueme_com_parcelamento!M:M,Conciliacao!A639)*(-1)</f>
        <v/>
      </c>
      <c r="L639" s="4">
        <f>SUMIFS(df_mutuos!N:N,df_mutuos!B:B,Conciliacao!A639)*(-1)</f>
        <v/>
      </c>
      <c r="M639" s="8">
        <f>SUMIFS(df_bloqueios_judiciais!G:G,df_bloqueios_judiciais!D:D,Conciliacao!A639,df_bloqueios_judiciais!G:G,"&lt;0")</f>
        <v/>
      </c>
      <c r="N639" s="10">
        <f>SUMIFS(df_extratos!I:I,df_extratos!F:F,"&gt;="&amp;Conciliacao!BE639,df_extratos!F:F,"&lt;"&amp;Conciliacao!BE639+1,df_extratos!G:G,"DEBITO")
+SUMIFS(df_extratos!I:I,df_extratos!F:F,"&gt;="&amp;Conciliacao!A639, df_extratos!F:F,"&lt;"&amp;Conciliacao!A639+1, df_extratos!G:G,"DEBITO")
+SUMIFS(df_extratos!I:I,df_extratos!F:F,"&gt;="&amp;Conciliacao!BF639,df_extratos!F:F,"&lt;"&amp;Conciliacao!BF639+1,df_extratos!G:G,"DEBITO")
+SUMIFS(df_extratos!I:I,df_extratos!F:F,"&gt;="&amp;Conciliacao!BG639,df_extratos!F:F,"&lt;"&amp;Conciliacao!BG639+1,df_extratos!G:G,"DEBITO")
+SUMIFS(df_extratos!I:I,df_extratos!F:F,"&gt;="&amp;Conciliacao!BH639,df_extratos!F:F,"&lt;"&amp;Conciliacao!BH639+1,df_extratos!G:G,"DEBITO")</f>
        <v/>
      </c>
      <c r="O639" s="11">
        <f>N639-SUM(J639:M639)</f>
        <v/>
      </c>
      <c r="P639" s="25">
        <f>SUMIFS(df_ajustes_conciliaco!D:D,df_ajustes_conciliaco!C:C,Conciliacao!A639)</f>
        <v/>
      </c>
      <c r="Q639" s="22">
        <f>O639+I639-P639</f>
        <v/>
      </c>
    </row>
    <row r="640">
      <c r="A640" s="5">
        <f>A639+1</f>
        <v/>
      </c>
      <c r="B640" s="3">
        <f>-SUMIFS(df_extrato_zig!G:G,df_extrato_zig!E:E,Conciliacao!A640,df_extrato_zig!D:D,"Saque")-SUMIFS(df_extrato_zig!G:G,df_extrato_zig!E:E,Conciliacao!A640,df_extrato_zig!D:D,"Antecipação")</f>
        <v/>
      </c>
      <c r="C640" s="3">
        <f>SUMIFS(df_extrato_zig!E:E,df_extrato_zig!L:L,Conciliacao!A640,df_extrato_zig!F:F,"DINHEIRO")</f>
        <v/>
      </c>
      <c r="D640" s="3">
        <f>SUMIFS(view_parc_agrup!H:H,view_parc_agrup!G:G,Conciliacao!A640)</f>
        <v/>
      </c>
      <c r="E640" s="3">
        <f>SUMIFS(df_eventos!F:F,df_eventos!H:H,Conciliacao!A640)</f>
        <v/>
      </c>
      <c r="F640" s="3">
        <f>SUMIFS(df_mutuos!M:M,df_mutuos!B:B,Conciliacao!A640)</f>
        <v/>
      </c>
      <c r="G640" s="6">
        <f>SUMIFS(df_bloqueios_judiciais!G:G,df_bloqueios_judiciais!D:D,Conciliacao!A640,df_bloqueios_judiciais!G:G,"&gt;0")</f>
        <v/>
      </c>
      <c r="H640" s="7">
        <f>SUMIFS(df_extratos!I:I,df_extratos!F:F,"&gt;="&amp;Conciliacao!BE640,df_extratos!F:F,"&lt;"&amp;Conciliacao!BE640+1,df_extratos!G:G,"CREDITO")
+SUMIFS(df_extratos!I:I,df_extratos!F:F,"&gt;="&amp;Conciliacao!A640, df_extratos!F:F,"&lt;"&amp;Conciliacao!A640+1, df_extratos!G:G,"CREDITO")
+SUMIFS(df_extratos!I:I,df_extratos!F:F,"&gt;="&amp;Conciliacao!BF640,df_extratos!F:F,"&lt;"&amp;Conciliacao!BF640+1,df_extratos!G:G,"CREDITO")
+SUMIFS(df_extratos!I:I,df_extratos!F:F,"&gt;="&amp;Conciliacao!BG640,df_extratos!F:F,"&lt;"&amp;Conciliacao!BG640+1,df_extratos!G:G,"CREDITO")
+SUMIFS(df_extratos!I:I,df_extratos!F:F,"&gt;="&amp;Conciliacao!BH640,df_extratos!F:F,"&lt;"&amp;Conciliacao!BH640+1,df_extratos!G:G,"CREDITO")</f>
        <v/>
      </c>
      <c r="I640" s="9">
        <f>H640-SUM(B640:G640)</f>
        <v/>
      </c>
      <c r="J640" s="4">
        <f>SUMIFS(df_blueme_sem_parcelamento!E:E,df_blueme_sem_parcelamento!H:H,Conciliacao!A640)*(-1)</f>
        <v/>
      </c>
      <c r="K640" s="4">
        <f>SUMIFS(df_blueme_com_parcelamento!J:J,df_blueme_com_parcelamento!M:M,Conciliacao!A640)*(-1)</f>
        <v/>
      </c>
      <c r="L640" s="4">
        <f>SUMIFS(df_mutuos!N:N,df_mutuos!B:B,Conciliacao!A640)*(-1)</f>
        <v/>
      </c>
      <c r="M640" s="8">
        <f>SUMIFS(df_bloqueios_judiciais!G:G,df_bloqueios_judiciais!D:D,Conciliacao!A640,df_bloqueios_judiciais!G:G,"&lt;0")</f>
        <v/>
      </c>
      <c r="N640" s="10">
        <f>SUMIFS(df_extratos!I:I,df_extratos!F:F,"&gt;="&amp;Conciliacao!BE640,df_extratos!F:F,"&lt;"&amp;Conciliacao!BE640+1,df_extratos!G:G,"DEBITO")
+SUMIFS(df_extratos!I:I,df_extratos!F:F,"&gt;="&amp;Conciliacao!A640, df_extratos!F:F,"&lt;"&amp;Conciliacao!A640+1, df_extratos!G:G,"DEBITO")
+SUMIFS(df_extratos!I:I,df_extratos!F:F,"&gt;="&amp;Conciliacao!BF640,df_extratos!F:F,"&lt;"&amp;Conciliacao!BF640+1,df_extratos!G:G,"DEBITO")
+SUMIFS(df_extratos!I:I,df_extratos!F:F,"&gt;="&amp;Conciliacao!BG640,df_extratos!F:F,"&lt;"&amp;Conciliacao!BG640+1,df_extratos!G:G,"DEBITO")
+SUMIFS(df_extratos!I:I,df_extratos!F:F,"&gt;="&amp;Conciliacao!BH640,df_extratos!F:F,"&lt;"&amp;Conciliacao!BH640+1,df_extratos!G:G,"DEBITO")</f>
        <v/>
      </c>
      <c r="O640" s="11">
        <f>N640-SUM(J640:M640)</f>
        <v/>
      </c>
      <c r="P640" s="25">
        <f>SUMIFS(df_ajustes_conciliaco!D:D,df_ajustes_conciliaco!C:C,Conciliacao!A640)</f>
        <v/>
      </c>
      <c r="Q640" s="22">
        <f>O640+I640-P640</f>
        <v/>
      </c>
    </row>
    <row r="641">
      <c r="A641" s="5">
        <f>A640+1</f>
        <v/>
      </c>
      <c r="B641" s="3">
        <f>-SUMIFS(df_extrato_zig!G:G,df_extrato_zig!E:E,Conciliacao!A641,df_extrato_zig!D:D,"Saque")-SUMIFS(df_extrato_zig!G:G,df_extrato_zig!E:E,Conciliacao!A641,df_extrato_zig!D:D,"Antecipação")</f>
        <v/>
      </c>
      <c r="C641" s="3">
        <f>SUMIFS(df_extrato_zig!E:E,df_extrato_zig!L:L,Conciliacao!A641,df_extrato_zig!F:F,"DINHEIRO")</f>
        <v/>
      </c>
      <c r="D641" s="3">
        <f>SUMIFS(view_parc_agrup!H:H,view_parc_agrup!G:G,Conciliacao!A641)</f>
        <v/>
      </c>
      <c r="E641" s="3">
        <f>SUMIFS(df_eventos!F:F,df_eventos!H:H,Conciliacao!A641)</f>
        <v/>
      </c>
      <c r="F641" s="3">
        <f>SUMIFS(df_mutuos!M:M,df_mutuos!B:B,Conciliacao!A641)</f>
        <v/>
      </c>
      <c r="G641" s="6">
        <f>SUMIFS(df_bloqueios_judiciais!G:G,df_bloqueios_judiciais!D:D,Conciliacao!A641,df_bloqueios_judiciais!G:G,"&gt;0")</f>
        <v/>
      </c>
      <c r="H641" s="7">
        <f>SUMIFS(df_extratos!I:I,df_extratos!F:F,"&gt;="&amp;Conciliacao!BE641,df_extratos!F:F,"&lt;"&amp;Conciliacao!BE641+1,df_extratos!G:G,"CREDITO")
+SUMIFS(df_extratos!I:I,df_extratos!F:F,"&gt;="&amp;Conciliacao!A641, df_extratos!F:F,"&lt;"&amp;Conciliacao!A641+1, df_extratos!G:G,"CREDITO")
+SUMIFS(df_extratos!I:I,df_extratos!F:F,"&gt;="&amp;Conciliacao!BF641,df_extratos!F:F,"&lt;"&amp;Conciliacao!BF641+1,df_extratos!G:G,"CREDITO")
+SUMIFS(df_extratos!I:I,df_extratos!F:F,"&gt;="&amp;Conciliacao!BG641,df_extratos!F:F,"&lt;"&amp;Conciliacao!BG641+1,df_extratos!G:G,"CREDITO")
+SUMIFS(df_extratos!I:I,df_extratos!F:F,"&gt;="&amp;Conciliacao!BH641,df_extratos!F:F,"&lt;"&amp;Conciliacao!BH641+1,df_extratos!G:G,"CREDITO")</f>
        <v/>
      </c>
      <c r="I641" s="9">
        <f>H641-SUM(B641:G641)</f>
        <v/>
      </c>
      <c r="J641" s="4">
        <f>SUMIFS(df_blueme_sem_parcelamento!E:E,df_blueme_sem_parcelamento!H:H,Conciliacao!A641)*(-1)</f>
        <v/>
      </c>
      <c r="K641" s="4">
        <f>SUMIFS(df_blueme_com_parcelamento!J:J,df_blueme_com_parcelamento!M:M,Conciliacao!A641)*(-1)</f>
        <v/>
      </c>
      <c r="L641" s="4">
        <f>SUMIFS(df_mutuos!N:N,df_mutuos!B:B,Conciliacao!A641)*(-1)</f>
        <v/>
      </c>
      <c r="M641" s="8">
        <f>SUMIFS(df_bloqueios_judiciais!G:G,df_bloqueios_judiciais!D:D,Conciliacao!A641,df_bloqueios_judiciais!G:G,"&lt;0")</f>
        <v/>
      </c>
      <c r="N641" s="10">
        <f>SUMIFS(df_extratos!I:I,df_extratos!F:F,"&gt;="&amp;Conciliacao!BE641,df_extratos!F:F,"&lt;"&amp;Conciliacao!BE641+1,df_extratos!G:G,"DEBITO")
+SUMIFS(df_extratos!I:I,df_extratos!F:F,"&gt;="&amp;Conciliacao!A641, df_extratos!F:F,"&lt;"&amp;Conciliacao!A641+1, df_extratos!G:G,"DEBITO")
+SUMIFS(df_extratos!I:I,df_extratos!F:F,"&gt;="&amp;Conciliacao!BF641,df_extratos!F:F,"&lt;"&amp;Conciliacao!BF641+1,df_extratos!G:G,"DEBITO")
+SUMIFS(df_extratos!I:I,df_extratos!F:F,"&gt;="&amp;Conciliacao!BG641,df_extratos!F:F,"&lt;"&amp;Conciliacao!BG641+1,df_extratos!G:G,"DEBITO")
+SUMIFS(df_extratos!I:I,df_extratos!F:F,"&gt;="&amp;Conciliacao!BH641,df_extratos!F:F,"&lt;"&amp;Conciliacao!BH641+1,df_extratos!G:G,"DEBITO")</f>
        <v/>
      </c>
      <c r="O641" s="11">
        <f>N641-SUM(J641:M641)</f>
        <v/>
      </c>
      <c r="P641" s="25">
        <f>SUMIFS(df_ajustes_conciliaco!D:D,df_ajustes_conciliaco!C:C,Conciliacao!A641)</f>
        <v/>
      </c>
      <c r="Q641" s="22">
        <f>O641+I641-P641</f>
        <v/>
      </c>
    </row>
    <row r="642">
      <c r="A642" s="5">
        <f>A641+1</f>
        <v/>
      </c>
      <c r="B642" s="3">
        <f>-SUMIFS(df_extrato_zig!G:G,df_extrato_zig!E:E,Conciliacao!A642,df_extrato_zig!D:D,"Saque")-SUMIFS(df_extrato_zig!G:G,df_extrato_zig!E:E,Conciliacao!A642,df_extrato_zig!D:D,"Antecipação")</f>
        <v/>
      </c>
      <c r="C642" s="3">
        <f>SUMIFS(df_extrato_zig!E:E,df_extrato_zig!L:L,Conciliacao!A642,df_extrato_zig!F:F,"DINHEIRO")</f>
        <v/>
      </c>
      <c r="D642" s="3">
        <f>SUMIFS(view_parc_agrup!H:H,view_parc_agrup!G:G,Conciliacao!A642)</f>
        <v/>
      </c>
      <c r="E642" s="3">
        <f>SUMIFS(df_eventos!F:F,df_eventos!H:H,Conciliacao!A642)</f>
        <v/>
      </c>
      <c r="F642" s="3">
        <f>SUMIFS(df_mutuos!M:M,df_mutuos!B:B,Conciliacao!A642)</f>
        <v/>
      </c>
      <c r="G642" s="6">
        <f>SUMIFS(df_bloqueios_judiciais!G:G,df_bloqueios_judiciais!D:D,Conciliacao!A642,df_bloqueios_judiciais!G:G,"&gt;0")</f>
        <v/>
      </c>
      <c r="H642" s="7">
        <f>SUMIFS(df_extratos!I:I,df_extratos!F:F,"&gt;="&amp;Conciliacao!BE642,df_extratos!F:F,"&lt;"&amp;Conciliacao!BE642+1,df_extratos!G:G,"CREDITO")
+SUMIFS(df_extratos!I:I,df_extratos!F:F,"&gt;="&amp;Conciliacao!A642, df_extratos!F:F,"&lt;"&amp;Conciliacao!A642+1, df_extratos!G:G,"CREDITO")
+SUMIFS(df_extratos!I:I,df_extratos!F:F,"&gt;="&amp;Conciliacao!BF642,df_extratos!F:F,"&lt;"&amp;Conciliacao!BF642+1,df_extratos!G:G,"CREDITO")
+SUMIFS(df_extratos!I:I,df_extratos!F:F,"&gt;="&amp;Conciliacao!BG642,df_extratos!F:F,"&lt;"&amp;Conciliacao!BG642+1,df_extratos!G:G,"CREDITO")
+SUMIFS(df_extratos!I:I,df_extratos!F:F,"&gt;="&amp;Conciliacao!BH642,df_extratos!F:F,"&lt;"&amp;Conciliacao!BH642+1,df_extratos!G:G,"CREDITO")</f>
        <v/>
      </c>
      <c r="I642" s="9">
        <f>H642-SUM(B642:G642)</f>
        <v/>
      </c>
      <c r="J642" s="4">
        <f>SUMIFS(df_blueme_sem_parcelamento!E:E,df_blueme_sem_parcelamento!H:H,Conciliacao!A642)*(-1)</f>
        <v/>
      </c>
      <c r="K642" s="4">
        <f>SUMIFS(df_blueme_com_parcelamento!J:J,df_blueme_com_parcelamento!M:M,Conciliacao!A642)*(-1)</f>
        <v/>
      </c>
      <c r="L642" s="4">
        <f>SUMIFS(df_mutuos!N:N,df_mutuos!B:B,Conciliacao!A642)*(-1)</f>
        <v/>
      </c>
      <c r="M642" s="8">
        <f>SUMIFS(df_bloqueios_judiciais!G:G,df_bloqueios_judiciais!D:D,Conciliacao!A642,df_bloqueios_judiciais!G:G,"&lt;0")</f>
        <v/>
      </c>
      <c r="N642" s="10">
        <f>SUMIFS(df_extratos!I:I,df_extratos!F:F,"&gt;="&amp;Conciliacao!BE642,df_extratos!F:F,"&lt;"&amp;Conciliacao!BE642+1,df_extratos!G:G,"DEBITO")
+SUMIFS(df_extratos!I:I,df_extratos!F:F,"&gt;="&amp;Conciliacao!A642, df_extratos!F:F,"&lt;"&amp;Conciliacao!A642+1, df_extratos!G:G,"DEBITO")
+SUMIFS(df_extratos!I:I,df_extratos!F:F,"&gt;="&amp;Conciliacao!BF642,df_extratos!F:F,"&lt;"&amp;Conciliacao!BF642+1,df_extratos!G:G,"DEBITO")
+SUMIFS(df_extratos!I:I,df_extratos!F:F,"&gt;="&amp;Conciliacao!BG642,df_extratos!F:F,"&lt;"&amp;Conciliacao!BG642+1,df_extratos!G:G,"DEBITO")
+SUMIFS(df_extratos!I:I,df_extratos!F:F,"&gt;="&amp;Conciliacao!BH642,df_extratos!F:F,"&lt;"&amp;Conciliacao!BH642+1,df_extratos!G:G,"DEBITO")</f>
        <v/>
      </c>
      <c r="O642" s="11">
        <f>N642-SUM(J642:M642)</f>
        <v/>
      </c>
      <c r="P642" s="25">
        <f>SUMIFS(df_ajustes_conciliaco!D:D,df_ajustes_conciliaco!C:C,Conciliacao!A642)</f>
        <v/>
      </c>
      <c r="Q642" s="22">
        <f>O642+I642-P642</f>
        <v/>
      </c>
    </row>
    <row r="643">
      <c r="A643" s="5">
        <f>A642+1</f>
        <v/>
      </c>
      <c r="B643" s="3">
        <f>-SUMIFS(df_extrato_zig!G:G,df_extrato_zig!E:E,Conciliacao!A643,df_extrato_zig!D:D,"Saque")-SUMIFS(df_extrato_zig!G:G,df_extrato_zig!E:E,Conciliacao!A643,df_extrato_zig!D:D,"Antecipação")</f>
        <v/>
      </c>
      <c r="C643" s="3">
        <f>SUMIFS(df_extrato_zig!E:E,df_extrato_zig!L:L,Conciliacao!A643,df_extrato_zig!F:F,"DINHEIRO")</f>
        <v/>
      </c>
      <c r="D643" s="3">
        <f>SUMIFS(view_parc_agrup!H:H,view_parc_agrup!G:G,Conciliacao!A643)</f>
        <v/>
      </c>
      <c r="E643" s="3">
        <f>SUMIFS(df_eventos!F:F,df_eventos!H:H,Conciliacao!A643)</f>
        <v/>
      </c>
      <c r="F643" s="3">
        <f>SUMIFS(df_mutuos!M:M,df_mutuos!B:B,Conciliacao!A643)</f>
        <v/>
      </c>
      <c r="G643" s="6">
        <f>SUMIFS(df_bloqueios_judiciais!G:G,df_bloqueios_judiciais!D:D,Conciliacao!A643,df_bloqueios_judiciais!G:G,"&gt;0")</f>
        <v/>
      </c>
      <c r="H643" s="7">
        <f>SUMIFS(df_extratos!I:I,df_extratos!F:F,"&gt;="&amp;Conciliacao!BE643,df_extratos!F:F,"&lt;"&amp;Conciliacao!BE643+1,df_extratos!G:G,"CREDITO")
+SUMIFS(df_extratos!I:I,df_extratos!F:F,"&gt;="&amp;Conciliacao!A643, df_extratos!F:F,"&lt;"&amp;Conciliacao!A643+1, df_extratos!G:G,"CREDITO")
+SUMIFS(df_extratos!I:I,df_extratos!F:F,"&gt;="&amp;Conciliacao!BF643,df_extratos!F:F,"&lt;"&amp;Conciliacao!BF643+1,df_extratos!G:G,"CREDITO")
+SUMIFS(df_extratos!I:I,df_extratos!F:F,"&gt;="&amp;Conciliacao!BG643,df_extratos!F:F,"&lt;"&amp;Conciliacao!BG643+1,df_extratos!G:G,"CREDITO")
+SUMIFS(df_extratos!I:I,df_extratos!F:F,"&gt;="&amp;Conciliacao!BH643,df_extratos!F:F,"&lt;"&amp;Conciliacao!BH643+1,df_extratos!G:G,"CREDITO")</f>
        <v/>
      </c>
      <c r="I643" s="9">
        <f>H643-SUM(B643:G643)</f>
        <v/>
      </c>
      <c r="J643" s="4">
        <f>SUMIFS(df_blueme_sem_parcelamento!E:E,df_blueme_sem_parcelamento!H:H,Conciliacao!A643)*(-1)</f>
        <v/>
      </c>
      <c r="K643" s="4">
        <f>SUMIFS(df_blueme_com_parcelamento!J:J,df_blueme_com_parcelamento!M:M,Conciliacao!A643)*(-1)</f>
        <v/>
      </c>
      <c r="L643" s="4">
        <f>SUMIFS(df_mutuos!N:N,df_mutuos!B:B,Conciliacao!A643)*(-1)</f>
        <v/>
      </c>
      <c r="M643" s="8">
        <f>SUMIFS(df_bloqueios_judiciais!G:G,df_bloqueios_judiciais!D:D,Conciliacao!A643,df_bloqueios_judiciais!G:G,"&lt;0")</f>
        <v/>
      </c>
      <c r="N643" s="10">
        <f>SUMIFS(df_extratos!I:I,df_extratos!F:F,"&gt;="&amp;Conciliacao!BE643,df_extratos!F:F,"&lt;"&amp;Conciliacao!BE643+1,df_extratos!G:G,"DEBITO")
+SUMIFS(df_extratos!I:I,df_extratos!F:F,"&gt;="&amp;Conciliacao!A643, df_extratos!F:F,"&lt;"&amp;Conciliacao!A643+1, df_extratos!G:G,"DEBITO")
+SUMIFS(df_extratos!I:I,df_extratos!F:F,"&gt;="&amp;Conciliacao!BF643,df_extratos!F:F,"&lt;"&amp;Conciliacao!BF643+1,df_extratos!G:G,"DEBITO")
+SUMIFS(df_extratos!I:I,df_extratos!F:F,"&gt;="&amp;Conciliacao!BG643,df_extratos!F:F,"&lt;"&amp;Conciliacao!BG643+1,df_extratos!G:G,"DEBITO")
+SUMIFS(df_extratos!I:I,df_extratos!F:F,"&gt;="&amp;Conciliacao!BH643,df_extratos!F:F,"&lt;"&amp;Conciliacao!BH643+1,df_extratos!G:G,"DEBITO")</f>
        <v/>
      </c>
      <c r="O643" s="11">
        <f>N643-SUM(J643:M643)</f>
        <v/>
      </c>
      <c r="P643" s="25">
        <f>SUMIFS(df_ajustes_conciliaco!D:D,df_ajustes_conciliaco!C:C,Conciliacao!A643)</f>
        <v/>
      </c>
      <c r="Q643" s="22">
        <f>O643+I643-P643</f>
        <v/>
      </c>
    </row>
    <row r="644">
      <c r="A644" s="5">
        <f>A643+1</f>
        <v/>
      </c>
      <c r="B644" s="3">
        <f>-SUMIFS(df_extrato_zig!G:G,df_extrato_zig!E:E,Conciliacao!A644,df_extrato_zig!D:D,"Saque")-SUMIFS(df_extrato_zig!G:G,df_extrato_zig!E:E,Conciliacao!A644,df_extrato_zig!D:D,"Antecipação")</f>
        <v/>
      </c>
      <c r="C644" s="3">
        <f>SUMIFS(df_extrato_zig!E:E,df_extrato_zig!L:L,Conciliacao!A644,df_extrato_zig!F:F,"DINHEIRO")</f>
        <v/>
      </c>
      <c r="D644" s="3">
        <f>SUMIFS(view_parc_agrup!H:H,view_parc_agrup!G:G,Conciliacao!A644)</f>
        <v/>
      </c>
      <c r="E644" s="3">
        <f>SUMIFS(df_eventos!F:F,df_eventos!H:H,Conciliacao!A644)</f>
        <v/>
      </c>
      <c r="F644" s="3">
        <f>SUMIFS(df_mutuos!M:M,df_mutuos!B:B,Conciliacao!A644)</f>
        <v/>
      </c>
      <c r="G644" s="6">
        <f>SUMIFS(df_bloqueios_judiciais!G:G,df_bloqueios_judiciais!D:D,Conciliacao!A644,df_bloqueios_judiciais!G:G,"&gt;0")</f>
        <v/>
      </c>
      <c r="H644" s="7">
        <f>SUMIFS(df_extratos!I:I,df_extratos!F:F,"&gt;="&amp;Conciliacao!BE644,df_extratos!F:F,"&lt;"&amp;Conciliacao!BE644+1,df_extratos!G:G,"CREDITO")
+SUMIFS(df_extratos!I:I,df_extratos!F:F,"&gt;="&amp;Conciliacao!A644, df_extratos!F:F,"&lt;"&amp;Conciliacao!A644+1, df_extratos!G:G,"CREDITO")
+SUMIFS(df_extratos!I:I,df_extratos!F:F,"&gt;="&amp;Conciliacao!BF644,df_extratos!F:F,"&lt;"&amp;Conciliacao!BF644+1,df_extratos!G:G,"CREDITO")
+SUMIFS(df_extratos!I:I,df_extratos!F:F,"&gt;="&amp;Conciliacao!BG644,df_extratos!F:F,"&lt;"&amp;Conciliacao!BG644+1,df_extratos!G:G,"CREDITO")
+SUMIFS(df_extratos!I:I,df_extratos!F:F,"&gt;="&amp;Conciliacao!BH644,df_extratos!F:F,"&lt;"&amp;Conciliacao!BH644+1,df_extratos!G:G,"CREDITO")</f>
        <v/>
      </c>
      <c r="I644" s="9">
        <f>H644-SUM(B644:G644)</f>
        <v/>
      </c>
      <c r="J644" s="4">
        <f>SUMIFS(df_blueme_sem_parcelamento!E:E,df_blueme_sem_parcelamento!H:H,Conciliacao!A644)*(-1)</f>
        <v/>
      </c>
      <c r="K644" s="4">
        <f>SUMIFS(df_blueme_com_parcelamento!J:J,df_blueme_com_parcelamento!M:M,Conciliacao!A644)*(-1)</f>
        <v/>
      </c>
      <c r="L644" s="4">
        <f>SUMIFS(df_mutuos!N:N,df_mutuos!B:B,Conciliacao!A644)*(-1)</f>
        <v/>
      </c>
      <c r="M644" s="8">
        <f>SUMIFS(df_bloqueios_judiciais!G:G,df_bloqueios_judiciais!D:D,Conciliacao!A644,df_bloqueios_judiciais!G:G,"&lt;0")</f>
        <v/>
      </c>
      <c r="N644" s="10">
        <f>SUMIFS(df_extratos!I:I,df_extratos!F:F,"&gt;="&amp;Conciliacao!BE644,df_extratos!F:F,"&lt;"&amp;Conciliacao!BE644+1,df_extratos!G:G,"DEBITO")
+SUMIFS(df_extratos!I:I,df_extratos!F:F,"&gt;="&amp;Conciliacao!A644, df_extratos!F:F,"&lt;"&amp;Conciliacao!A644+1, df_extratos!G:G,"DEBITO")
+SUMIFS(df_extratos!I:I,df_extratos!F:F,"&gt;="&amp;Conciliacao!BF644,df_extratos!F:F,"&lt;"&amp;Conciliacao!BF644+1,df_extratos!G:G,"DEBITO")
+SUMIFS(df_extratos!I:I,df_extratos!F:F,"&gt;="&amp;Conciliacao!BG644,df_extratos!F:F,"&lt;"&amp;Conciliacao!BG644+1,df_extratos!G:G,"DEBITO")
+SUMIFS(df_extratos!I:I,df_extratos!F:F,"&gt;="&amp;Conciliacao!BH644,df_extratos!F:F,"&lt;"&amp;Conciliacao!BH644+1,df_extratos!G:G,"DEBITO")</f>
        <v/>
      </c>
      <c r="O644" s="11">
        <f>N644-SUM(J644:M644)</f>
        <v/>
      </c>
      <c r="P644" s="25">
        <f>SUMIFS(df_ajustes_conciliaco!D:D,df_ajustes_conciliaco!C:C,Conciliacao!A644)</f>
        <v/>
      </c>
      <c r="Q644" s="22">
        <f>O644+I644-P644</f>
        <v/>
      </c>
    </row>
    <row r="645">
      <c r="A645" s="5">
        <f>A644+1</f>
        <v/>
      </c>
      <c r="B645" s="3">
        <f>-SUMIFS(df_extrato_zig!G:G,df_extrato_zig!E:E,Conciliacao!A645,df_extrato_zig!D:D,"Saque")-SUMIFS(df_extrato_zig!G:G,df_extrato_zig!E:E,Conciliacao!A645,df_extrato_zig!D:D,"Antecipação")</f>
        <v/>
      </c>
      <c r="C645" s="3">
        <f>SUMIFS(df_extrato_zig!E:E,df_extrato_zig!L:L,Conciliacao!A645,df_extrato_zig!F:F,"DINHEIRO")</f>
        <v/>
      </c>
      <c r="D645" s="3">
        <f>SUMIFS(view_parc_agrup!H:H,view_parc_agrup!G:G,Conciliacao!A645)</f>
        <v/>
      </c>
      <c r="E645" s="3">
        <f>SUMIFS(df_eventos!F:F,df_eventos!H:H,Conciliacao!A645)</f>
        <v/>
      </c>
      <c r="F645" s="3">
        <f>SUMIFS(df_mutuos!M:M,df_mutuos!B:B,Conciliacao!A645)</f>
        <v/>
      </c>
      <c r="G645" s="6">
        <f>SUMIFS(df_bloqueios_judiciais!G:G,df_bloqueios_judiciais!D:D,Conciliacao!A645,df_bloqueios_judiciais!G:G,"&gt;0")</f>
        <v/>
      </c>
      <c r="H645" s="7">
        <f>SUMIFS(df_extratos!I:I,df_extratos!F:F,"&gt;="&amp;Conciliacao!BE645,df_extratos!F:F,"&lt;"&amp;Conciliacao!BE645+1,df_extratos!G:G,"CREDITO")
+SUMIFS(df_extratos!I:I,df_extratos!F:F,"&gt;="&amp;Conciliacao!A645, df_extratos!F:F,"&lt;"&amp;Conciliacao!A645+1, df_extratos!G:G,"CREDITO")
+SUMIFS(df_extratos!I:I,df_extratos!F:F,"&gt;="&amp;Conciliacao!BF645,df_extratos!F:F,"&lt;"&amp;Conciliacao!BF645+1,df_extratos!G:G,"CREDITO")
+SUMIFS(df_extratos!I:I,df_extratos!F:F,"&gt;="&amp;Conciliacao!BG645,df_extratos!F:F,"&lt;"&amp;Conciliacao!BG645+1,df_extratos!G:G,"CREDITO")
+SUMIFS(df_extratos!I:I,df_extratos!F:F,"&gt;="&amp;Conciliacao!BH645,df_extratos!F:F,"&lt;"&amp;Conciliacao!BH645+1,df_extratos!G:G,"CREDITO")</f>
        <v/>
      </c>
      <c r="I645" s="9">
        <f>H645-SUM(B645:G645)</f>
        <v/>
      </c>
      <c r="J645" s="4">
        <f>SUMIFS(df_blueme_sem_parcelamento!E:E,df_blueme_sem_parcelamento!H:H,Conciliacao!A645)*(-1)</f>
        <v/>
      </c>
      <c r="K645" s="4">
        <f>SUMIFS(df_blueme_com_parcelamento!J:J,df_blueme_com_parcelamento!M:M,Conciliacao!A645)*(-1)</f>
        <v/>
      </c>
      <c r="L645" s="4">
        <f>SUMIFS(df_mutuos!N:N,df_mutuos!B:B,Conciliacao!A645)*(-1)</f>
        <v/>
      </c>
      <c r="M645" s="8">
        <f>SUMIFS(df_bloqueios_judiciais!G:G,df_bloqueios_judiciais!D:D,Conciliacao!A645,df_bloqueios_judiciais!G:G,"&lt;0")</f>
        <v/>
      </c>
      <c r="N645" s="10">
        <f>SUMIFS(df_extratos!I:I,df_extratos!F:F,"&gt;="&amp;Conciliacao!BE645,df_extratos!F:F,"&lt;"&amp;Conciliacao!BE645+1,df_extratos!G:G,"DEBITO")
+SUMIFS(df_extratos!I:I,df_extratos!F:F,"&gt;="&amp;Conciliacao!A645, df_extratos!F:F,"&lt;"&amp;Conciliacao!A645+1, df_extratos!G:G,"DEBITO")
+SUMIFS(df_extratos!I:I,df_extratos!F:F,"&gt;="&amp;Conciliacao!BF645,df_extratos!F:F,"&lt;"&amp;Conciliacao!BF645+1,df_extratos!G:G,"DEBITO")
+SUMIFS(df_extratos!I:I,df_extratos!F:F,"&gt;="&amp;Conciliacao!BG645,df_extratos!F:F,"&lt;"&amp;Conciliacao!BG645+1,df_extratos!G:G,"DEBITO")
+SUMIFS(df_extratos!I:I,df_extratos!F:F,"&gt;="&amp;Conciliacao!BH645,df_extratos!F:F,"&lt;"&amp;Conciliacao!BH645+1,df_extratos!G:G,"DEBITO")</f>
        <v/>
      </c>
      <c r="O645" s="11">
        <f>N645-SUM(J645:M645)</f>
        <v/>
      </c>
      <c r="P645" s="25">
        <f>SUMIFS(df_ajustes_conciliaco!D:D,df_ajustes_conciliaco!C:C,Conciliacao!A645)</f>
        <v/>
      </c>
      <c r="Q645" s="22">
        <f>O645+I645-P645</f>
        <v/>
      </c>
    </row>
    <row r="646">
      <c r="A646" s="5">
        <f>A645+1</f>
        <v/>
      </c>
      <c r="B646" s="3">
        <f>-SUMIFS(df_extrato_zig!G:G,df_extrato_zig!E:E,Conciliacao!A646,df_extrato_zig!D:D,"Saque")-SUMIFS(df_extrato_zig!G:G,df_extrato_zig!E:E,Conciliacao!A646,df_extrato_zig!D:D,"Antecipação")</f>
        <v/>
      </c>
      <c r="C646" s="3">
        <f>SUMIFS(df_extrato_zig!E:E,df_extrato_zig!L:L,Conciliacao!A646,df_extrato_zig!F:F,"DINHEIRO")</f>
        <v/>
      </c>
      <c r="D646" s="3">
        <f>SUMIFS(view_parc_agrup!H:H,view_parc_agrup!G:G,Conciliacao!A646)</f>
        <v/>
      </c>
      <c r="E646" s="3">
        <f>SUMIFS(df_eventos!F:F,df_eventos!H:H,Conciliacao!A646)</f>
        <v/>
      </c>
      <c r="F646" s="3">
        <f>SUMIFS(df_mutuos!M:M,df_mutuos!B:B,Conciliacao!A646)</f>
        <v/>
      </c>
      <c r="G646" s="6">
        <f>SUMIFS(df_bloqueios_judiciais!G:G,df_bloqueios_judiciais!D:D,Conciliacao!A646,df_bloqueios_judiciais!G:G,"&gt;0")</f>
        <v/>
      </c>
      <c r="H646" s="7">
        <f>SUMIFS(df_extratos!I:I,df_extratos!F:F,"&gt;="&amp;Conciliacao!BE646,df_extratos!F:F,"&lt;"&amp;Conciliacao!BE646+1,df_extratos!G:G,"CREDITO")
+SUMIFS(df_extratos!I:I,df_extratos!F:F,"&gt;="&amp;Conciliacao!A646, df_extratos!F:F,"&lt;"&amp;Conciliacao!A646+1, df_extratos!G:G,"CREDITO")
+SUMIFS(df_extratos!I:I,df_extratos!F:F,"&gt;="&amp;Conciliacao!BF646,df_extratos!F:F,"&lt;"&amp;Conciliacao!BF646+1,df_extratos!G:G,"CREDITO")
+SUMIFS(df_extratos!I:I,df_extratos!F:F,"&gt;="&amp;Conciliacao!BG646,df_extratos!F:F,"&lt;"&amp;Conciliacao!BG646+1,df_extratos!G:G,"CREDITO")
+SUMIFS(df_extratos!I:I,df_extratos!F:F,"&gt;="&amp;Conciliacao!BH646,df_extratos!F:F,"&lt;"&amp;Conciliacao!BH646+1,df_extratos!G:G,"CREDITO")</f>
        <v/>
      </c>
      <c r="I646" s="9">
        <f>H646-SUM(B646:G646)</f>
        <v/>
      </c>
      <c r="J646" s="4">
        <f>SUMIFS(df_blueme_sem_parcelamento!E:E,df_blueme_sem_parcelamento!H:H,Conciliacao!A646)*(-1)</f>
        <v/>
      </c>
      <c r="K646" s="4">
        <f>SUMIFS(df_blueme_com_parcelamento!J:J,df_blueme_com_parcelamento!M:M,Conciliacao!A646)*(-1)</f>
        <v/>
      </c>
      <c r="L646" s="4">
        <f>SUMIFS(df_mutuos!N:N,df_mutuos!B:B,Conciliacao!A646)*(-1)</f>
        <v/>
      </c>
      <c r="M646" s="8">
        <f>SUMIFS(df_bloqueios_judiciais!G:G,df_bloqueios_judiciais!D:D,Conciliacao!A646,df_bloqueios_judiciais!G:G,"&lt;0")</f>
        <v/>
      </c>
      <c r="N646" s="10">
        <f>SUMIFS(df_extratos!I:I,df_extratos!F:F,"&gt;="&amp;Conciliacao!BE646,df_extratos!F:F,"&lt;"&amp;Conciliacao!BE646+1,df_extratos!G:G,"DEBITO")
+SUMIFS(df_extratos!I:I,df_extratos!F:F,"&gt;="&amp;Conciliacao!A646, df_extratos!F:F,"&lt;"&amp;Conciliacao!A646+1, df_extratos!G:G,"DEBITO")
+SUMIFS(df_extratos!I:I,df_extratos!F:F,"&gt;="&amp;Conciliacao!BF646,df_extratos!F:F,"&lt;"&amp;Conciliacao!BF646+1,df_extratos!G:G,"DEBITO")
+SUMIFS(df_extratos!I:I,df_extratos!F:F,"&gt;="&amp;Conciliacao!BG646,df_extratos!F:F,"&lt;"&amp;Conciliacao!BG646+1,df_extratos!G:G,"DEBITO")
+SUMIFS(df_extratos!I:I,df_extratos!F:F,"&gt;="&amp;Conciliacao!BH646,df_extratos!F:F,"&lt;"&amp;Conciliacao!BH646+1,df_extratos!G:G,"DEBITO")</f>
        <v/>
      </c>
      <c r="O646" s="11">
        <f>N646-SUM(J646:M646)</f>
        <v/>
      </c>
      <c r="P646" s="25">
        <f>SUMIFS(df_ajustes_conciliaco!D:D,df_ajustes_conciliaco!C:C,Conciliacao!A646)</f>
        <v/>
      </c>
      <c r="Q646" s="22">
        <f>O646+I646-P646</f>
        <v/>
      </c>
    </row>
    <row r="647">
      <c r="A647" s="5">
        <f>A646+1</f>
        <v/>
      </c>
      <c r="B647" s="3">
        <f>-SUMIFS(df_extrato_zig!G:G,df_extrato_zig!E:E,Conciliacao!A647,df_extrato_zig!D:D,"Saque")-SUMIFS(df_extrato_zig!G:G,df_extrato_zig!E:E,Conciliacao!A647,df_extrato_zig!D:D,"Antecipação")</f>
        <v/>
      </c>
      <c r="C647" s="3">
        <f>SUMIFS(df_extrato_zig!E:E,df_extrato_zig!L:L,Conciliacao!A647,df_extrato_zig!F:F,"DINHEIRO")</f>
        <v/>
      </c>
      <c r="D647" s="3">
        <f>SUMIFS(view_parc_agrup!H:H,view_parc_agrup!G:G,Conciliacao!A647)</f>
        <v/>
      </c>
      <c r="E647" s="3">
        <f>SUMIFS(df_eventos!F:F,df_eventos!H:H,Conciliacao!A647)</f>
        <v/>
      </c>
      <c r="F647" s="3">
        <f>SUMIFS(df_mutuos!M:M,df_mutuos!B:B,Conciliacao!A647)</f>
        <v/>
      </c>
      <c r="G647" s="6">
        <f>SUMIFS(df_bloqueios_judiciais!G:G,df_bloqueios_judiciais!D:D,Conciliacao!A647,df_bloqueios_judiciais!G:G,"&gt;0")</f>
        <v/>
      </c>
      <c r="H647" s="7">
        <f>SUMIFS(df_extratos!I:I,df_extratos!F:F,"&gt;="&amp;Conciliacao!BE647,df_extratos!F:F,"&lt;"&amp;Conciliacao!BE647+1,df_extratos!G:G,"CREDITO")
+SUMIFS(df_extratos!I:I,df_extratos!F:F,"&gt;="&amp;Conciliacao!A647, df_extratos!F:F,"&lt;"&amp;Conciliacao!A647+1, df_extratos!G:G,"CREDITO")
+SUMIFS(df_extratos!I:I,df_extratos!F:F,"&gt;="&amp;Conciliacao!BF647,df_extratos!F:F,"&lt;"&amp;Conciliacao!BF647+1,df_extratos!G:G,"CREDITO")
+SUMIFS(df_extratos!I:I,df_extratos!F:F,"&gt;="&amp;Conciliacao!BG647,df_extratos!F:F,"&lt;"&amp;Conciliacao!BG647+1,df_extratos!G:G,"CREDITO")
+SUMIFS(df_extratos!I:I,df_extratos!F:F,"&gt;="&amp;Conciliacao!BH647,df_extratos!F:F,"&lt;"&amp;Conciliacao!BH647+1,df_extratos!G:G,"CREDITO")</f>
        <v/>
      </c>
      <c r="I647" s="9">
        <f>H647-SUM(B647:G647)</f>
        <v/>
      </c>
      <c r="J647" s="4">
        <f>SUMIFS(df_blueme_sem_parcelamento!E:E,df_blueme_sem_parcelamento!H:H,Conciliacao!A647)*(-1)</f>
        <v/>
      </c>
      <c r="K647" s="4">
        <f>SUMIFS(df_blueme_com_parcelamento!J:J,df_blueme_com_parcelamento!M:M,Conciliacao!A647)*(-1)</f>
        <v/>
      </c>
      <c r="L647" s="4">
        <f>SUMIFS(df_mutuos!N:N,df_mutuos!B:B,Conciliacao!A647)*(-1)</f>
        <v/>
      </c>
      <c r="M647" s="8">
        <f>SUMIFS(df_bloqueios_judiciais!G:G,df_bloqueios_judiciais!D:D,Conciliacao!A647,df_bloqueios_judiciais!G:G,"&lt;0")</f>
        <v/>
      </c>
      <c r="N647" s="10">
        <f>SUMIFS(df_extratos!I:I,df_extratos!F:F,"&gt;="&amp;Conciliacao!BE647,df_extratos!F:F,"&lt;"&amp;Conciliacao!BE647+1,df_extratos!G:G,"DEBITO")
+SUMIFS(df_extratos!I:I,df_extratos!F:F,"&gt;="&amp;Conciliacao!A647, df_extratos!F:F,"&lt;"&amp;Conciliacao!A647+1, df_extratos!G:G,"DEBITO")
+SUMIFS(df_extratos!I:I,df_extratos!F:F,"&gt;="&amp;Conciliacao!BF647,df_extratos!F:F,"&lt;"&amp;Conciliacao!BF647+1,df_extratos!G:G,"DEBITO")
+SUMIFS(df_extratos!I:I,df_extratos!F:F,"&gt;="&amp;Conciliacao!BG647,df_extratos!F:F,"&lt;"&amp;Conciliacao!BG647+1,df_extratos!G:G,"DEBITO")
+SUMIFS(df_extratos!I:I,df_extratos!F:F,"&gt;="&amp;Conciliacao!BH647,df_extratos!F:F,"&lt;"&amp;Conciliacao!BH647+1,df_extratos!G:G,"DEBITO")</f>
        <v/>
      </c>
      <c r="O647" s="11">
        <f>N647-SUM(J647:M647)</f>
        <v/>
      </c>
      <c r="P647" s="25">
        <f>SUMIFS(df_ajustes_conciliaco!D:D,df_ajustes_conciliaco!C:C,Conciliacao!A647)</f>
        <v/>
      </c>
      <c r="Q647" s="22">
        <f>O647+I647-P647</f>
        <v/>
      </c>
    </row>
    <row r="648">
      <c r="A648" s="5">
        <f>A647+1</f>
        <v/>
      </c>
      <c r="B648" s="3">
        <f>-SUMIFS(df_extrato_zig!G:G,df_extrato_zig!E:E,Conciliacao!A648,df_extrato_zig!D:D,"Saque")-SUMIFS(df_extrato_zig!G:G,df_extrato_zig!E:E,Conciliacao!A648,df_extrato_zig!D:D,"Antecipação")</f>
        <v/>
      </c>
      <c r="C648" s="3">
        <f>SUMIFS(df_extrato_zig!E:E,df_extrato_zig!L:L,Conciliacao!A648,df_extrato_zig!F:F,"DINHEIRO")</f>
        <v/>
      </c>
      <c r="D648" s="3">
        <f>SUMIFS(view_parc_agrup!H:H,view_parc_agrup!G:G,Conciliacao!A648)</f>
        <v/>
      </c>
      <c r="E648" s="3">
        <f>SUMIFS(df_eventos!F:F,df_eventos!H:H,Conciliacao!A648)</f>
        <v/>
      </c>
      <c r="F648" s="3">
        <f>SUMIFS(df_mutuos!M:M,df_mutuos!B:B,Conciliacao!A648)</f>
        <v/>
      </c>
      <c r="G648" s="6">
        <f>SUMIFS(df_bloqueios_judiciais!G:G,df_bloqueios_judiciais!D:D,Conciliacao!A648,df_bloqueios_judiciais!G:G,"&gt;0")</f>
        <v/>
      </c>
      <c r="H648" s="7">
        <f>SUMIFS(df_extratos!I:I,df_extratos!F:F,"&gt;="&amp;Conciliacao!BE648,df_extratos!F:F,"&lt;"&amp;Conciliacao!BE648+1,df_extratos!G:G,"CREDITO")
+SUMIFS(df_extratos!I:I,df_extratos!F:F,"&gt;="&amp;Conciliacao!A648, df_extratos!F:F,"&lt;"&amp;Conciliacao!A648+1, df_extratos!G:G,"CREDITO")
+SUMIFS(df_extratos!I:I,df_extratos!F:F,"&gt;="&amp;Conciliacao!BF648,df_extratos!F:F,"&lt;"&amp;Conciliacao!BF648+1,df_extratos!G:G,"CREDITO")
+SUMIFS(df_extratos!I:I,df_extratos!F:F,"&gt;="&amp;Conciliacao!BG648,df_extratos!F:F,"&lt;"&amp;Conciliacao!BG648+1,df_extratos!G:G,"CREDITO")
+SUMIFS(df_extratos!I:I,df_extratos!F:F,"&gt;="&amp;Conciliacao!BH648,df_extratos!F:F,"&lt;"&amp;Conciliacao!BH648+1,df_extratos!G:G,"CREDITO")</f>
        <v/>
      </c>
      <c r="I648" s="9">
        <f>H648-SUM(B648:G648)</f>
        <v/>
      </c>
      <c r="J648" s="4">
        <f>SUMIFS(df_blueme_sem_parcelamento!E:E,df_blueme_sem_parcelamento!H:H,Conciliacao!A648)*(-1)</f>
        <v/>
      </c>
      <c r="K648" s="4">
        <f>SUMIFS(df_blueme_com_parcelamento!J:J,df_blueme_com_parcelamento!M:M,Conciliacao!A648)*(-1)</f>
        <v/>
      </c>
      <c r="L648" s="4">
        <f>SUMIFS(df_mutuos!N:N,df_mutuos!B:B,Conciliacao!A648)*(-1)</f>
        <v/>
      </c>
      <c r="M648" s="8">
        <f>SUMIFS(df_bloqueios_judiciais!G:G,df_bloqueios_judiciais!D:D,Conciliacao!A648,df_bloqueios_judiciais!G:G,"&lt;0")</f>
        <v/>
      </c>
      <c r="N648" s="10">
        <f>SUMIFS(df_extratos!I:I,df_extratos!F:F,"&gt;="&amp;Conciliacao!BE648,df_extratos!F:F,"&lt;"&amp;Conciliacao!BE648+1,df_extratos!G:G,"DEBITO")
+SUMIFS(df_extratos!I:I,df_extratos!F:F,"&gt;="&amp;Conciliacao!A648, df_extratos!F:F,"&lt;"&amp;Conciliacao!A648+1, df_extratos!G:G,"DEBITO")
+SUMIFS(df_extratos!I:I,df_extratos!F:F,"&gt;="&amp;Conciliacao!BF648,df_extratos!F:F,"&lt;"&amp;Conciliacao!BF648+1,df_extratos!G:G,"DEBITO")
+SUMIFS(df_extratos!I:I,df_extratos!F:F,"&gt;="&amp;Conciliacao!BG648,df_extratos!F:F,"&lt;"&amp;Conciliacao!BG648+1,df_extratos!G:G,"DEBITO")
+SUMIFS(df_extratos!I:I,df_extratos!F:F,"&gt;="&amp;Conciliacao!BH648,df_extratos!F:F,"&lt;"&amp;Conciliacao!BH648+1,df_extratos!G:G,"DEBITO")</f>
        <v/>
      </c>
      <c r="O648" s="11">
        <f>N648-SUM(J648:M648)</f>
        <v/>
      </c>
      <c r="P648" s="25">
        <f>SUMIFS(df_ajustes_conciliaco!D:D,df_ajustes_conciliaco!C:C,Conciliacao!A648)</f>
        <v/>
      </c>
      <c r="Q648" s="22">
        <f>O648+I648-P648</f>
        <v/>
      </c>
    </row>
    <row r="649">
      <c r="A649" s="5">
        <f>A648+1</f>
        <v/>
      </c>
      <c r="B649" s="3">
        <f>-SUMIFS(df_extrato_zig!G:G,df_extrato_zig!E:E,Conciliacao!A649,df_extrato_zig!D:D,"Saque")-SUMIFS(df_extrato_zig!G:G,df_extrato_zig!E:E,Conciliacao!A649,df_extrato_zig!D:D,"Antecipação")</f>
        <v/>
      </c>
      <c r="C649" s="3">
        <f>SUMIFS(df_extrato_zig!E:E,df_extrato_zig!L:L,Conciliacao!A649,df_extrato_zig!F:F,"DINHEIRO")</f>
        <v/>
      </c>
      <c r="D649" s="3">
        <f>SUMIFS(view_parc_agrup!H:H,view_parc_agrup!G:G,Conciliacao!A649)</f>
        <v/>
      </c>
      <c r="E649" s="3">
        <f>SUMIFS(df_eventos!F:F,df_eventos!H:H,Conciliacao!A649)</f>
        <v/>
      </c>
      <c r="F649" s="3">
        <f>SUMIFS(df_mutuos!M:M,df_mutuos!B:B,Conciliacao!A649)</f>
        <v/>
      </c>
      <c r="G649" s="6">
        <f>SUMIFS(df_bloqueios_judiciais!G:G,df_bloqueios_judiciais!D:D,Conciliacao!A649,df_bloqueios_judiciais!G:G,"&gt;0")</f>
        <v/>
      </c>
      <c r="H649" s="7">
        <f>SUMIFS(df_extratos!I:I,df_extratos!F:F,"&gt;="&amp;Conciliacao!BE649,df_extratos!F:F,"&lt;"&amp;Conciliacao!BE649+1,df_extratos!G:G,"CREDITO")
+SUMIFS(df_extratos!I:I,df_extratos!F:F,"&gt;="&amp;Conciliacao!A649, df_extratos!F:F,"&lt;"&amp;Conciliacao!A649+1, df_extratos!G:G,"CREDITO")
+SUMIFS(df_extratos!I:I,df_extratos!F:F,"&gt;="&amp;Conciliacao!BF649,df_extratos!F:F,"&lt;"&amp;Conciliacao!BF649+1,df_extratos!G:G,"CREDITO")
+SUMIFS(df_extratos!I:I,df_extratos!F:F,"&gt;="&amp;Conciliacao!BG649,df_extratos!F:F,"&lt;"&amp;Conciliacao!BG649+1,df_extratos!G:G,"CREDITO")
+SUMIFS(df_extratos!I:I,df_extratos!F:F,"&gt;="&amp;Conciliacao!BH649,df_extratos!F:F,"&lt;"&amp;Conciliacao!BH649+1,df_extratos!G:G,"CREDITO")</f>
        <v/>
      </c>
      <c r="I649" s="9">
        <f>H649-SUM(B649:G649)</f>
        <v/>
      </c>
      <c r="J649" s="4">
        <f>SUMIFS(df_blueme_sem_parcelamento!E:E,df_blueme_sem_parcelamento!H:H,Conciliacao!A649)*(-1)</f>
        <v/>
      </c>
      <c r="K649" s="4">
        <f>SUMIFS(df_blueme_com_parcelamento!J:J,df_blueme_com_parcelamento!M:M,Conciliacao!A649)*(-1)</f>
        <v/>
      </c>
      <c r="L649" s="4">
        <f>SUMIFS(df_mutuos!N:N,df_mutuos!B:B,Conciliacao!A649)*(-1)</f>
        <v/>
      </c>
      <c r="M649" s="8">
        <f>SUMIFS(df_bloqueios_judiciais!G:G,df_bloqueios_judiciais!D:D,Conciliacao!A649,df_bloqueios_judiciais!G:G,"&lt;0")</f>
        <v/>
      </c>
      <c r="N649" s="10">
        <f>SUMIFS(df_extratos!I:I,df_extratos!F:F,"&gt;="&amp;Conciliacao!BE649,df_extratos!F:F,"&lt;"&amp;Conciliacao!BE649+1,df_extratos!G:G,"DEBITO")
+SUMIFS(df_extratos!I:I,df_extratos!F:F,"&gt;="&amp;Conciliacao!A649, df_extratos!F:F,"&lt;"&amp;Conciliacao!A649+1, df_extratos!G:G,"DEBITO")
+SUMIFS(df_extratos!I:I,df_extratos!F:F,"&gt;="&amp;Conciliacao!BF649,df_extratos!F:F,"&lt;"&amp;Conciliacao!BF649+1,df_extratos!G:G,"DEBITO")
+SUMIFS(df_extratos!I:I,df_extratos!F:F,"&gt;="&amp;Conciliacao!BG649,df_extratos!F:F,"&lt;"&amp;Conciliacao!BG649+1,df_extratos!G:G,"DEBITO")
+SUMIFS(df_extratos!I:I,df_extratos!F:F,"&gt;="&amp;Conciliacao!BH649,df_extratos!F:F,"&lt;"&amp;Conciliacao!BH649+1,df_extratos!G:G,"DEBITO")</f>
        <v/>
      </c>
      <c r="O649" s="11">
        <f>N649-SUM(J649:M649)</f>
        <v/>
      </c>
      <c r="P649" s="25">
        <f>SUMIFS(df_ajustes_conciliaco!D:D,df_ajustes_conciliaco!C:C,Conciliacao!A649)</f>
        <v/>
      </c>
      <c r="Q649" s="22">
        <f>O649+I649-P649</f>
        <v/>
      </c>
    </row>
    <row r="650">
      <c r="A650" s="5">
        <f>A649+1</f>
        <v/>
      </c>
      <c r="B650" s="3">
        <f>-SUMIFS(df_extrato_zig!G:G,df_extrato_zig!E:E,Conciliacao!A650,df_extrato_zig!D:D,"Saque")-SUMIFS(df_extrato_zig!G:G,df_extrato_zig!E:E,Conciliacao!A650,df_extrato_zig!D:D,"Antecipação")</f>
        <v/>
      </c>
      <c r="C650" s="3">
        <f>SUMIFS(df_extrato_zig!E:E,df_extrato_zig!L:L,Conciliacao!A650,df_extrato_zig!F:F,"DINHEIRO")</f>
        <v/>
      </c>
      <c r="D650" s="3">
        <f>SUMIFS(view_parc_agrup!H:H,view_parc_agrup!G:G,Conciliacao!A650)</f>
        <v/>
      </c>
      <c r="E650" s="3">
        <f>SUMIFS(df_eventos!F:F,df_eventos!H:H,Conciliacao!A650)</f>
        <v/>
      </c>
      <c r="F650" s="3">
        <f>SUMIFS(df_mutuos!M:M,df_mutuos!B:B,Conciliacao!A650)</f>
        <v/>
      </c>
      <c r="G650" s="6">
        <f>SUMIFS(df_bloqueios_judiciais!G:G,df_bloqueios_judiciais!D:D,Conciliacao!A650,df_bloqueios_judiciais!G:G,"&gt;0")</f>
        <v/>
      </c>
      <c r="H650" s="7">
        <f>SUMIFS(df_extratos!I:I,df_extratos!F:F,"&gt;="&amp;Conciliacao!BE650,df_extratos!F:F,"&lt;"&amp;Conciliacao!BE650+1,df_extratos!G:G,"CREDITO")
+SUMIFS(df_extratos!I:I,df_extratos!F:F,"&gt;="&amp;Conciliacao!A650, df_extratos!F:F,"&lt;"&amp;Conciliacao!A650+1, df_extratos!G:G,"CREDITO")
+SUMIFS(df_extratos!I:I,df_extratos!F:F,"&gt;="&amp;Conciliacao!BF650,df_extratos!F:F,"&lt;"&amp;Conciliacao!BF650+1,df_extratos!G:G,"CREDITO")
+SUMIFS(df_extratos!I:I,df_extratos!F:F,"&gt;="&amp;Conciliacao!BG650,df_extratos!F:F,"&lt;"&amp;Conciliacao!BG650+1,df_extratos!G:G,"CREDITO")
+SUMIFS(df_extratos!I:I,df_extratos!F:F,"&gt;="&amp;Conciliacao!BH650,df_extratos!F:F,"&lt;"&amp;Conciliacao!BH650+1,df_extratos!G:G,"CREDITO")</f>
        <v/>
      </c>
      <c r="I650" s="9">
        <f>H650-SUM(B650:G650)</f>
        <v/>
      </c>
      <c r="J650" s="4">
        <f>SUMIFS(df_blueme_sem_parcelamento!E:E,df_blueme_sem_parcelamento!H:H,Conciliacao!A650)*(-1)</f>
        <v/>
      </c>
      <c r="K650" s="4">
        <f>SUMIFS(df_blueme_com_parcelamento!J:J,df_blueme_com_parcelamento!M:M,Conciliacao!A650)*(-1)</f>
        <v/>
      </c>
      <c r="L650" s="4">
        <f>SUMIFS(df_mutuos!N:N,df_mutuos!B:B,Conciliacao!A650)*(-1)</f>
        <v/>
      </c>
      <c r="M650" s="8">
        <f>SUMIFS(df_bloqueios_judiciais!G:G,df_bloqueios_judiciais!D:D,Conciliacao!A650,df_bloqueios_judiciais!G:G,"&lt;0")</f>
        <v/>
      </c>
      <c r="N650" s="10">
        <f>SUMIFS(df_extratos!I:I,df_extratos!F:F,"&gt;="&amp;Conciliacao!BE650,df_extratos!F:F,"&lt;"&amp;Conciliacao!BE650+1,df_extratos!G:G,"DEBITO")
+SUMIFS(df_extratos!I:I,df_extratos!F:F,"&gt;="&amp;Conciliacao!A650, df_extratos!F:F,"&lt;"&amp;Conciliacao!A650+1, df_extratos!G:G,"DEBITO")
+SUMIFS(df_extratos!I:I,df_extratos!F:F,"&gt;="&amp;Conciliacao!BF650,df_extratos!F:F,"&lt;"&amp;Conciliacao!BF650+1,df_extratos!G:G,"DEBITO")
+SUMIFS(df_extratos!I:I,df_extratos!F:F,"&gt;="&amp;Conciliacao!BG650,df_extratos!F:F,"&lt;"&amp;Conciliacao!BG650+1,df_extratos!G:G,"DEBITO")
+SUMIFS(df_extratos!I:I,df_extratos!F:F,"&gt;="&amp;Conciliacao!BH650,df_extratos!F:F,"&lt;"&amp;Conciliacao!BH650+1,df_extratos!G:G,"DEBITO")</f>
        <v/>
      </c>
      <c r="O650" s="11">
        <f>N650-SUM(J650:M650)</f>
        <v/>
      </c>
      <c r="P650" s="25">
        <f>SUMIFS(df_ajustes_conciliaco!D:D,df_ajustes_conciliaco!C:C,Conciliacao!A650)</f>
        <v/>
      </c>
      <c r="Q650" s="22">
        <f>O650+I650-P650</f>
        <v/>
      </c>
    </row>
    <row r="651">
      <c r="A651" s="5">
        <f>A650+1</f>
        <v/>
      </c>
      <c r="B651" s="3">
        <f>-SUMIFS(df_extrato_zig!G:G,df_extrato_zig!E:E,Conciliacao!A651,df_extrato_zig!D:D,"Saque")-SUMIFS(df_extrato_zig!G:G,df_extrato_zig!E:E,Conciliacao!A651,df_extrato_zig!D:D,"Antecipação")</f>
        <v/>
      </c>
      <c r="C651" s="3">
        <f>SUMIFS(df_extrato_zig!E:E,df_extrato_zig!L:L,Conciliacao!A651,df_extrato_zig!F:F,"DINHEIRO")</f>
        <v/>
      </c>
      <c r="D651" s="3">
        <f>SUMIFS(view_parc_agrup!H:H,view_parc_agrup!G:G,Conciliacao!A651)</f>
        <v/>
      </c>
      <c r="E651" s="3">
        <f>SUMIFS(df_eventos!F:F,df_eventos!H:H,Conciliacao!A651)</f>
        <v/>
      </c>
      <c r="F651" s="3">
        <f>SUMIFS(df_mutuos!M:M,df_mutuos!B:B,Conciliacao!A651)</f>
        <v/>
      </c>
      <c r="G651" s="6">
        <f>SUMIFS(df_bloqueios_judiciais!G:G,df_bloqueios_judiciais!D:D,Conciliacao!A651,df_bloqueios_judiciais!G:G,"&gt;0")</f>
        <v/>
      </c>
      <c r="H651" s="7">
        <f>SUMIFS(df_extratos!I:I,df_extratos!F:F,"&gt;="&amp;Conciliacao!BE651,df_extratos!F:F,"&lt;"&amp;Conciliacao!BE651+1,df_extratos!G:G,"CREDITO")
+SUMIFS(df_extratos!I:I,df_extratos!F:F,"&gt;="&amp;Conciliacao!A651, df_extratos!F:F,"&lt;"&amp;Conciliacao!A651+1, df_extratos!G:G,"CREDITO")
+SUMIFS(df_extratos!I:I,df_extratos!F:F,"&gt;="&amp;Conciliacao!BF651,df_extratos!F:F,"&lt;"&amp;Conciliacao!BF651+1,df_extratos!G:G,"CREDITO")
+SUMIFS(df_extratos!I:I,df_extratos!F:F,"&gt;="&amp;Conciliacao!BG651,df_extratos!F:F,"&lt;"&amp;Conciliacao!BG651+1,df_extratos!G:G,"CREDITO")
+SUMIFS(df_extratos!I:I,df_extratos!F:F,"&gt;="&amp;Conciliacao!BH651,df_extratos!F:F,"&lt;"&amp;Conciliacao!BH651+1,df_extratos!G:G,"CREDITO")</f>
        <v/>
      </c>
      <c r="I651" s="9">
        <f>H651-SUM(B651:G651)</f>
        <v/>
      </c>
      <c r="J651" s="4">
        <f>SUMIFS(df_blueme_sem_parcelamento!E:E,df_blueme_sem_parcelamento!H:H,Conciliacao!A651)*(-1)</f>
        <v/>
      </c>
      <c r="K651" s="4">
        <f>SUMIFS(df_blueme_com_parcelamento!J:J,df_blueme_com_parcelamento!M:M,Conciliacao!A651)*(-1)</f>
        <v/>
      </c>
      <c r="L651" s="4">
        <f>SUMIFS(df_mutuos!N:N,df_mutuos!B:B,Conciliacao!A651)*(-1)</f>
        <v/>
      </c>
      <c r="M651" s="8">
        <f>SUMIFS(df_bloqueios_judiciais!G:G,df_bloqueios_judiciais!D:D,Conciliacao!A651,df_bloqueios_judiciais!G:G,"&lt;0")</f>
        <v/>
      </c>
      <c r="N651" s="10">
        <f>SUMIFS(df_extratos!I:I,df_extratos!F:F,"&gt;="&amp;Conciliacao!BE651,df_extratos!F:F,"&lt;"&amp;Conciliacao!BE651+1,df_extratos!G:G,"DEBITO")
+SUMIFS(df_extratos!I:I,df_extratos!F:F,"&gt;="&amp;Conciliacao!A651, df_extratos!F:F,"&lt;"&amp;Conciliacao!A651+1, df_extratos!G:G,"DEBITO")
+SUMIFS(df_extratos!I:I,df_extratos!F:F,"&gt;="&amp;Conciliacao!BF651,df_extratos!F:F,"&lt;"&amp;Conciliacao!BF651+1,df_extratos!G:G,"DEBITO")
+SUMIFS(df_extratos!I:I,df_extratos!F:F,"&gt;="&amp;Conciliacao!BG651,df_extratos!F:F,"&lt;"&amp;Conciliacao!BG651+1,df_extratos!G:G,"DEBITO")
+SUMIFS(df_extratos!I:I,df_extratos!F:F,"&gt;="&amp;Conciliacao!BH651,df_extratos!F:F,"&lt;"&amp;Conciliacao!BH651+1,df_extratos!G:G,"DEBITO")</f>
        <v/>
      </c>
      <c r="O651" s="11">
        <f>N651-SUM(J651:M651)</f>
        <v/>
      </c>
      <c r="P651" s="25">
        <f>SUMIFS(df_ajustes_conciliaco!D:D,df_ajustes_conciliaco!C:C,Conciliacao!A651)</f>
        <v/>
      </c>
      <c r="Q651" s="22">
        <f>O651+I651-P651</f>
        <v/>
      </c>
    </row>
    <row r="652">
      <c r="A652" s="5">
        <f>A651+1</f>
        <v/>
      </c>
      <c r="B652" s="3">
        <f>-SUMIFS(df_extrato_zig!G:G,df_extrato_zig!E:E,Conciliacao!A652,df_extrato_zig!D:D,"Saque")-SUMIFS(df_extrato_zig!G:G,df_extrato_zig!E:E,Conciliacao!A652,df_extrato_zig!D:D,"Antecipação")</f>
        <v/>
      </c>
      <c r="C652" s="3">
        <f>SUMIFS(df_extrato_zig!E:E,df_extrato_zig!L:L,Conciliacao!A652,df_extrato_zig!F:F,"DINHEIRO")</f>
        <v/>
      </c>
      <c r="D652" s="3">
        <f>SUMIFS(view_parc_agrup!H:H,view_parc_agrup!G:G,Conciliacao!A652)</f>
        <v/>
      </c>
      <c r="E652" s="3">
        <f>SUMIFS(df_eventos!F:F,df_eventos!H:H,Conciliacao!A652)</f>
        <v/>
      </c>
      <c r="F652" s="3">
        <f>SUMIFS(df_mutuos!M:M,df_mutuos!B:B,Conciliacao!A652)</f>
        <v/>
      </c>
      <c r="G652" s="6">
        <f>SUMIFS(df_bloqueios_judiciais!G:G,df_bloqueios_judiciais!D:D,Conciliacao!A652,df_bloqueios_judiciais!G:G,"&gt;0")</f>
        <v/>
      </c>
      <c r="H652" s="7">
        <f>SUMIFS(df_extratos!I:I,df_extratos!F:F,"&gt;="&amp;Conciliacao!BE652,df_extratos!F:F,"&lt;"&amp;Conciliacao!BE652+1,df_extratos!G:G,"CREDITO")
+SUMIFS(df_extratos!I:I,df_extratos!F:F,"&gt;="&amp;Conciliacao!A652, df_extratos!F:F,"&lt;"&amp;Conciliacao!A652+1, df_extratos!G:G,"CREDITO")
+SUMIFS(df_extratos!I:I,df_extratos!F:F,"&gt;="&amp;Conciliacao!BF652,df_extratos!F:F,"&lt;"&amp;Conciliacao!BF652+1,df_extratos!G:G,"CREDITO")
+SUMIFS(df_extratos!I:I,df_extratos!F:F,"&gt;="&amp;Conciliacao!BG652,df_extratos!F:F,"&lt;"&amp;Conciliacao!BG652+1,df_extratos!G:G,"CREDITO")
+SUMIFS(df_extratos!I:I,df_extratos!F:F,"&gt;="&amp;Conciliacao!BH652,df_extratos!F:F,"&lt;"&amp;Conciliacao!BH652+1,df_extratos!G:G,"CREDITO")</f>
        <v/>
      </c>
      <c r="I652" s="9">
        <f>H652-SUM(B652:G652)</f>
        <v/>
      </c>
      <c r="J652" s="4">
        <f>SUMIFS(df_blueme_sem_parcelamento!E:E,df_blueme_sem_parcelamento!H:H,Conciliacao!A652)*(-1)</f>
        <v/>
      </c>
      <c r="K652" s="4">
        <f>SUMIFS(df_blueme_com_parcelamento!J:J,df_blueme_com_parcelamento!M:M,Conciliacao!A652)*(-1)</f>
        <v/>
      </c>
      <c r="L652" s="4">
        <f>SUMIFS(df_mutuos!N:N,df_mutuos!B:B,Conciliacao!A652)*(-1)</f>
        <v/>
      </c>
      <c r="M652" s="8">
        <f>SUMIFS(df_bloqueios_judiciais!G:G,df_bloqueios_judiciais!D:D,Conciliacao!A652,df_bloqueios_judiciais!G:G,"&lt;0")</f>
        <v/>
      </c>
      <c r="N652" s="10">
        <f>SUMIFS(df_extratos!I:I,df_extratos!F:F,"&gt;="&amp;Conciliacao!BE652,df_extratos!F:F,"&lt;"&amp;Conciliacao!BE652+1,df_extratos!G:G,"DEBITO")
+SUMIFS(df_extratos!I:I,df_extratos!F:F,"&gt;="&amp;Conciliacao!A652, df_extratos!F:F,"&lt;"&amp;Conciliacao!A652+1, df_extratos!G:G,"DEBITO")
+SUMIFS(df_extratos!I:I,df_extratos!F:F,"&gt;="&amp;Conciliacao!BF652,df_extratos!F:F,"&lt;"&amp;Conciliacao!BF652+1,df_extratos!G:G,"DEBITO")
+SUMIFS(df_extratos!I:I,df_extratos!F:F,"&gt;="&amp;Conciliacao!BG652,df_extratos!F:F,"&lt;"&amp;Conciliacao!BG652+1,df_extratos!G:G,"DEBITO")
+SUMIFS(df_extratos!I:I,df_extratos!F:F,"&gt;="&amp;Conciliacao!BH652,df_extratos!F:F,"&lt;"&amp;Conciliacao!BH652+1,df_extratos!G:G,"DEBITO")</f>
        <v/>
      </c>
      <c r="O652" s="11">
        <f>N652-SUM(J652:M652)</f>
        <v/>
      </c>
      <c r="P652" s="25">
        <f>SUMIFS(df_ajustes_conciliaco!D:D,df_ajustes_conciliaco!C:C,Conciliacao!A652)</f>
        <v/>
      </c>
      <c r="Q652" s="22">
        <f>O652+I652-P652</f>
        <v/>
      </c>
    </row>
    <row r="653">
      <c r="A653" s="5">
        <f>A652+1</f>
        <v/>
      </c>
      <c r="B653" s="3">
        <f>-SUMIFS(df_extrato_zig!G:G,df_extrato_zig!E:E,Conciliacao!A653,df_extrato_zig!D:D,"Saque")-SUMIFS(df_extrato_zig!G:G,df_extrato_zig!E:E,Conciliacao!A653,df_extrato_zig!D:D,"Antecipação")</f>
        <v/>
      </c>
      <c r="C653" s="3">
        <f>SUMIFS(df_extrato_zig!E:E,df_extrato_zig!L:L,Conciliacao!A653,df_extrato_zig!F:F,"DINHEIRO")</f>
        <v/>
      </c>
      <c r="D653" s="3">
        <f>SUMIFS(view_parc_agrup!H:H,view_parc_agrup!G:G,Conciliacao!A653)</f>
        <v/>
      </c>
      <c r="E653" s="3">
        <f>SUMIFS(df_eventos!F:F,df_eventos!H:H,Conciliacao!A653)</f>
        <v/>
      </c>
      <c r="F653" s="3">
        <f>SUMIFS(df_mutuos!M:M,df_mutuos!B:B,Conciliacao!A653)</f>
        <v/>
      </c>
      <c r="G653" s="6">
        <f>SUMIFS(df_bloqueios_judiciais!G:G,df_bloqueios_judiciais!D:D,Conciliacao!A653,df_bloqueios_judiciais!G:G,"&gt;0")</f>
        <v/>
      </c>
      <c r="H653" s="7">
        <f>SUMIFS(df_extratos!I:I,df_extratos!F:F,"&gt;="&amp;Conciliacao!BE653,df_extratos!F:F,"&lt;"&amp;Conciliacao!BE653+1,df_extratos!G:G,"CREDITO")
+SUMIFS(df_extratos!I:I,df_extratos!F:F,"&gt;="&amp;Conciliacao!A653, df_extratos!F:F,"&lt;"&amp;Conciliacao!A653+1, df_extratos!G:G,"CREDITO")
+SUMIFS(df_extratos!I:I,df_extratos!F:F,"&gt;="&amp;Conciliacao!BF653,df_extratos!F:F,"&lt;"&amp;Conciliacao!BF653+1,df_extratos!G:G,"CREDITO")
+SUMIFS(df_extratos!I:I,df_extratos!F:F,"&gt;="&amp;Conciliacao!BG653,df_extratos!F:F,"&lt;"&amp;Conciliacao!BG653+1,df_extratos!G:G,"CREDITO")
+SUMIFS(df_extratos!I:I,df_extratos!F:F,"&gt;="&amp;Conciliacao!BH653,df_extratos!F:F,"&lt;"&amp;Conciliacao!BH653+1,df_extratos!G:G,"CREDITO")</f>
        <v/>
      </c>
      <c r="I653" s="9">
        <f>H653-SUM(B653:G653)</f>
        <v/>
      </c>
      <c r="J653" s="4">
        <f>SUMIFS(df_blueme_sem_parcelamento!E:E,df_blueme_sem_parcelamento!H:H,Conciliacao!A653)*(-1)</f>
        <v/>
      </c>
      <c r="K653" s="4">
        <f>SUMIFS(df_blueme_com_parcelamento!J:J,df_blueme_com_parcelamento!M:M,Conciliacao!A653)*(-1)</f>
        <v/>
      </c>
      <c r="L653" s="4">
        <f>SUMIFS(df_mutuos!N:N,df_mutuos!B:B,Conciliacao!A653)*(-1)</f>
        <v/>
      </c>
      <c r="M653" s="8">
        <f>SUMIFS(df_bloqueios_judiciais!G:G,df_bloqueios_judiciais!D:D,Conciliacao!A653,df_bloqueios_judiciais!G:G,"&lt;0")</f>
        <v/>
      </c>
      <c r="N653" s="10">
        <f>SUMIFS(df_extratos!I:I,df_extratos!F:F,"&gt;="&amp;Conciliacao!BE653,df_extratos!F:F,"&lt;"&amp;Conciliacao!BE653+1,df_extratos!G:G,"DEBITO")
+SUMIFS(df_extratos!I:I,df_extratos!F:F,"&gt;="&amp;Conciliacao!A653, df_extratos!F:F,"&lt;"&amp;Conciliacao!A653+1, df_extratos!G:G,"DEBITO")
+SUMIFS(df_extratos!I:I,df_extratos!F:F,"&gt;="&amp;Conciliacao!BF653,df_extratos!F:F,"&lt;"&amp;Conciliacao!BF653+1,df_extratos!G:G,"DEBITO")
+SUMIFS(df_extratos!I:I,df_extratos!F:F,"&gt;="&amp;Conciliacao!BG653,df_extratos!F:F,"&lt;"&amp;Conciliacao!BG653+1,df_extratos!G:G,"DEBITO")
+SUMIFS(df_extratos!I:I,df_extratos!F:F,"&gt;="&amp;Conciliacao!BH653,df_extratos!F:F,"&lt;"&amp;Conciliacao!BH653+1,df_extratos!G:G,"DEBITO")</f>
        <v/>
      </c>
      <c r="O653" s="11">
        <f>N653-SUM(J653:M653)</f>
        <v/>
      </c>
      <c r="P653" s="25">
        <f>SUMIFS(df_ajustes_conciliaco!D:D,df_ajustes_conciliaco!C:C,Conciliacao!A653)</f>
        <v/>
      </c>
      <c r="Q653" s="22">
        <f>O653+I653-P653</f>
        <v/>
      </c>
    </row>
    <row r="654">
      <c r="A654" s="5">
        <f>A653+1</f>
        <v/>
      </c>
      <c r="B654" s="3">
        <f>-SUMIFS(df_extrato_zig!G:G,df_extrato_zig!E:E,Conciliacao!A654,df_extrato_zig!D:D,"Saque")-SUMIFS(df_extrato_zig!G:G,df_extrato_zig!E:E,Conciliacao!A654,df_extrato_zig!D:D,"Antecipação")</f>
        <v/>
      </c>
      <c r="C654" s="3">
        <f>SUMIFS(df_extrato_zig!E:E,df_extrato_zig!L:L,Conciliacao!A654,df_extrato_zig!F:F,"DINHEIRO")</f>
        <v/>
      </c>
      <c r="D654" s="3">
        <f>SUMIFS(view_parc_agrup!H:H,view_parc_agrup!G:G,Conciliacao!A654)</f>
        <v/>
      </c>
      <c r="E654" s="3">
        <f>SUMIFS(df_eventos!F:F,df_eventos!H:H,Conciliacao!A654)</f>
        <v/>
      </c>
      <c r="F654" s="3">
        <f>SUMIFS(df_mutuos!M:M,df_mutuos!B:B,Conciliacao!A654)</f>
        <v/>
      </c>
      <c r="G654" s="6">
        <f>SUMIFS(df_bloqueios_judiciais!G:G,df_bloqueios_judiciais!D:D,Conciliacao!A654,df_bloqueios_judiciais!G:G,"&gt;0")</f>
        <v/>
      </c>
      <c r="H654" s="7">
        <f>SUMIFS(df_extratos!I:I,df_extratos!F:F,"&gt;="&amp;Conciliacao!BE654,df_extratos!F:F,"&lt;"&amp;Conciliacao!BE654+1,df_extratos!G:G,"CREDITO")
+SUMIFS(df_extratos!I:I,df_extratos!F:F,"&gt;="&amp;Conciliacao!A654, df_extratos!F:F,"&lt;"&amp;Conciliacao!A654+1, df_extratos!G:G,"CREDITO")
+SUMIFS(df_extratos!I:I,df_extratos!F:F,"&gt;="&amp;Conciliacao!BF654,df_extratos!F:F,"&lt;"&amp;Conciliacao!BF654+1,df_extratos!G:G,"CREDITO")
+SUMIFS(df_extratos!I:I,df_extratos!F:F,"&gt;="&amp;Conciliacao!BG654,df_extratos!F:F,"&lt;"&amp;Conciliacao!BG654+1,df_extratos!G:G,"CREDITO")
+SUMIFS(df_extratos!I:I,df_extratos!F:F,"&gt;="&amp;Conciliacao!BH654,df_extratos!F:F,"&lt;"&amp;Conciliacao!BH654+1,df_extratos!G:G,"CREDITO")</f>
        <v/>
      </c>
      <c r="I654" s="9">
        <f>H654-SUM(B654:G654)</f>
        <v/>
      </c>
      <c r="J654" s="4">
        <f>SUMIFS(df_blueme_sem_parcelamento!E:E,df_blueme_sem_parcelamento!H:H,Conciliacao!A654)*(-1)</f>
        <v/>
      </c>
      <c r="K654" s="4">
        <f>SUMIFS(df_blueme_com_parcelamento!J:J,df_blueme_com_parcelamento!M:M,Conciliacao!A654)*(-1)</f>
        <v/>
      </c>
      <c r="L654" s="4">
        <f>SUMIFS(df_mutuos!N:N,df_mutuos!B:B,Conciliacao!A654)*(-1)</f>
        <v/>
      </c>
      <c r="M654" s="8">
        <f>SUMIFS(df_bloqueios_judiciais!G:G,df_bloqueios_judiciais!D:D,Conciliacao!A654,df_bloqueios_judiciais!G:G,"&lt;0")</f>
        <v/>
      </c>
      <c r="N654" s="10">
        <f>SUMIFS(df_extratos!I:I,df_extratos!F:F,"&gt;="&amp;Conciliacao!BE654,df_extratos!F:F,"&lt;"&amp;Conciliacao!BE654+1,df_extratos!G:G,"DEBITO")
+SUMIFS(df_extratos!I:I,df_extratos!F:F,"&gt;="&amp;Conciliacao!A654, df_extratos!F:F,"&lt;"&amp;Conciliacao!A654+1, df_extratos!G:G,"DEBITO")
+SUMIFS(df_extratos!I:I,df_extratos!F:F,"&gt;="&amp;Conciliacao!BF654,df_extratos!F:F,"&lt;"&amp;Conciliacao!BF654+1,df_extratos!G:G,"DEBITO")
+SUMIFS(df_extratos!I:I,df_extratos!F:F,"&gt;="&amp;Conciliacao!BG654,df_extratos!F:F,"&lt;"&amp;Conciliacao!BG654+1,df_extratos!G:G,"DEBITO")
+SUMIFS(df_extratos!I:I,df_extratos!F:F,"&gt;="&amp;Conciliacao!BH654,df_extratos!F:F,"&lt;"&amp;Conciliacao!BH654+1,df_extratos!G:G,"DEBITO")</f>
        <v/>
      </c>
      <c r="O654" s="11">
        <f>N654-SUM(J654:M654)</f>
        <v/>
      </c>
      <c r="P654" s="25">
        <f>SUMIFS(df_ajustes_conciliaco!D:D,df_ajustes_conciliaco!C:C,Conciliacao!A654)</f>
        <v/>
      </c>
      <c r="Q654" s="22">
        <f>O654+I654-P654</f>
        <v/>
      </c>
    </row>
    <row r="655">
      <c r="A655" s="5">
        <f>A654+1</f>
        <v/>
      </c>
      <c r="B655" s="3">
        <f>-SUMIFS(df_extrato_zig!G:G,df_extrato_zig!E:E,Conciliacao!A655,df_extrato_zig!D:D,"Saque")-SUMIFS(df_extrato_zig!G:G,df_extrato_zig!E:E,Conciliacao!A655,df_extrato_zig!D:D,"Antecipação")</f>
        <v/>
      </c>
      <c r="C655" s="3">
        <f>SUMIFS(df_extrato_zig!E:E,df_extrato_zig!L:L,Conciliacao!A655,df_extrato_zig!F:F,"DINHEIRO")</f>
        <v/>
      </c>
      <c r="D655" s="3">
        <f>SUMIFS(view_parc_agrup!H:H,view_parc_agrup!G:G,Conciliacao!A655)</f>
        <v/>
      </c>
      <c r="E655" s="3">
        <f>SUMIFS(df_eventos!F:F,df_eventos!H:H,Conciliacao!A655)</f>
        <v/>
      </c>
      <c r="F655" s="3">
        <f>SUMIFS(df_mutuos!M:M,df_mutuos!B:B,Conciliacao!A655)</f>
        <v/>
      </c>
      <c r="G655" s="6">
        <f>SUMIFS(df_bloqueios_judiciais!G:G,df_bloqueios_judiciais!D:D,Conciliacao!A655,df_bloqueios_judiciais!G:G,"&gt;0")</f>
        <v/>
      </c>
      <c r="H655" s="7">
        <f>SUMIFS(df_extratos!I:I,df_extratos!F:F,"&gt;="&amp;Conciliacao!BE655,df_extratos!F:F,"&lt;"&amp;Conciliacao!BE655+1,df_extratos!G:G,"CREDITO")
+SUMIFS(df_extratos!I:I,df_extratos!F:F,"&gt;="&amp;Conciliacao!A655, df_extratos!F:F,"&lt;"&amp;Conciliacao!A655+1, df_extratos!G:G,"CREDITO")
+SUMIFS(df_extratos!I:I,df_extratos!F:F,"&gt;="&amp;Conciliacao!BF655,df_extratos!F:F,"&lt;"&amp;Conciliacao!BF655+1,df_extratos!G:G,"CREDITO")
+SUMIFS(df_extratos!I:I,df_extratos!F:F,"&gt;="&amp;Conciliacao!BG655,df_extratos!F:F,"&lt;"&amp;Conciliacao!BG655+1,df_extratos!G:G,"CREDITO")
+SUMIFS(df_extratos!I:I,df_extratos!F:F,"&gt;="&amp;Conciliacao!BH655,df_extratos!F:F,"&lt;"&amp;Conciliacao!BH655+1,df_extratos!G:G,"CREDITO")</f>
        <v/>
      </c>
      <c r="I655" s="9">
        <f>H655-SUM(B655:G655)</f>
        <v/>
      </c>
      <c r="J655" s="4">
        <f>SUMIFS(df_blueme_sem_parcelamento!E:E,df_blueme_sem_parcelamento!H:H,Conciliacao!A655)*(-1)</f>
        <v/>
      </c>
      <c r="K655" s="4">
        <f>SUMIFS(df_blueme_com_parcelamento!J:J,df_blueme_com_parcelamento!M:M,Conciliacao!A655)*(-1)</f>
        <v/>
      </c>
      <c r="L655" s="4">
        <f>SUMIFS(df_mutuos!N:N,df_mutuos!B:B,Conciliacao!A655)*(-1)</f>
        <v/>
      </c>
      <c r="M655" s="8">
        <f>SUMIFS(df_bloqueios_judiciais!G:G,df_bloqueios_judiciais!D:D,Conciliacao!A655,df_bloqueios_judiciais!G:G,"&lt;0")</f>
        <v/>
      </c>
      <c r="N655" s="10">
        <f>SUMIFS(df_extratos!I:I,df_extratos!F:F,"&gt;="&amp;Conciliacao!BE655,df_extratos!F:F,"&lt;"&amp;Conciliacao!BE655+1,df_extratos!G:G,"DEBITO")
+SUMIFS(df_extratos!I:I,df_extratos!F:F,"&gt;="&amp;Conciliacao!A655, df_extratos!F:F,"&lt;"&amp;Conciliacao!A655+1, df_extratos!G:G,"DEBITO")
+SUMIFS(df_extratos!I:I,df_extratos!F:F,"&gt;="&amp;Conciliacao!BF655,df_extratos!F:F,"&lt;"&amp;Conciliacao!BF655+1,df_extratos!G:G,"DEBITO")
+SUMIFS(df_extratos!I:I,df_extratos!F:F,"&gt;="&amp;Conciliacao!BG655,df_extratos!F:F,"&lt;"&amp;Conciliacao!BG655+1,df_extratos!G:G,"DEBITO")
+SUMIFS(df_extratos!I:I,df_extratos!F:F,"&gt;="&amp;Conciliacao!BH655,df_extratos!F:F,"&lt;"&amp;Conciliacao!BH655+1,df_extratos!G:G,"DEBITO")</f>
        <v/>
      </c>
      <c r="O655" s="11">
        <f>N655-SUM(J655:M655)</f>
        <v/>
      </c>
      <c r="P655" s="25">
        <f>SUMIFS(df_ajustes_conciliaco!D:D,df_ajustes_conciliaco!C:C,Conciliacao!A655)</f>
        <v/>
      </c>
      <c r="Q655" s="22">
        <f>O655+I655-P655</f>
        <v/>
      </c>
    </row>
    <row r="656">
      <c r="A656" s="5">
        <f>A655+1</f>
        <v/>
      </c>
      <c r="B656" s="3">
        <f>-SUMIFS(df_extrato_zig!G:G,df_extrato_zig!E:E,Conciliacao!A656,df_extrato_zig!D:D,"Saque")-SUMIFS(df_extrato_zig!G:G,df_extrato_zig!E:E,Conciliacao!A656,df_extrato_zig!D:D,"Antecipação")</f>
        <v/>
      </c>
      <c r="C656" s="3">
        <f>SUMIFS(df_extrato_zig!E:E,df_extrato_zig!L:L,Conciliacao!A656,df_extrato_zig!F:F,"DINHEIRO")</f>
        <v/>
      </c>
      <c r="D656" s="3">
        <f>SUMIFS(view_parc_agrup!H:H,view_parc_agrup!G:G,Conciliacao!A656)</f>
        <v/>
      </c>
      <c r="E656" s="3">
        <f>SUMIFS(df_eventos!F:F,df_eventos!H:H,Conciliacao!A656)</f>
        <v/>
      </c>
      <c r="F656" s="3">
        <f>SUMIFS(df_mutuos!M:M,df_mutuos!B:B,Conciliacao!A656)</f>
        <v/>
      </c>
      <c r="G656" s="6">
        <f>SUMIFS(df_bloqueios_judiciais!G:G,df_bloqueios_judiciais!D:D,Conciliacao!A656,df_bloqueios_judiciais!G:G,"&gt;0")</f>
        <v/>
      </c>
      <c r="H656" s="7">
        <f>SUMIFS(df_extratos!I:I,df_extratos!F:F,"&gt;="&amp;Conciliacao!BE656,df_extratos!F:F,"&lt;"&amp;Conciliacao!BE656+1,df_extratos!G:G,"CREDITO")
+SUMIFS(df_extratos!I:I,df_extratos!F:F,"&gt;="&amp;Conciliacao!A656, df_extratos!F:F,"&lt;"&amp;Conciliacao!A656+1, df_extratos!G:G,"CREDITO")
+SUMIFS(df_extratos!I:I,df_extratos!F:F,"&gt;="&amp;Conciliacao!BF656,df_extratos!F:F,"&lt;"&amp;Conciliacao!BF656+1,df_extratos!G:G,"CREDITO")
+SUMIFS(df_extratos!I:I,df_extratos!F:F,"&gt;="&amp;Conciliacao!BG656,df_extratos!F:F,"&lt;"&amp;Conciliacao!BG656+1,df_extratos!G:G,"CREDITO")
+SUMIFS(df_extratos!I:I,df_extratos!F:F,"&gt;="&amp;Conciliacao!BH656,df_extratos!F:F,"&lt;"&amp;Conciliacao!BH656+1,df_extratos!G:G,"CREDITO")</f>
        <v/>
      </c>
      <c r="I656" s="9">
        <f>H656-SUM(B656:G656)</f>
        <v/>
      </c>
      <c r="J656" s="4">
        <f>SUMIFS(df_blueme_sem_parcelamento!E:E,df_blueme_sem_parcelamento!H:H,Conciliacao!A656)*(-1)</f>
        <v/>
      </c>
      <c r="K656" s="4">
        <f>SUMIFS(df_blueme_com_parcelamento!J:J,df_blueme_com_parcelamento!M:M,Conciliacao!A656)*(-1)</f>
        <v/>
      </c>
      <c r="L656" s="4">
        <f>SUMIFS(df_mutuos!N:N,df_mutuos!B:B,Conciliacao!A656)*(-1)</f>
        <v/>
      </c>
      <c r="M656" s="8">
        <f>SUMIFS(df_bloqueios_judiciais!G:G,df_bloqueios_judiciais!D:D,Conciliacao!A656,df_bloqueios_judiciais!G:G,"&lt;0")</f>
        <v/>
      </c>
      <c r="N656" s="10">
        <f>SUMIFS(df_extratos!I:I,df_extratos!F:F,"&gt;="&amp;Conciliacao!BE656,df_extratos!F:F,"&lt;"&amp;Conciliacao!BE656+1,df_extratos!G:G,"DEBITO")
+SUMIFS(df_extratos!I:I,df_extratos!F:F,"&gt;="&amp;Conciliacao!A656, df_extratos!F:F,"&lt;"&amp;Conciliacao!A656+1, df_extratos!G:G,"DEBITO")
+SUMIFS(df_extratos!I:I,df_extratos!F:F,"&gt;="&amp;Conciliacao!BF656,df_extratos!F:F,"&lt;"&amp;Conciliacao!BF656+1,df_extratos!G:G,"DEBITO")
+SUMIFS(df_extratos!I:I,df_extratos!F:F,"&gt;="&amp;Conciliacao!BG656,df_extratos!F:F,"&lt;"&amp;Conciliacao!BG656+1,df_extratos!G:G,"DEBITO")
+SUMIFS(df_extratos!I:I,df_extratos!F:F,"&gt;="&amp;Conciliacao!BH656,df_extratos!F:F,"&lt;"&amp;Conciliacao!BH656+1,df_extratos!G:G,"DEBITO")</f>
        <v/>
      </c>
      <c r="O656" s="11">
        <f>N656-SUM(J656:M656)</f>
        <v/>
      </c>
      <c r="P656" s="25">
        <f>SUMIFS(df_ajustes_conciliaco!D:D,df_ajustes_conciliaco!C:C,Conciliacao!A656)</f>
        <v/>
      </c>
      <c r="Q656" s="22">
        <f>O656+I656-P656</f>
        <v/>
      </c>
    </row>
    <row r="657">
      <c r="A657" s="5">
        <f>A656+1</f>
        <v/>
      </c>
      <c r="B657" s="3">
        <f>-SUMIFS(df_extrato_zig!G:G,df_extrato_zig!E:E,Conciliacao!A657,df_extrato_zig!D:D,"Saque")-SUMIFS(df_extrato_zig!G:G,df_extrato_zig!E:E,Conciliacao!A657,df_extrato_zig!D:D,"Antecipação")</f>
        <v/>
      </c>
      <c r="C657" s="3">
        <f>SUMIFS(df_extrato_zig!E:E,df_extrato_zig!L:L,Conciliacao!A657,df_extrato_zig!F:F,"DINHEIRO")</f>
        <v/>
      </c>
      <c r="D657" s="3">
        <f>SUMIFS(view_parc_agrup!H:H,view_parc_agrup!G:G,Conciliacao!A657)</f>
        <v/>
      </c>
      <c r="E657" s="3">
        <f>SUMIFS(df_eventos!F:F,df_eventos!H:H,Conciliacao!A657)</f>
        <v/>
      </c>
      <c r="F657" s="3">
        <f>SUMIFS(df_mutuos!M:M,df_mutuos!B:B,Conciliacao!A657)</f>
        <v/>
      </c>
      <c r="G657" s="6">
        <f>SUMIFS(df_bloqueios_judiciais!G:G,df_bloqueios_judiciais!D:D,Conciliacao!A657,df_bloqueios_judiciais!G:G,"&gt;0")</f>
        <v/>
      </c>
      <c r="H657" s="7">
        <f>SUMIFS(df_extratos!I:I,df_extratos!F:F,"&gt;="&amp;Conciliacao!BE657,df_extratos!F:F,"&lt;"&amp;Conciliacao!BE657+1,df_extratos!G:G,"CREDITO")
+SUMIFS(df_extratos!I:I,df_extratos!F:F,"&gt;="&amp;Conciliacao!A657, df_extratos!F:F,"&lt;"&amp;Conciliacao!A657+1, df_extratos!G:G,"CREDITO")
+SUMIFS(df_extratos!I:I,df_extratos!F:F,"&gt;="&amp;Conciliacao!BF657,df_extratos!F:F,"&lt;"&amp;Conciliacao!BF657+1,df_extratos!G:G,"CREDITO")
+SUMIFS(df_extratos!I:I,df_extratos!F:F,"&gt;="&amp;Conciliacao!BG657,df_extratos!F:F,"&lt;"&amp;Conciliacao!BG657+1,df_extratos!G:G,"CREDITO")
+SUMIFS(df_extratos!I:I,df_extratos!F:F,"&gt;="&amp;Conciliacao!BH657,df_extratos!F:F,"&lt;"&amp;Conciliacao!BH657+1,df_extratos!G:G,"CREDITO")</f>
        <v/>
      </c>
      <c r="I657" s="9">
        <f>H657-SUM(B657:G657)</f>
        <v/>
      </c>
      <c r="J657" s="4">
        <f>SUMIFS(df_blueme_sem_parcelamento!E:E,df_blueme_sem_parcelamento!H:H,Conciliacao!A657)*(-1)</f>
        <v/>
      </c>
      <c r="K657" s="4">
        <f>SUMIFS(df_blueme_com_parcelamento!J:J,df_blueme_com_parcelamento!M:M,Conciliacao!A657)*(-1)</f>
        <v/>
      </c>
      <c r="L657" s="4">
        <f>SUMIFS(df_mutuos!N:N,df_mutuos!B:B,Conciliacao!A657)*(-1)</f>
        <v/>
      </c>
      <c r="M657" s="8">
        <f>SUMIFS(df_bloqueios_judiciais!G:G,df_bloqueios_judiciais!D:D,Conciliacao!A657,df_bloqueios_judiciais!G:G,"&lt;0")</f>
        <v/>
      </c>
      <c r="N657" s="10">
        <f>SUMIFS(df_extratos!I:I,df_extratos!F:F,"&gt;="&amp;Conciliacao!BE657,df_extratos!F:F,"&lt;"&amp;Conciliacao!BE657+1,df_extratos!G:G,"DEBITO")
+SUMIFS(df_extratos!I:I,df_extratos!F:F,"&gt;="&amp;Conciliacao!A657, df_extratos!F:F,"&lt;"&amp;Conciliacao!A657+1, df_extratos!G:G,"DEBITO")
+SUMIFS(df_extratos!I:I,df_extratos!F:F,"&gt;="&amp;Conciliacao!BF657,df_extratos!F:F,"&lt;"&amp;Conciliacao!BF657+1,df_extratos!G:G,"DEBITO")
+SUMIFS(df_extratos!I:I,df_extratos!F:F,"&gt;="&amp;Conciliacao!BG657,df_extratos!F:F,"&lt;"&amp;Conciliacao!BG657+1,df_extratos!G:G,"DEBITO")
+SUMIFS(df_extratos!I:I,df_extratos!F:F,"&gt;="&amp;Conciliacao!BH657,df_extratos!F:F,"&lt;"&amp;Conciliacao!BH657+1,df_extratos!G:G,"DEBITO")</f>
        <v/>
      </c>
      <c r="O657" s="11">
        <f>N657-SUM(J657:M657)</f>
        <v/>
      </c>
      <c r="P657" s="25">
        <f>SUMIFS(df_ajustes_conciliaco!D:D,df_ajustes_conciliaco!C:C,Conciliacao!A657)</f>
        <v/>
      </c>
      <c r="Q657" s="22">
        <f>O657+I657-P657</f>
        <v/>
      </c>
    </row>
    <row r="658">
      <c r="A658" s="5">
        <f>A657+1</f>
        <v/>
      </c>
      <c r="B658" s="3">
        <f>-SUMIFS(df_extrato_zig!G:G,df_extrato_zig!E:E,Conciliacao!A658,df_extrato_zig!D:D,"Saque")-SUMIFS(df_extrato_zig!G:G,df_extrato_zig!E:E,Conciliacao!A658,df_extrato_zig!D:D,"Antecipação")</f>
        <v/>
      </c>
      <c r="C658" s="3">
        <f>SUMIFS(df_extrato_zig!E:E,df_extrato_zig!L:L,Conciliacao!A658,df_extrato_zig!F:F,"DINHEIRO")</f>
        <v/>
      </c>
      <c r="D658" s="3">
        <f>SUMIFS(view_parc_agrup!H:H,view_parc_agrup!G:G,Conciliacao!A658)</f>
        <v/>
      </c>
      <c r="E658" s="3">
        <f>SUMIFS(df_eventos!F:F,df_eventos!H:H,Conciliacao!A658)</f>
        <v/>
      </c>
      <c r="F658" s="3">
        <f>SUMIFS(df_mutuos!M:M,df_mutuos!B:B,Conciliacao!A658)</f>
        <v/>
      </c>
      <c r="G658" s="6">
        <f>SUMIFS(df_bloqueios_judiciais!G:G,df_bloqueios_judiciais!D:D,Conciliacao!A658,df_bloqueios_judiciais!G:G,"&gt;0")</f>
        <v/>
      </c>
      <c r="H658" s="7">
        <f>SUMIFS(df_extratos!I:I,df_extratos!F:F,"&gt;="&amp;Conciliacao!BE658,df_extratos!F:F,"&lt;"&amp;Conciliacao!BE658+1,df_extratos!G:G,"CREDITO")
+SUMIFS(df_extratos!I:I,df_extratos!F:F,"&gt;="&amp;Conciliacao!A658, df_extratos!F:F,"&lt;"&amp;Conciliacao!A658+1, df_extratos!G:G,"CREDITO")
+SUMIFS(df_extratos!I:I,df_extratos!F:F,"&gt;="&amp;Conciliacao!BF658,df_extratos!F:F,"&lt;"&amp;Conciliacao!BF658+1,df_extratos!G:G,"CREDITO")
+SUMIFS(df_extratos!I:I,df_extratos!F:F,"&gt;="&amp;Conciliacao!BG658,df_extratos!F:F,"&lt;"&amp;Conciliacao!BG658+1,df_extratos!G:G,"CREDITO")
+SUMIFS(df_extratos!I:I,df_extratos!F:F,"&gt;="&amp;Conciliacao!BH658,df_extratos!F:F,"&lt;"&amp;Conciliacao!BH658+1,df_extratos!G:G,"CREDITO")</f>
        <v/>
      </c>
      <c r="I658" s="9">
        <f>H658-SUM(B658:G658)</f>
        <v/>
      </c>
      <c r="J658" s="4">
        <f>SUMIFS(df_blueme_sem_parcelamento!E:E,df_blueme_sem_parcelamento!H:H,Conciliacao!A658)*(-1)</f>
        <v/>
      </c>
      <c r="K658" s="4">
        <f>SUMIFS(df_blueme_com_parcelamento!J:J,df_blueme_com_parcelamento!M:M,Conciliacao!A658)*(-1)</f>
        <v/>
      </c>
      <c r="L658" s="4">
        <f>SUMIFS(df_mutuos!N:N,df_mutuos!B:B,Conciliacao!A658)*(-1)</f>
        <v/>
      </c>
      <c r="M658" s="8">
        <f>SUMIFS(df_bloqueios_judiciais!G:G,df_bloqueios_judiciais!D:D,Conciliacao!A658,df_bloqueios_judiciais!G:G,"&lt;0")</f>
        <v/>
      </c>
      <c r="N658" s="10">
        <f>SUMIFS(df_extratos!I:I,df_extratos!F:F,"&gt;="&amp;Conciliacao!BE658,df_extratos!F:F,"&lt;"&amp;Conciliacao!BE658+1,df_extratos!G:G,"DEBITO")
+SUMIFS(df_extratos!I:I,df_extratos!F:F,"&gt;="&amp;Conciliacao!A658, df_extratos!F:F,"&lt;"&amp;Conciliacao!A658+1, df_extratos!G:G,"DEBITO")
+SUMIFS(df_extratos!I:I,df_extratos!F:F,"&gt;="&amp;Conciliacao!BF658,df_extratos!F:F,"&lt;"&amp;Conciliacao!BF658+1,df_extratos!G:G,"DEBITO")
+SUMIFS(df_extratos!I:I,df_extratos!F:F,"&gt;="&amp;Conciliacao!BG658,df_extratos!F:F,"&lt;"&amp;Conciliacao!BG658+1,df_extratos!G:G,"DEBITO")
+SUMIFS(df_extratos!I:I,df_extratos!F:F,"&gt;="&amp;Conciliacao!BH658,df_extratos!F:F,"&lt;"&amp;Conciliacao!BH658+1,df_extratos!G:G,"DEBITO")</f>
        <v/>
      </c>
      <c r="O658" s="11">
        <f>N658-SUM(J658:M658)</f>
        <v/>
      </c>
      <c r="P658" s="25">
        <f>SUMIFS(df_ajustes_conciliaco!D:D,df_ajustes_conciliaco!C:C,Conciliacao!A658)</f>
        <v/>
      </c>
      <c r="Q658" s="22">
        <f>O658+I658-P658</f>
        <v/>
      </c>
    </row>
    <row r="659">
      <c r="A659" s="5">
        <f>A658+1</f>
        <v/>
      </c>
      <c r="B659" s="3">
        <f>-SUMIFS(df_extrato_zig!G:G,df_extrato_zig!E:E,Conciliacao!A659,df_extrato_zig!D:D,"Saque")-SUMIFS(df_extrato_zig!G:G,df_extrato_zig!E:E,Conciliacao!A659,df_extrato_zig!D:D,"Antecipação")</f>
        <v/>
      </c>
      <c r="C659" s="3">
        <f>SUMIFS(df_extrato_zig!E:E,df_extrato_zig!L:L,Conciliacao!A659,df_extrato_zig!F:F,"DINHEIRO")</f>
        <v/>
      </c>
      <c r="D659" s="3">
        <f>SUMIFS(view_parc_agrup!H:H,view_parc_agrup!G:G,Conciliacao!A659)</f>
        <v/>
      </c>
      <c r="E659" s="3">
        <f>SUMIFS(df_eventos!F:F,df_eventos!H:H,Conciliacao!A659)</f>
        <v/>
      </c>
      <c r="F659" s="3">
        <f>SUMIFS(df_mutuos!M:M,df_mutuos!B:B,Conciliacao!A659)</f>
        <v/>
      </c>
      <c r="G659" s="6">
        <f>SUMIFS(df_bloqueios_judiciais!G:G,df_bloqueios_judiciais!D:D,Conciliacao!A659,df_bloqueios_judiciais!G:G,"&gt;0")</f>
        <v/>
      </c>
      <c r="H659" s="7">
        <f>SUMIFS(df_extratos!I:I,df_extratos!F:F,"&gt;="&amp;Conciliacao!BE659,df_extratos!F:F,"&lt;"&amp;Conciliacao!BE659+1,df_extratos!G:G,"CREDITO")
+SUMIFS(df_extratos!I:I,df_extratos!F:F,"&gt;="&amp;Conciliacao!A659, df_extratos!F:F,"&lt;"&amp;Conciliacao!A659+1, df_extratos!G:G,"CREDITO")
+SUMIFS(df_extratos!I:I,df_extratos!F:F,"&gt;="&amp;Conciliacao!BF659,df_extratos!F:F,"&lt;"&amp;Conciliacao!BF659+1,df_extratos!G:G,"CREDITO")
+SUMIFS(df_extratos!I:I,df_extratos!F:F,"&gt;="&amp;Conciliacao!BG659,df_extratos!F:F,"&lt;"&amp;Conciliacao!BG659+1,df_extratos!G:G,"CREDITO")
+SUMIFS(df_extratos!I:I,df_extratos!F:F,"&gt;="&amp;Conciliacao!BH659,df_extratos!F:F,"&lt;"&amp;Conciliacao!BH659+1,df_extratos!G:G,"CREDITO")</f>
        <v/>
      </c>
      <c r="I659" s="9">
        <f>H659-SUM(B659:G659)</f>
        <v/>
      </c>
      <c r="J659" s="4">
        <f>SUMIFS(df_blueme_sem_parcelamento!E:E,df_blueme_sem_parcelamento!H:H,Conciliacao!A659)*(-1)</f>
        <v/>
      </c>
      <c r="K659" s="4">
        <f>SUMIFS(df_blueme_com_parcelamento!J:J,df_blueme_com_parcelamento!M:M,Conciliacao!A659)*(-1)</f>
        <v/>
      </c>
      <c r="L659" s="4">
        <f>SUMIFS(df_mutuos!N:N,df_mutuos!B:B,Conciliacao!A659)*(-1)</f>
        <v/>
      </c>
      <c r="M659" s="8">
        <f>SUMIFS(df_bloqueios_judiciais!G:G,df_bloqueios_judiciais!D:D,Conciliacao!A659,df_bloqueios_judiciais!G:G,"&lt;0")</f>
        <v/>
      </c>
      <c r="N659" s="10">
        <f>SUMIFS(df_extratos!I:I,df_extratos!F:F,"&gt;="&amp;Conciliacao!BE659,df_extratos!F:F,"&lt;"&amp;Conciliacao!BE659+1,df_extratos!G:G,"DEBITO")
+SUMIFS(df_extratos!I:I,df_extratos!F:F,"&gt;="&amp;Conciliacao!A659, df_extratos!F:F,"&lt;"&amp;Conciliacao!A659+1, df_extratos!G:G,"DEBITO")
+SUMIFS(df_extratos!I:I,df_extratos!F:F,"&gt;="&amp;Conciliacao!BF659,df_extratos!F:F,"&lt;"&amp;Conciliacao!BF659+1,df_extratos!G:G,"DEBITO")
+SUMIFS(df_extratos!I:I,df_extratos!F:F,"&gt;="&amp;Conciliacao!BG659,df_extratos!F:F,"&lt;"&amp;Conciliacao!BG659+1,df_extratos!G:G,"DEBITO")
+SUMIFS(df_extratos!I:I,df_extratos!F:F,"&gt;="&amp;Conciliacao!BH659,df_extratos!F:F,"&lt;"&amp;Conciliacao!BH659+1,df_extratos!G:G,"DEBITO")</f>
        <v/>
      </c>
      <c r="O659" s="11">
        <f>N659-SUM(J659:M659)</f>
        <v/>
      </c>
      <c r="P659" s="25">
        <f>SUMIFS(df_ajustes_conciliaco!D:D,df_ajustes_conciliaco!C:C,Conciliacao!A659)</f>
        <v/>
      </c>
      <c r="Q659" s="22">
        <f>O659+I659-P659</f>
        <v/>
      </c>
    </row>
    <row r="660">
      <c r="A660" s="5">
        <f>A659+1</f>
        <v/>
      </c>
      <c r="B660" s="3">
        <f>-SUMIFS(df_extrato_zig!G:G,df_extrato_zig!E:E,Conciliacao!A660,df_extrato_zig!D:D,"Saque")-SUMIFS(df_extrato_zig!G:G,df_extrato_zig!E:E,Conciliacao!A660,df_extrato_zig!D:D,"Antecipação")</f>
        <v/>
      </c>
      <c r="C660" s="3">
        <f>SUMIFS(df_extrato_zig!E:E,df_extrato_zig!L:L,Conciliacao!A660,df_extrato_zig!F:F,"DINHEIRO")</f>
        <v/>
      </c>
      <c r="D660" s="3">
        <f>SUMIFS(view_parc_agrup!H:H,view_parc_agrup!G:G,Conciliacao!A660)</f>
        <v/>
      </c>
      <c r="E660" s="3">
        <f>SUMIFS(df_eventos!F:F,df_eventos!H:H,Conciliacao!A660)</f>
        <v/>
      </c>
      <c r="F660" s="3">
        <f>SUMIFS(df_mutuos!M:M,df_mutuos!B:B,Conciliacao!A660)</f>
        <v/>
      </c>
      <c r="G660" s="6">
        <f>SUMIFS(df_bloqueios_judiciais!G:G,df_bloqueios_judiciais!D:D,Conciliacao!A660,df_bloqueios_judiciais!G:G,"&gt;0")</f>
        <v/>
      </c>
      <c r="H660" s="7">
        <f>SUMIFS(df_extratos!I:I,df_extratos!F:F,"&gt;="&amp;Conciliacao!BE660,df_extratos!F:F,"&lt;"&amp;Conciliacao!BE660+1,df_extratos!G:G,"CREDITO")
+SUMIFS(df_extratos!I:I,df_extratos!F:F,"&gt;="&amp;Conciliacao!A660, df_extratos!F:F,"&lt;"&amp;Conciliacao!A660+1, df_extratos!G:G,"CREDITO")
+SUMIFS(df_extratos!I:I,df_extratos!F:F,"&gt;="&amp;Conciliacao!BF660,df_extratos!F:F,"&lt;"&amp;Conciliacao!BF660+1,df_extratos!G:G,"CREDITO")
+SUMIFS(df_extratos!I:I,df_extratos!F:F,"&gt;="&amp;Conciliacao!BG660,df_extratos!F:F,"&lt;"&amp;Conciliacao!BG660+1,df_extratos!G:G,"CREDITO")
+SUMIFS(df_extratos!I:I,df_extratos!F:F,"&gt;="&amp;Conciliacao!BH660,df_extratos!F:F,"&lt;"&amp;Conciliacao!BH660+1,df_extratos!G:G,"CREDITO")</f>
        <v/>
      </c>
      <c r="I660" s="9">
        <f>H660-SUM(B660:G660)</f>
        <v/>
      </c>
      <c r="J660" s="4">
        <f>SUMIFS(df_blueme_sem_parcelamento!E:E,df_blueme_sem_parcelamento!H:H,Conciliacao!A660)*(-1)</f>
        <v/>
      </c>
      <c r="K660" s="4">
        <f>SUMIFS(df_blueme_com_parcelamento!J:J,df_blueme_com_parcelamento!M:M,Conciliacao!A660)*(-1)</f>
        <v/>
      </c>
      <c r="L660" s="4">
        <f>SUMIFS(df_mutuos!N:N,df_mutuos!B:B,Conciliacao!A660)*(-1)</f>
        <v/>
      </c>
      <c r="M660" s="8">
        <f>SUMIFS(df_bloqueios_judiciais!G:G,df_bloqueios_judiciais!D:D,Conciliacao!A660,df_bloqueios_judiciais!G:G,"&lt;0")</f>
        <v/>
      </c>
      <c r="N660" s="10">
        <f>SUMIFS(df_extratos!I:I,df_extratos!F:F,"&gt;="&amp;Conciliacao!BE660,df_extratos!F:F,"&lt;"&amp;Conciliacao!BE660+1,df_extratos!G:G,"DEBITO")
+SUMIFS(df_extratos!I:I,df_extratos!F:F,"&gt;="&amp;Conciliacao!A660, df_extratos!F:F,"&lt;"&amp;Conciliacao!A660+1, df_extratos!G:G,"DEBITO")
+SUMIFS(df_extratos!I:I,df_extratos!F:F,"&gt;="&amp;Conciliacao!BF660,df_extratos!F:F,"&lt;"&amp;Conciliacao!BF660+1,df_extratos!G:G,"DEBITO")
+SUMIFS(df_extratos!I:I,df_extratos!F:F,"&gt;="&amp;Conciliacao!BG660,df_extratos!F:F,"&lt;"&amp;Conciliacao!BG660+1,df_extratos!G:G,"DEBITO")
+SUMIFS(df_extratos!I:I,df_extratos!F:F,"&gt;="&amp;Conciliacao!BH660,df_extratos!F:F,"&lt;"&amp;Conciliacao!BH660+1,df_extratos!G:G,"DEBITO")</f>
        <v/>
      </c>
      <c r="O660" s="11">
        <f>N660-SUM(J660:M660)</f>
        <v/>
      </c>
      <c r="P660" s="25">
        <f>SUMIFS(df_ajustes_conciliaco!D:D,df_ajustes_conciliaco!C:C,Conciliacao!A660)</f>
        <v/>
      </c>
      <c r="Q660" s="22">
        <f>O660+I660-P660</f>
        <v/>
      </c>
    </row>
    <row r="661">
      <c r="A661" s="5">
        <f>A660+1</f>
        <v/>
      </c>
      <c r="B661" s="3">
        <f>-SUMIFS(df_extrato_zig!G:G,df_extrato_zig!E:E,Conciliacao!A661,df_extrato_zig!D:D,"Saque")-SUMIFS(df_extrato_zig!G:G,df_extrato_zig!E:E,Conciliacao!A661,df_extrato_zig!D:D,"Antecipação")</f>
        <v/>
      </c>
      <c r="C661" s="3">
        <f>SUMIFS(df_extrato_zig!E:E,df_extrato_zig!L:L,Conciliacao!A661,df_extrato_zig!F:F,"DINHEIRO")</f>
        <v/>
      </c>
      <c r="D661" s="3">
        <f>SUMIFS(view_parc_agrup!H:H,view_parc_agrup!G:G,Conciliacao!A661)</f>
        <v/>
      </c>
      <c r="E661" s="3">
        <f>SUMIFS(df_eventos!F:F,df_eventos!H:H,Conciliacao!A661)</f>
        <v/>
      </c>
      <c r="F661" s="3">
        <f>SUMIFS(df_mutuos!M:M,df_mutuos!B:B,Conciliacao!A661)</f>
        <v/>
      </c>
      <c r="G661" s="6">
        <f>SUMIFS(df_bloqueios_judiciais!G:G,df_bloqueios_judiciais!D:D,Conciliacao!A661,df_bloqueios_judiciais!G:G,"&gt;0")</f>
        <v/>
      </c>
      <c r="H661" s="7">
        <f>SUMIFS(df_extratos!I:I,df_extratos!F:F,"&gt;="&amp;Conciliacao!BE661,df_extratos!F:F,"&lt;"&amp;Conciliacao!BE661+1,df_extratos!G:G,"CREDITO")
+SUMIFS(df_extratos!I:I,df_extratos!F:F,"&gt;="&amp;Conciliacao!A661, df_extratos!F:F,"&lt;"&amp;Conciliacao!A661+1, df_extratos!G:G,"CREDITO")
+SUMIFS(df_extratos!I:I,df_extratos!F:F,"&gt;="&amp;Conciliacao!BF661,df_extratos!F:F,"&lt;"&amp;Conciliacao!BF661+1,df_extratos!G:G,"CREDITO")
+SUMIFS(df_extratos!I:I,df_extratos!F:F,"&gt;="&amp;Conciliacao!BG661,df_extratos!F:F,"&lt;"&amp;Conciliacao!BG661+1,df_extratos!G:G,"CREDITO")
+SUMIFS(df_extratos!I:I,df_extratos!F:F,"&gt;="&amp;Conciliacao!BH661,df_extratos!F:F,"&lt;"&amp;Conciliacao!BH661+1,df_extratos!G:G,"CREDITO")</f>
        <v/>
      </c>
      <c r="I661" s="9">
        <f>H661-SUM(B661:G661)</f>
        <v/>
      </c>
      <c r="J661" s="4">
        <f>SUMIFS(df_blueme_sem_parcelamento!E:E,df_blueme_sem_parcelamento!H:H,Conciliacao!A661)*(-1)</f>
        <v/>
      </c>
      <c r="K661" s="4">
        <f>SUMIFS(df_blueme_com_parcelamento!J:J,df_blueme_com_parcelamento!M:M,Conciliacao!A661)*(-1)</f>
        <v/>
      </c>
      <c r="L661" s="4">
        <f>SUMIFS(df_mutuos!N:N,df_mutuos!B:B,Conciliacao!A661)*(-1)</f>
        <v/>
      </c>
      <c r="M661" s="8">
        <f>SUMIFS(df_bloqueios_judiciais!G:G,df_bloqueios_judiciais!D:D,Conciliacao!A661,df_bloqueios_judiciais!G:G,"&lt;0")</f>
        <v/>
      </c>
      <c r="N661" s="10">
        <f>SUMIFS(df_extratos!I:I,df_extratos!F:F,"&gt;="&amp;Conciliacao!BE661,df_extratos!F:F,"&lt;"&amp;Conciliacao!BE661+1,df_extratos!G:G,"DEBITO")
+SUMIFS(df_extratos!I:I,df_extratos!F:F,"&gt;="&amp;Conciliacao!A661, df_extratos!F:F,"&lt;"&amp;Conciliacao!A661+1, df_extratos!G:G,"DEBITO")
+SUMIFS(df_extratos!I:I,df_extratos!F:F,"&gt;="&amp;Conciliacao!BF661,df_extratos!F:F,"&lt;"&amp;Conciliacao!BF661+1,df_extratos!G:G,"DEBITO")
+SUMIFS(df_extratos!I:I,df_extratos!F:F,"&gt;="&amp;Conciliacao!BG661,df_extratos!F:F,"&lt;"&amp;Conciliacao!BG661+1,df_extratos!G:G,"DEBITO")
+SUMIFS(df_extratos!I:I,df_extratos!F:F,"&gt;="&amp;Conciliacao!BH661,df_extratos!F:F,"&lt;"&amp;Conciliacao!BH661+1,df_extratos!G:G,"DEBITO")</f>
        <v/>
      </c>
      <c r="O661" s="11">
        <f>N661-SUM(J661:M661)</f>
        <v/>
      </c>
      <c r="P661" s="25">
        <f>SUMIFS(df_ajustes_conciliaco!D:D,df_ajustes_conciliaco!C:C,Conciliacao!A661)</f>
        <v/>
      </c>
      <c r="Q661" s="22">
        <f>O661+I661-P661</f>
        <v/>
      </c>
    </row>
    <row r="662">
      <c r="A662" s="5">
        <f>A661+1</f>
        <v/>
      </c>
      <c r="B662" s="3">
        <f>-SUMIFS(df_extrato_zig!G:G,df_extrato_zig!E:E,Conciliacao!A662,df_extrato_zig!D:D,"Saque")-SUMIFS(df_extrato_zig!G:G,df_extrato_zig!E:E,Conciliacao!A662,df_extrato_zig!D:D,"Antecipação")</f>
        <v/>
      </c>
      <c r="C662" s="3">
        <f>SUMIFS(df_extrato_zig!E:E,df_extrato_zig!L:L,Conciliacao!A662,df_extrato_zig!F:F,"DINHEIRO")</f>
        <v/>
      </c>
      <c r="D662" s="3">
        <f>SUMIFS(view_parc_agrup!H:H,view_parc_agrup!G:G,Conciliacao!A662)</f>
        <v/>
      </c>
      <c r="E662" s="3">
        <f>SUMIFS(df_eventos!F:F,df_eventos!H:H,Conciliacao!A662)</f>
        <v/>
      </c>
      <c r="F662" s="3">
        <f>SUMIFS(df_mutuos!M:M,df_mutuos!B:B,Conciliacao!A662)</f>
        <v/>
      </c>
      <c r="G662" s="6">
        <f>SUMIFS(df_bloqueios_judiciais!G:G,df_bloqueios_judiciais!D:D,Conciliacao!A662,df_bloqueios_judiciais!G:G,"&gt;0")</f>
        <v/>
      </c>
      <c r="H662" s="7">
        <f>SUMIFS(df_extratos!I:I,df_extratos!F:F,"&gt;="&amp;Conciliacao!BE662,df_extratos!F:F,"&lt;"&amp;Conciliacao!BE662+1,df_extratos!G:G,"CREDITO")
+SUMIFS(df_extratos!I:I,df_extratos!F:F,"&gt;="&amp;Conciliacao!A662, df_extratos!F:F,"&lt;"&amp;Conciliacao!A662+1, df_extratos!G:G,"CREDITO")
+SUMIFS(df_extratos!I:I,df_extratos!F:F,"&gt;="&amp;Conciliacao!BF662,df_extratos!F:F,"&lt;"&amp;Conciliacao!BF662+1,df_extratos!G:G,"CREDITO")
+SUMIFS(df_extratos!I:I,df_extratos!F:F,"&gt;="&amp;Conciliacao!BG662,df_extratos!F:F,"&lt;"&amp;Conciliacao!BG662+1,df_extratos!G:G,"CREDITO")
+SUMIFS(df_extratos!I:I,df_extratos!F:F,"&gt;="&amp;Conciliacao!BH662,df_extratos!F:F,"&lt;"&amp;Conciliacao!BH662+1,df_extratos!G:G,"CREDITO")</f>
        <v/>
      </c>
      <c r="I662" s="9">
        <f>H662-SUM(B662:G662)</f>
        <v/>
      </c>
      <c r="J662" s="4">
        <f>SUMIFS(df_blueme_sem_parcelamento!E:E,df_blueme_sem_parcelamento!H:H,Conciliacao!A662)*(-1)</f>
        <v/>
      </c>
      <c r="K662" s="4">
        <f>SUMIFS(df_blueme_com_parcelamento!J:J,df_blueme_com_parcelamento!M:M,Conciliacao!A662)*(-1)</f>
        <v/>
      </c>
      <c r="L662" s="4">
        <f>SUMIFS(df_mutuos!N:N,df_mutuos!B:B,Conciliacao!A662)*(-1)</f>
        <v/>
      </c>
      <c r="M662" s="8">
        <f>SUMIFS(df_bloqueios_judiciais!G:G,df_bloqueios_judiciais!D:D,Conciliacao!A662,df_bloqueios_judiciais!G:G,"&lt;0")</f>
        <v/>
      </c>
      <c r="N662" s="10">
        <f>SUMIFS(df_extratos!I:I,df_extratos!F:F,"&gt;="&amp;Conciliacao!BE662,df_extratos!F:F,"&lt;"&amp;Conciliacao!BE662+1,df_extratos!G:G,"DEBITO")
+SUMIFS(df_extratos!I:I,df_extratos!F:F,"&gt;="&amp;Conciliacao!A662, df_extratos!F:F,"&lt;"&amp;Conciliacao!A662+1, df_extratos!G:G,"DEBITO")
+SUMIFS(df_extratos!I:I,df_extratos!F:F,"&gt;="&amp;Conciliacao!BF662,df_extratos!F:F,"&lt;"&amp;Conciliacao!BF662+1,df_extratos!G:G,"DEBITO")
+SUMIFS(df_extratos!I:I,df_extratos!F:F,"&gt;="&amp;Conciliacao!BG662,df_extratos!F:F,"&lt;"&amp;Conciliacao!BG662+1,df_extratos!G:G,"DEBITO")
+SUMIFS(df_extratos!I:I,df_extratos!F:F,"&gt;="&amp;Conciliacao!BH662,df_extratos!F:F,"&lt;"&amp;Conciliacao!BH662+1,df_extratos!G:G,"DEBITO")</f>
        <v/>
      </c>
      <c r="O662" s="11">
        <f>N662-SUM(J662:M662)</f>
        <v/>
      </c>
      <c r="P662" s="25">
        <f>SUMIFS(df_ajustes_conciliaco!D:D,df_ajustes_conciliaco!C:C,Conciliacao!A662)</f>
        <v/>
      </c>
      <c r="Q662" s="22">
        <f>O662+I662-P662</f>
        <v/>
      </c>
    </row>
    <row r="663">
      <c r="A663" s="5">
        <f>A662+1</f>
        <v/>
      </c>
      <c r="B663" s="3">
        <f>-SUMIFS(df_extrato_zig!G:G,df_extrato_zig!E:E,Conciliacao!A663,df_extrato_zig!D:D,"Saque")-SUMIFS(df_extrato_zig!G:G,df_extrato_zig!E:E,Conciliacao!A663,df_extrato_zig!D:D,"Antecipação")</f>
        <v/>
      </c>
      <c r="C663" s="3">
        <f>SUMIFS(df_extrato_zig!E:E,df_extrato_zig!L:L,Conciliacao!A663,df_extrato_zig!F:F,"DINHEIRO")</f>
        <v/>
      </c>
      <c r="D663" s="3">
        <f>SUMIFS(view_parc_agrup!H:H,view_parc_agrup!G:G,Conciliacao!A663)</f>
        <v/>
      </c>
      <c r="E663" s="3">
        <f>SUMIFS(df_eventos!F:F,df_eventos!H:H,Conciliacao!A663)</f>
        <v/>
      </c>
      <c r="F663" s="3">
        <f>SUMIFS(df_mutuos!M:M,df_mutuos!B:B,Conciliacao!A663)</f>
        <v/>
      </c>
      <c r="G663" s="6">
        <f>SUMIFS(df_bloqueios_judiciais!G:G,df_bloqueios_judiciais!D:D,Conciliacao!A663,df_bloqueios_judiciais!G:G,"&gt;0")</f>
        <v/>
      </c>
      <c r="H663" s="7">
        <f>SUMIFS(df_extratos!I:I,df_extratos!F:F,"&gt;="&amp;Conciliacao!BE663,df_extratos!F:F,"&lt;"&amp;Conciliacao!BE663+1,df_extratos!G:G,"CREDITO")
+SUMIFS(df_extratos!I:I,df_extratos!F:F,"&gt;="&amp;Conciliacao!A663, df_extratos!F:F,"&lt;"&amp;Conciliacao!A663+1, df_extratos!G:G,"CREDITO")
+SUMIFS(df_extratos!I:I,df_extratos!F:F,"&gt;="&amp;Conciliacao!BF663,df_extratos!F:F,"&lt;"&amp;Conciliacao!BF663+1,df_extratos!G:G,"CREDITO")
+SUMIFS(df_extratos!I:I,df_extratos!F:F,"&gt;="&amp;Conciliacao!BG663,df_extratos!F:F,"&lt;"&amp;Conciliacao!BG663+1,df_extratos!G:G,"CREDITO")
+SUMIFS(df_extratos!I:I,df_extratos!F:F,"&gt;="&amp;Conciliacao!BH663,df_extratos!F:F,"&lt;"&amp;Conciliacao!BH663+1,df_extratos!G:G,"CREDITO")</f>
        <v/>
      </c>
      <c r="I663" s="9">
        <f>H663-SUM(B663:G663)</f>
        <v/>
      </c>
      <c r="J663" s="4">
        <f>SUMIFS(df_blueme_sem_parcelamento!E:E,df_blueme_sem_parcelamento!H:H,Conciliacao!A663)*(-1)</f>
        <v/>
      </c>
      <c r="K663" s="4">
        <f>SUMIFS(df_blueme_com_parcelamento!J:J,df_blueme_com_parcelamento!M:M,Conciliacao!A663)*(-1)</f>
        <v/>
      </c>
      <c r="L663" s="4">
        <f>SUMIFS(df_mutuos!N:N,df_mutuos!B:B,Conciliacao!A663)*(-1)</f>
        <v/>
      </c>
      <c r="M663" s="8">
        <f>SUMIFS(df_bloqueios_judiciais!G:G,df_bloqueios_judiciais!D:D,Conciliacao!A663,df_bloqueios_judiciais!G:G,"&lt;0")</f>
        <v/>
      </c>
      <c r="N663" s="10">
        <f>SUMIFS(df_extratos!I:I,df_extratos!F:F,"&gt;="&amp;Conciliacao!BE663,df_extratos!F:F,"&lt;"&amp;Conciliacao!BE663+1,df_extratos!G:G,"DEBITO")
+SUMIFS(df_extratos!I:I,df_extratos!F:F,"&gt;="&amp;Conciliacao!A663, df_extratos!F:F,"&lt;"&amp;Conciliacao!A663+1, df_extratos!G:G,"DEBITO")
+SUMIFS(df_extratos!I:I,df_extratos!F:F,"&gt;="&amp;Conciliacao!BF663,df_extratos!F:F,"&lt;"&amp;Conciliacao!BF663+1,df_extratos!G:G,"DEBITO")
+SUMIFS(df_extratos!I:I,df_extratos!F:F,"&gt;="&amp;Conciliacao!BG663,df_extratos!F:F,"&lt;"&amp;Conciliacao!BG663+1,df_extratos!G:G,"DEBITO")
+SUMIFS(df_extratos!I:I,df_extratos!F:F,"&gt;="&amp;Conciliacao!BH663,df_extratos!F:F,"&lt;"&amp;Conciliacao!BH663+1,df_extratos!G:G,"DEBITO")</f>
        <v/>
      </c>
      <c r="O663" s="11">
        <f>N663-SUM(J663:M663)</f>
        <v/>
      </c>
      <c r="P663" s="25">
        <f>SUMIFS(df_ajustes_conciliaco!D:D,df_ajustes_conciliaco!C:C,Conciliacao!A663)</f>
        <v/>
      </c>
      <c r="Q663" s="22">
        <f>O663+I663-P663</f>
        <v/>
      </c>
    </row>
    <row r="664">
      <c r="A664" s="5">
        <f>A663+1</f>
        <v/>
      </c>
      <c r="B664" s="3">
        <f>-SUMIFS(df_extrato_zig!G:G,df_extrato_zig!E:E,Conciliacao!A664,df_extrato_zig!D:D,"Saque")-SUMIFS(df_extrato_zig!G:G,df_extrato_zig!E:E,Conciliacao!A664,df_extrato_zig!D:D,"Antecipação")</f>
        <v/>
      </c>
      <c r="C664" s="3">
        <f>SUMIFS(df_extrato_zig!E:E,df_extrato_zig!L:L,Conciliacao!A664,df_extrato_zig!F:F,"DINHEIRO")</f>
        <v/>
      </c>
      <c r="D664" s="3">
        <f>SUMIFS(view_parc_agrup!H:H,view_parc_agrup!G:G,Conciliacao!A664)</f>
        <v/>
      </c>
      <c r="E664" s="3">
        <f>SUMIFS(df_eventos!F:F,df_eventos!H:H,Conciliacao!A664)</f>
        <v/>
      </c>
      <c r="F664" s="3">
        <f>SUMIFS(df_mutuos!M:M,df_mutuos!B:B,Conciliacao!A664)</f>
        <v/>
      </c>
      <c r="G664" s="6">
        <f>SUMIFS(df_bloqueios_judiciais!G:G,df_bloqueios_judiciais!D:D,Conciliacao!A664,df_bloqueios_judiciais!G:G,"&gt;0")</f>
        <v/>
      </c>
      <c r="H664" s="7">
        <f>SUMIFS(df_extratos!I:I,df_extratos!F:F,"&gt;="&amp;Conciliacao!BE664,df_extratos!F:F,"&lt;"&amp;Conciliacao!BE664+1,df_extratos!G:G,"CREDITO")
+SUMIFS(df_extratos!I:I,df_extratos!F:F,"&gt;="&amp;Conciliacao!A664, df_extratos!F:F,"&lt;"&amp;Conciliacao!A664+1, df_extratos!G:G,"CREDITO")
+SUMIFS(df_extratos!I:I,df_extratos!F:F,"&gt;="&amp;Conciliacao!BF664,df_extratos!F:F,"&lt;"&amp;Conciliacao!BF664+1,df_extratos!G:G,"CREDITO")
+SUMIFS(df_extratos!I:I,df_extratos!F:F,"&gt;="&amp;Conciliacao!BG664,df_extratos!F:F,"&lt;"&amp;Conciliacao!BG664+1,df_extratos!G:G,"CREDITO")
+SUMIFS(df_extratos!I:I,df_extratos!F:F,"&gt;="&amp;Conciliacao!BH664,df_extratos!F:F,"&lt;"&amp;Conciliacao!BH664+1,df_extratos!G:G,"CREDITO")</f>
        <v/>
      </c>
      <c r="I664" s="9">
        <f>H664-SUM(B664:G664)</f>
        <v/>
      </c>
      <c r="J664" s="4">
        <f>SUMIFS(df_blueme_sem_parcelamento!E:E,df_blueme_sem_parcelamento!H:H,Conciliacao!A664)*(-1)</f>
        <v/>
      </c>
      <c r="K664" s="4">
        <f>SUMIFS(df_blueme_com_parcelamento!J:J,df_blueme_com_parcelamento!M:M,Conciliacao!A664)*(-1)</f>
        <v/>
      </c>
      <c r="L664" s="4">
        <f>SUMIFS(df_mutuos!N:N,df_mutuos!B:B,Conciliacao!A664)*(-1)</f>
        <v/>
      </c>
      <c r="M664" s="8">
        <f>SUMIFS(df_bloqueios_judiciais!G:G,df_bloqueios_judiciais!D:D,Conciliacao!A664,df_bloqueios_judiciais!G:G,"&lt;0")</f>
        <v/>
      </c>
      <c r="N664" s="10">
        <f>SUMIFS(df_extratos!I:I,df_extratos!F:F,"&gt;="&amp;Conciliacao!BE664,df_extratos!F:F,"&lt;"&amp;Conciliacao!BE664+1,df_extratos!G:G,"DEBITO")
+SUMIFS(df_extratos!I:I,df_extratos!F:F,"&gt;="&amp;Conciliacao!A664, df_extratos!F:F,"&lt;"&amp;Conciliacao!A664+1, df_extratos!G:G,"DEBITO")
+SUMIFS(df_extratos!I:I,df_extratos!F:F,"&gt;="&amp;Conciliacao!BF664,df_extratos!F:F,"&lt;"&amp;Conciliacao!BF664+1,df_extratos!G:G,"DEBITO")
+SUMIFS(df_extratos!I:I,df_extratos!F:F,"&gt;="&amp;Conciliacao!BG664,df_extratos!F:F,"&lt;"&amp;Conciliacao!BG664+1,df_extratos!G:G,"DEBITO")
+SUMIFS(df_extratos!I:I,df_extratos!F:F,"&gt;="&amp;Conciliacao!BH664,df_extratos!F:F,"&lt;"&amp;Conciliacao!BH664+1,df_extratos!G:G,"DEBITO")</f>
        <v/>
      </c>
      <c r="O664" s="11">
        <f>N664-SUM(J664:M664)</f>
        <v/>
      </c>
      <c r="P664" s="25">
        <f>SUMIFS(df_ajustes_conciliaco!D:D,df_ajustes_conciliaco!C:C,Conciliacao!A664)</f>
        <v/>
      </c>
      <c r="Q664" s="22">
        <f>O664+I664-P664</f>
        <v/>
      </c>
    </row>
    <row r="665">
      <c r="A665" s="5">
        <f>A664+1</f>
        <v/>
      </c>
      <c r="B665" s="3">
        <f>-SUMIFS(df_extrato_zig!G:G,df_extrato_zig!E:E,Conciliacao!A665,df_extrato_zig!D:D,"Saque")-SUMIFS(df_extrato_zig!G:G,df_extrato_zig!E:E,Conciliacao!A665,df_extrato_zig!D:D,"Antecipação")</f>
        <v/>
      </c>
      <c r="C665" s="3">
        <f>SUMIFS(df_extrato_zig!E:E,df_extrato_zig!L:L,Conciliacao!A665,df_extrato_zig!F:F,"DINHEIRO")</f>
        <v/>
      </c>
      <c r="D665" s="3">
        <f>SUMIFS(view_parc_agrup!H:H,view_parc_agrup!G:G,Conciliacao!A665)</f>
        <v/>
      </c>
      <c r="E665" s="3">
        <f>SUMIFS(df_eventos!F:F,df_eventos!H:H,Conciliacao!A665)</f>
        <v/>
      </c>
      <c r="F665" s="3">
        <f>SUMIFS(df_mutuos!M:M,df_mutuos!B:B,Conciliacao!A665)</f>
        <v/>
      </c>
      <c r="G665" s="6">
        <f>SUMIFS(df_bloqueios_judiciais!G:G,df_bloqueios_judiciais!D:D,Conciliacao!A665,df_bloqueios_judiciais!G:G,"&gt;0")</f>
        <v/>
      </c>
      <c r="H665" s="7">
        <f>SUMIFS(df_extratos!I:I,df_extratos!F:F,"&gt;="&amp;Conciliacao!BE665,df_extratos!F:F,"&lt;"&amp;Conciliacao!BE665+1,df_extratos!G:G,"CREDITO")
+SUMIFS(df_extratos!I:I,df_extratos!F:F,"&gt;="&amp;Conciliacao!A665, df_extratos!F:F,"&lt;"&amp;Conciliacao!A665+1, df_extratos!G:G,"CREDITO")
+SUMIFS(df_extratos!I:I,df_extratos!F:F,"&gt;="&amp;Conciliacao!BF665,df_extratos!F:F,"&lt;"&amp;Conciliacao!BF665+1,df_extratos!G:G,"CREDITO")
+SUMIFS(df_extratos!I:I,df_extratos!F:F,"&gt;="&amp;Conciliacao!BG665,df_extratos!F:F,"&lt;"&amp;Conciliacao!BG665+1,df_extratos!G:G,"CREDITO")
+SUMIFS(df_extratos!I:I,df_extratos!F:F,"&gt;="&amp;Conciliacao!BH665,df_extratos!F:F,"&lt;"&amp;Conciliacao!BH665+1,df_extratos!G:G,"CREDITO")</f>
        <v/>
      </c>
      <c r="I665" s="9">
        <f>H665-SUM(B665:G665)</f>
        <v/>
      </c>
      <c r="J665" s="4">
        <f>SUMIFS(df_blueme_sem_parcelamento!E:E,df_blueme_sem_parcelamento!H:H,Conciliacao!A665)*(-1)</f>
        <v/>
      </c>
      <c r="K665" s="4">
        <f>SUMIFS(df_blueme_com_parcelamento!J:J,df_blueme_com_parcelamento!M:M,Conciliacao!A665)*(-1)</f>
        <v/>
      </c>
      <c r="L665" s="4">
        <f>SUMIFS(df_mutuos!N:N,df_mutuos!B:B,Conciliacao!A665)*(-1)</f>
        <v/>
      </c>
      <c r="M665" s="8">
        <f>SUMIFS(df_bloqueios_judiciais!G:G,df_bloqueios_judiciais!D:D,Conciliacao!A665,df_bloqueios_judiciais!G:G,"&lt;0")</f>
        <v/>
      </c>
      <c r="N665" s="10">
        <f>SUMIFS(df_extratos!I:I,df_extratos!F:F,"&gt;="&amp;Conciliacao!BE665,df_extratos!F:F,"&lt;"&amp;Conciliacao!BE665+1,df_extratos!G:G,"DEBITO")
+SUMIFS(df_extratos!I:I,df_extratos!F:F,"&gt;="&amp;Conciliacao!A665, df_extratos!F:F,"&lt;"&amp;Conciliacao!A665+1, df_extratos!G:G,"DEBITO")
+SUMIFS(df_extratos!I:I,df_extratos!F:F,"&gt;="&amp;Conciliacao!BF665,df_extratos!F:F,"&lt;"&amp;Conciliacao!BF665+1,df_extratos!G:G,"DEBITO")
+SUMIFS(df_extratos!I:I,df_extratos!F:F,"&gt;="&amp;Conciliacao!BG665,df_extratos!F:F,"&lt;"&amp;Conciliacao!BG665+1,df_extratos!G:G,"DEBITO")
+SUMIFS(df_extratos!I:I,df_extratos!F:F,"&gt;="&amp;Conciliacao!BH665,df_extratos!F:F,"&lt;"&amp;Conciliacao!BH665+1,df_extratos!G:G,"DEBITO")</f>
        <v/>
      </c>
      <c r="O665" s="11">
        <f>N665-SUM(J665:M665)</f>
        <v/>
      </c>
      <c r="P665" s="25">
        <f>SUMIFS(df_ajustes_conciliaco!D:D,df_ajustes_conciliaco!C:C,Conciliacao!A665)</f>
        <v/>
      </c>
      <c r="Q665" s="22">
        <f>O665+I665-P665</f>
        <v/>
      </c>
    </row>
    <row r="666">
      <c r="A666" s="5">
        <f>A665+1</f>
        <v/>
      </c>
      <c r="B666" s="3">
        <f>-SUMIFS(df_extrato_zig!G:G,df_extrato_zig!E:E,Conciliacao!A666,df_extrato_zig!D:D,"Saque")-SUMIFS(df_extrato_zig!G:G,df_extrato_zig!E:E,Conciliacao!A666,df_extrato_zig!D:D,"Antecipação")</f>
        <v/>
      </c>
      <c r="C666" s="3">
        <f>SUMIFS(df_extrato_zig!E:E,df_extrato_zig!L:L,Conciliacao!A666,df_extrato_zig!F:F,"DINHEIRO")</f>
        <v/>
      </c>
      <c r="D666" s="3">
        <f>SUMIFS(view_parc_agrup!H:H,view_parc_agrup!G:G,Conciliacao!A666)</f>
        <v/>
      </c>
      <c r="E666" s="3">
        <f>SUMIFS(df_eventos!F:F,df_eventos!H:H,Conciliacao!A666)</f>
        <v/>
      </c>
      <c r="F666" s="3">
        <f>SUMIFS(df_mutuos!M:M,df_mutuos!B:B,Conciliacao!A666)</f>
        <v/>
      </c>
      <c r="G666" s="6">
        <f>SUMIFS(df_bloqueios_judiciais!G:G,df_bloqueios_judiciais!D:D,Conciliacao!A666,df_bloqueios_judiciais!G:G,"&gt;0")</f>
        <v/>
      </c>
      <c r="H666" s="7">
        <f>SUMIFS(df_extratos!I:I,df_extratos!F:F,"&gt;="&amp;Conciliacao!BE666,df_extratos!F:F,"&lt;"&amp;Conciliacao!BE666+1,df_extratos!G:G,"CREDITO")
+SUMIFS(df_extratos!I:I,df_extratos!F:F,"&gt;="&amp;Conciliacao!A666, df_extratos!F:F,"&lt;"&amp;Conciliacao!A666+1, df_extratos!G:G,"CREDITO")
+SUMIFS(df_extratos!I:I,df_extratos!F:F,"&gt;="&amp;Conciliacao!BF666,df_extratos!F:F,"&lt;"&amp;Conciliacao!BF666+1,df_extratos!G:G,"CREDITO")
+SUMIFS(df_extratos!I:I,df_extratos!F:F,"&gt;="&amp;Conciliacao!BG666,df_extratos!F:F,"&lt;"&amp;Conciliacao!BG666+1,df_extratos!G:G,"CREDITO")
+SUMIFS(df_extratos!I:I,df_extratos!F:F,"&gt;="&amp;Conciliacao!BH666,df_extratos!F:F,"&lt;"&amp;Conciliacao!BH666+1,df_extratos!G:G,"CREDITO")</f>
        <v/>
      </c>
      <c r="I666" s="9">
        <f>H666-SUM(B666:G666)</f>
        <v/>
      </c>
      <c r="J666" s="4">
        <f>SUMIFS(df_blueme_sem_parcelamento!E:E,df_blueme_sem_parcelamento!H:H,Conciliacao!A666)*(-1)</f>
        <v/>
      </c>
      <c r="K666" s="4">
        <f>SUMIFS(df_blueme_com_parcelamento!J:J,df_blueme_com_parcelamento!M:M,Conciliacao!A666)*(-1)</f>
        <v/>
      </c>
      <c r="L666" s="4">
        <f>SUMIFS(df_mutuos!N:N,df_mutuos!B:B,Conciliacao!A666)*(-1)</f>
        <v/>
      </c>
      <c r="M666" s="8">
        <f>SUMIFS(df_bloqueios_judiciais!G:G,df_bloqueios_judiciais!D:D,Conciliacao!A666,df_bloqueios_judiciais!G:G,"&lt;0")</f>
        <v/>
      </c>
      <c r="N666" s="10">
        <f>SUMIFS(df_extratos!I:I,df_extratos!F:F,"&gt;="&amp;Conciliacao!BE666,df_extratos!F:F,"&lt;"&amp;Conciliacao!BE666+1,df_extratos!G:G,"DEBITO")
+SUMIFS(df_extratos!I:I,df_extratos!F:F,"&gt;="&amp;Conciliacao!A666, df_extratos!F:F,"&lt;"&amp;Conciliacao!A666+1, df_extratos!G:G,"DEBITO")
+SUMIFS(df_extratos!I:I,df_extratos!F:F,"&gt;="&amp;Conciliacao!BF666,df_extratos!F:F,"&lt;"&amp;Conciliacao!BF666+1,df_extratos!G:G,"DEBITO")
+SUMIFS(df_extratos!I:I,df_extratos!F:F,"&gt;="&amp;Conciliacao!BG666,df_extratos!F:F,"&lt;"&amp;Conciliacao!BG666+1,df_extratos!G:G,"DEBITO")
+SUMIFS(df_extratos!I:I,df_extratos!F:F,"&gt;="&amp;Conciliacao!BH666,df_extratos!F:F,"&lt;"&amp;Conciliacao!BH666+1,df_extratos!G:G,"DEBITO")</f>
        <v/>
      </c>
      <c r="O666" s="11">
        <f>N666-SUM(J666:M666)</f>
        <v/>
      </c>
      <c r="P666" s="25">
        <f>SUMIFS(df_ajustes_conciliaco!D:D,df_ajustes_conciliaco!C:C,Conciliacao!A666)</f>
        <v/>
      </c>
      <c r="Q666" s="22">
        <f>O666+I666-P666</f>
        <v/>
      </c>
    </row>
    <row r="667">
      <c r="A667" s="5">
        <f>A666+1</f>
        <v/>
      </c>
      <c r="B667" s="3">
        <f>-SUMIFS(df_extrato_zig!G:G,df_extrato_zig!E:E,Conciliacao!A667,df_extrato_zig!D:D,"Saque")-SUMIFS(df_extrato_zig!G:G,df_extrato_zig!E:E,Conciliacao!A667,df_extrato_zig!D:D,"Antecipação")</f>
        <v/>
      </c>
      <c r="C667" s="3">
        <f>SUMIFS(df_extrato_zig!E:E,df_extrato_zig!L:L,Conciliacao!A667,df_extrato_zig!F:F,"DINHEIRO")</f>
        <v/>
      </c>
      <c r="D667" s="3">
        <f>SUMIFS(view_parc_agrup!H:H,view_parc_agrup!G:G,Conciliacao!A667)</f>
        <v/>
      </c>
      <c r="E667" s="3">
        <f>SUMIFS(df_eventos!F:F,df_eventos!H:H,Conciliacao!A667)</f>
        <v/>
      </c>
      <c r="F667" s="3">
        <f>SUMIFS(df_mutuos!M:M,df_mutuos!B:B,Conciliacao!A667)</f>
        <v/>
      </c>
      <c r="G667" s="6">
        <f>SUMIFS(df_bloqueios_judiciais!G:G,df_bloqueios_judiciais!D:D,Conciliacao!A667,df_bloqueios_judiciais!G:G,"&gt;0")</f>
        <v/>
      </c>
      <c r="H667" s="7">
        <f>SUMIFS(df_extratos!I:I,df_extratos!F:F,"&gt;="&amp;Conciliacao!BE667,df_extratos!F:F,"&lt;"&amp;Conciliacao!BE667+1,df_extratos!G:G,"CREDITO")
+SUMIFS(df_extratos!I:I,df_extratos!F:F,"&gt;="&amp;Conciliacao!A667, df_extratos!F:F,"&lt;"&amp;Conciliacao!A667+1, df_extratos!G:G,"CREDITO")
+SUMIFS(df_extratos!I:I,df_extratos!F:F,"&gt;="&amp;Conciliacao!BF667,df_extratos!F:F,"&lt;"&amp;Conciliacao!BF667+1,df_extratos!G:G,"CREDITO")
+SUMIFS(df_extratos!I:I,df_extratos!F:F,"&gt;="&amp;Conciliacao!BG667,df_extratos!F:F,"&lt;"&amp;Conciliacao!BG667+1,df_extratos!G:G,"CREDITO")
+SUMIFS(df_extratos!I:I,df_extratos!F:F,"&gt;="&amp;Conciliacao!BH667,df_extratos!F:F,"&lt;"&amp;Conciliacao!BH667+1,df_extratos!G:G,"CREDITO")</f>
        <v/>
      </c>
      <c r="I667" s="9">
        <f>H667-SUM(B667:G667)</f>
        <v/>
      </c>
      <c r="J667" s="4">
        <f>SUMIFS(df_blueme_sem_parcelamento!E:E,df_blueme_sem_parcelamento!H:H,Conciliacao!A667)*(-1)</f>
        <v/>
      </c>
      <c r="K667" s="4">
        <f>SUMIFS(df_blueme_com_parcelamento!J:J,df_blueme_com_parcelamento!M:M,Conciliacao!A667)*(-1)</f>
        <v/>
      </c>
      <c r="L667" s="4">
        <f>SUMIFS(df_mutuos!N:N,df_mutuos!B:B,Conciliacao!A667)*(-1)</f>
        <v/>
      </c>
      <c r="M667" s="8">
        <f>SUMIFS(df_bloqueios_judiciais!G:G,df_bloqueios_judiciais!D:D,Conciliacao!A667,df_bloqueios_judiciais!G:G,"&lt;0")</f>
        <v/>
      </c>
      <c r="N667" s="10">
        <f>SUMIFS(df_extratos!I:I,df_extratos!F:F,"&gt;="&amp;Conciliacao!BE667,df_extratos!F:F,"&lt;"&amp;Conciliacao!BE667+1,df_extratos!G:G,"DEBITO")
+SUMIFS(df_extratos!I:I,df_extratos!F:F,"&gt;="&amp;Conciliacao!A667, df_extratos!F:F,"&lt;"&amp;Conciliacao!A667+1, df_extratos!G:G,"DEBITO")
+SUMIFS(df_extratos!I:I,df_extratos!F:F,"&gt;="&amp;Conciliacao!BF667,df_extratos!F:F,"&lt;"&amp;Conciliacao!BF667+1,df_extratos!G:G,"DEBITO")
+SUMIFS(df_extratos!I:I,df_extratos!F:F,"&gt;="&amp;Conciliacao!BG667,df_extratos!F:F,"&lt;"&amp;Conciliacao!BG667+1,df_extratos!G:G,"DEBITO")
+SUMIFS(df_extratos!I:I,df_extratos!F:F,"&gt;="&amp;Conciliacao!BH667,df_extratos!F:F,"&lt;"&amp;Conciliacao!BH667+1,df_extratos!G:G,"DEBITO")</f>
        <v/>
      </c>
      <c r="O667" s="11">
        <f>N667-SUM(J667:M667)</f>
        <v/>
      </c>
      <c r="P667" s="25">
        <f>SUMIFS(df_ajustes_conciliaco!D:D,df_ajustes_conciliaco!C:C,Conciliacao!A667)</f>
        <v/>
      </c>
      <c r="Q667" s="22">
        <f>O667+I667-P667</f>
        <v/>
      </c>
    </row>
    <row r="668">
      <c r="A668" s="5">
        <f>A667+1</f>
        <v/>
      </c>
      <c r="B668" s="3">
        <f>-SUMIFS(df_extrato_zig!G:G,df_extrato_zig!E:E,Conciliacao!A668,df_extrato_zig!D:D,"Saque")-SUMIFS(df_extrato_zig!G:G,df_extrato_zig!E:E,Conciliacao!A668,df_extrato_zig!D:D,"Antecipação")</f>
        <v/>
      </c>
      <c r="C668" s="3">
        <f>SUMIFS(df_extrato_zig!E:E,df_extrato_zig!L:L,Conciliacao!A668,df_extrato_zig!F:F,"DINHEIRO")</f>
        <v/>
      </c>
      <c r="D668" s="3">
        <f>SUMIFS(view_parc_agrup!H:H,view_parc_agrup!G:G,Conciliacao!A668)</f>
        <v/>
      </c>
      <c r="E668" s="3">
        <f>SUMIFS(df_eventos!F:F,df_eventos!H:H,Conciliacao!A668)</f>
        <v/>
      </c>
      <c r="F668" s="3">
        <f>SUMIFS(df_mutuos!M:M,df_mutuos!B:B,Conciliacao!A668)</f>
        <v/>
      </c>
      <c r="G668" s="6">
        <f>SUMIFS(df_bloqueios_judiciais!G:G,df_bloqueios_judiciais!D:D,Conciliacao!A668,df_bloqueios_judiciais!G:G,"&gt;0")</f>
        <v/>
      </c>
      <c r="H668" s="7">
        <f>SUMIFS(df_extratos!I:I,df_extratos!F:F,"&gt;="&amp;Conciliacao!BE668,df_extratos!F:F,"&lt;"&amp;Conciliacao!BE668+1,df_extratos!G:G,"CREDITO")
+SUMIFS(df_extratos!I:I,df_extratos!F:F,"&gt;="&amp;Conciliacao!A668, df_extratos!F:F,"&lt;"&amp;Conciliacao!A668+1, df_extratos!G:G,"CREDITO")
+SUMIFS(df_extratos!I:I,df_extratos!F:F,"&gt;="&amp;Conciliacao!BF668,df_extratos!F:F,"&lt;"&amp;Conciliacao!BF668+1,df_extratos!G:G,"CREDITO")
+SUMIFS(df_extratos!I:I,df_extratos!F:F,"&gt;="&amp;Conciliacao!BG668,df_extratos!F:F,"&lt;"&amp;Conciliacao!BG668+1,df_extratos!G:G,"CREDITO")
+SUMIFS(df_extratos!I:I,df_extratos!F:F,"&gt;="&amp;Conciliacao!BH668,df_extratos!F:F,"&lt;"&amp;Conciliacao!BH668+1,df_extratos!G:G,"CREDITO")</f>
        <v/>
      </c>
      <c r="I668" s="9">
        <f>H668-SUM(B668:G668)</f>
        <v/>
      </c>
      <c r="J668" s="4">
        <f>SUMIFS(df_blueme_sem_parcelamento!E:E,df_blueme_sem_parcelamento!H:H,Conciliacao!A668)*(-1)</f>
        <v/>
      </c>
      <c r="K668" s="4">
        <f>SUMIFS(df_blueme_com_parcelamento!J:J,df_blueme_com_parcelamento!M:M,Conciliacao!A668)*(-1)</f>
        <v/>
      </c>
      <c r="L668" s="4">
        <f>SUMIFS(df_mutuos!N:N,df_mutuos!B:B,Conciliacao!A668)*(-1)</f>
        <v/>
      </c>
      <c r="M668" s="8">
        <f>SUMIFS(df_bloqueios_judiciais!G:G,df_bloqueios_judiciais!D:D,Conciliacao!A668,df_bloqueios_judiciais!G:G,"&lt;0")</f>
        <v/>
      </c>
      <c r="N668" s="10">
        <f>SUMIFS(df_extratos!I:I,df_extratos!F:F,"&gt;="&amp;Conciliacao!BE668,df_extratos!F:F,"&lt;"&amp;Conciliacao!BE668+1,df_extratos!G:G,"DEBITO")
+SUMIFS(df_extratos!I:I,df_extratos!F:F,"&gt;="&amp;Conciliacao!A668, df_extratos!F:F,"&lt;"&amp;Conciliacao!A668+1, df_extratos!G:G,"DEBITO")
+SUMIFS(df_extratos!I:I,df_extratos!F:F,"&gt;="&amp;Conciliacao!BF668,df_extratos!F:F,"&lt;"&amp;Conciliacao!BF668+1,df_extratos!G:G,"DEBITO")
+SUMIFS(df_extratos!I:I,df_extratos!F:F,"&gt;="&amp;Conciliacao!BG668,df_extratos!F:F,"&lt;"&amp;Conciliacao!BG668+1,df_extratos!G:G,"DEBITO")
+SUMIFS(df_extratos!I:I,df_extratos!F:F,"&gt;="&amp;Conciliacao!BH668,df_extratos!F:F,"&lt;"&amp;Conciliacao!BH668+1,df_extratos!G:G,"DEBITO")</f>
        <v/>
      </c>
      <c r="O668" s="11">
        <f>N668-SUM(J668:M668)</f>
        <v/>
      </c>
      <c r="P668" s="25">
        <f>SUMIFS(df_ajustes_conciliaco!D:D,df_ajustes_conciliaco!C:C,Conciliacao!A668)</f>
        <v/>
      </c>
      <c r="Q668" s="22">
        <f>O668+I668-P668</f>
        <v/>
      </c>
    </row>
    <row r="669">
      <c r="A669" s="5">
        <f>A668+1</f>
        <v/>
      </c>
      <c r="B669" s="3">
        <f>-SUMIFS(df_extrato_zig!G:G,df_extrato_zig!E:E,Conciliacao!A669,df_extrato_zig!D:D,"Saque")-SUMIFS(df_extrato_zig!G:G,df_extrato_zig!E:E,Conciliacao!A669,df_extrato_zig!D:D,"Antecipação")</f>
        <v/>
      </c>
      <c r="C669" s="3">
        <f>SUMIFS(df_extrato_zig!E:E,df_extrato_zig!L:L,Conciliacao!A669,df_extrato_zig!F:F,"DINHEIRO")</f>
        <v/>
      </c>
      <c r="D669" s="3">
        <f>SUMIFS(view_parc_agrup!H:H,view_parc_agrup!G:G,Conciliacao!A669)</f>
        <v/>
      </c>
      <c r="E669" s="3">
        <f>SUMIFS(df_eventos!F:F,df_eventos!H:H,Conciliacao!A669)</f>
        <v/>
      </c>
      <c r="F669" s="3">
        <f>SUMIFS(df_mutuos!M:M,df_mutuos!B:B,Conciliacao!A669)</f>
        <v/>
      </c>
      <c r="G669" s="6">
        <f>SUMIFS(df_bloqueios_judiciais!G:G,df_bloqueios_judiciais!D:D,Conciliacao!A669,df_bloqueios_judiciais!G:G,"&gt;0")</f>
        <v/>
      </c>
      <c r="H669" s="7">
        <f>SUMIFS(df_extratos!I:I,df_extratos!F:F,"&gt;="&amp;Conciliacao!BE669,df_extratos!F:F,"&lt;"&amp;Conciliacao!BE669+1,df_extratos!G:G,"CREDITO")
+SUMIFS(df_extratos!I:I,df_extratos!F:F,"&gt;="&amp;Conciliacao!A669, df_extratos!F:F,"&lt;"&amp;Conciliacao!A669+1, df_extratos!G:G,"CREDITO")
+SUMIFS(df_extratos!I:I,df_extratos!F:F,"&gt;="&amp;Conciliacao!BF669,df_extratos!F:F,"&lt;"&amp;Conciliacao!BF669+1,df_extratos!G:G,"CREDITO")
+SUMIFS(df_extratos!I:I,df_extratos!F:F,"&gt;="&amp;Conciliacao!BG669,df_extratos!F:F,"&lt;"&amp;Conciliacao!BG669+1,df_extratos!G:G,"CREDITO")
+SUMIFS(df_extratos!I:I,df_extratos!F:F,"&gt;="&amp;Conciliacao!BH669,df_extratos!F:F,"&lt;"&amp;Conciliacao!BH669+1,df_extratos!G:G,"CREDITO")</f>
        <v/>
      </c>
      <c r="I669" s="9">
        <f>H669-SUM(B669:G669)</f>
        <v/>
      </c>
      <c r="J669" s="4">
        <f>SUMIFS(df_blueme_sem_parcelamento!E:E,df_blueme_sem_parcelamento!H:H,Conciliacao!A669)*(-1)</f>
        <v/>
      </c>
      <c r="K669" s="4">
        <f>SUMIFS(df_blueme_com_parcelamento!J:J,df_blueme_com_parcelamento!M:M,Conciliacao!A669)*(-1)</f>
        <v/>
      </c>
      <c r="L669" s="4">
        <f>SUMIFS(df_mutuos!N:N,df_mutuos!B:B,Conciliacao!A669)*(-1)</f>
        <v/>
      </c>
      <c r="M669" s="8">
        <f>SUMIFS(df_bloqueios_judiciais!G:G,df_bloqueios_judiciais!D:D,Conciliacao!A669,df_bloqueios_judiciais!G:G,"&lt;0")</f>
        <v/>
      </c>
      <c r="N669" s="10">
        <f>SUMIFS(df_extratos!I:I,df_extratos!F:F,"&gt;="&amp;Conciliacao!BE669,df_extratos!F:F,"&lt;"&amp;Conciliacao!BE669+1,df_extratos!G:G,"DEBITO")
+SUMIFS(df_extratos!I:I,df_extratos!F:F,"&gt;="&amp;Conciliacao!A669, df_extratos!F:F,"&lt;"&amp;Conciliacao!A669+1, df_extratos!G:G,"DEBITO")
+SUMIFS(df_extratos!I:I,df_extratos!F:F,"&gt;="&amp;Conciliacao!BF669,df_extratos!F:F,"&lt;"&amp;Conciliacao!BF669+1,df_extratos!G:G,"DEBITO")
+SUMIFS(df_extratos!I:I,df_extratos!F:F,"&gt;="&amp;Conciliacao!BG669,df_extratos!F:F,"&lt;"&amp;Conciliacao!BG669+1,df_extratos!G:G,"DEBITO")
+SUMIFS(df_extratos!I:I,df_extratos!F:F,"&gt;="&amp;Conciliacao!BH669,df_extratos!F:F,"&lt;"&amp;Conciliacao!BH669+1,df_extratos!G:G,"DEBITO")</f>
        <v/>
      </c>
      <c r="O669" s="11">
        <f>N669-SUM(J669:M669)</f>
        <v/>
      </c>
      <c r="P669" s="25">
        <f>SUMIFS(df_ajustes_conciliaco!D:D,df_ajustes_conciliaco!C:C,Conciliacao!A669)</f>
        <v/>
      </c>
      <c r="Q669" s="22">
        <f>O669+I669-P669</f>
        <v/>
      </c>
    </row>
    <row r="670">
      <c r="A670" s="5">
        <f>A669+1</f>
        <v/>
      </c>
      <c r="B670" s="3">
        <f>-SUMIFS(df_extrato_zig!G:G,df_extrato_zig!E:E,Conciliacao!A670,df_extrato_zig!D:D,"Saque")-SUMIFS(df_extrato_zig!G:G,df_extrato_zig!E:E,Conciliacao!A670,df_extrato_zig!D:D,"Antecipação")</f>
        <v/>
      </c>
      <c r="C670" s="3">
        <f>SUMIFS(df_extrato_zig!E:E,df_extrato_zig!L:L,Conciliacao!A670,df_extrato_zig!F:F,"DINHEIRO")</f>
        <v/>
      </c>
      <c r="D670" s="3">
        <f>SUMIFS(view_parc_agrup!H:H,view_parc_agrup!G:G,Conciliacao!A670)</f>
        <v/>
      </c>
      <c r="E670" s="3">
        <f>SUMIFS(df_eventos!F:F,df_eventos!H:H,Conciliacao!A670)</f>
        <v/>
      </c>
      <c r="F670" s="3">
        <f>SUMIFS(df_mutuos!M:M,df_mutuos!B:B,Conciliacao!A670)</f>
        <v/>
      </c>
      <c r="G670" s="6">
        <f>SUMIFS(df_bloqueios_judiciais!G:G,df_bloqueios_judiciais!D:D,Conciliacao!A670,df_bloqueios_judiciais!G:G,"&gt;0")</f>
        <v/>
      </c>
      <c r="H670" s="7">
        <f>SUMIFS(df_extratos!I:I,df_extratos!F:F,"&gt;="&amp;Conciliacao!BE670,df_extratos!F:F,"&lt;"&amp;Conciliacao!BE670+1,df_extratos!G:G,"CREDITO")
+SUMIFS(df_extratos!I:I,df_extratos!F:F,"&gt;="&amp;Conciliacao!A670, df_extratos!F:F,"&lt;"&amp;Conciliacao!A670+1, df_extratos!G:G,"CREDITO")
+SUMIFS(df_extratos!I:I,df_extratos!F:F,"&gt;="&amp;Conciliacao!BF670,df_extratos!F:F,"&lt;"&amp;Conciliacao!BF670+1,df_extratos!G:G,"CREDITO")
+SUMIFS(df_extratos!I:I,df_extratos!F:F,"&gt;="&amp;Conciliacao!BG670,df_extratos!F:F,"&lt;"&amp;Conciliacao!BG670+1,df_extratos!G:G,"CREDITO")
+SUMIFS(df_extratos!I:I,df_extratos!F:F,"&gt;="&amp;Conciliacao!BH670,df_extratos!F:F,"&lt;"&amp;Conciliacao!BH670+1,df_extratos!G:G,"CREDITO")</f>
        <v/>
      </c>
      <c r="I670" s="9">
        <f>H670-SUM(B670:G670)</f>
        <v/>
      </c>
      <c r="J670" s="4">
        <f>SUMIFS(df_blueme_sem_parcelamento!E:E,df_blueme_sem_parcelamento!H:H,Conciliacao!A670)*(-1)</f>
        <v/>
      </c>
      <c r="K670" s="4">
        <f>SUMIFS(df_blueme_com_parcelamento!J:J,df_blueme_com_parcelamento!M:M,Conciliacao!A670)*(-1)</f>
        <v/>
      </c>
      <c r="L670" s="4">
        <f>SUMIFS(df_mutuos!N:N,df_mutuos!B:B,Conciliacao!A670)*(-1)</f>
        <v/>
      </c>
      <c r="M670" s="8">
        <f>SUMIFS(df_bloqueios_judiciais!G:G,df_bloqueios_judiciais!D:D,Conciliacao!A670,df_bloqueios_judiciais!G:G,"&lt;0")</f>
        <v/>
      </c>
      <c r="N670" s="10">
        <f>SUMIFS(df_extratos!I:I,df_extratos!F:F,"&gt;="&amp;Conciliacao!BE670,df_extratos!F:F,"&lt;"&amp;Conciliacao!BE670+1,df_extratos!G:G,"DEBITO")
+SUMIFS(df_extratos!I:I,df_extratos!F:F,"&gt;="&amp;Conciliacao!A670, df_extratos!F:F,"&lt;"&amp;Conciliacao!A670+1, df_extratos!G:G,"DEBITO")
+SUMIFS(df_extratos!I:I,df_extratos!F:F,"&gt;="&amp;Conciliacao!BF670,df_extratos!F:F,"&lt;"&amp;Conciliacao!BF670+1,df_extratos!G:G,"DEBITO")
+SUMIFS(df_extratos!I:I,df_extratos!F:F,"&gt;="&amp;Conciliacao!BG670,df_extratos!F:F,"&lt;"&amp;Conciliacao!BG670+1,df_extratos!G:G,"DEBITO")
+SUMIFS(df_extratos!I:I,df_extratos!F:F,"&gt;="&amp;Conciliacao!BH670,df_extratos!F:F,"&lt;"&amp;Conciliacao!BH670+1,df_extratos!G:G,"DEBITO")</f>
        <v/>
      </c>
      <c r="O670" s="11">
        <f>N670-SUM(J670:M670)</f>
        <v/>
      </c>
      <c r="P670" s="25">
        <f>SUMIFS(df_ajustes_conciliaco!D:D,df_ajustes_conciliaco!C:C,Conciliacao!A670)</f>
        <v/>
      </c>
      <c r="Q670" s="22">
        <f>O670+I670-P670</f>
        <v/>
      </c>
    </row>
    <row r="671">
      <c r="A671" s="5">
        <f>A670+1</f>
        <v/>
      </c>
      <c r="B671" s="3">
        <f>-SUMIFS(df_extrato_zig!G:G,df_extrato_zig!E:E,Conciliacao!A671,df_extrato_zig!D:D,"Saque")-SUMIFS(df_extrato_zig!G:G,df_extrato_zig!E:E,Conciliacao!A671,df_extrato_zig!D:D,"Antecipação")</f>
        <v/>
      </c>
      <c r="C671" s="3">
        <f>SUMIFS(df_extrato_zig!E:E,df_extrato_zig!L:L,Conciliacao!A671,df_extrato_zig!F:F,"DINHEIRO")</f>
        <v/>
      </c>
      <c r="D671" s="3">
        <f>SUMIFS(view_parc_agrup!H:H,view_parc_agrup!G:G,Conciliacao!A671)</f>
        <v/>
      </c>
      <c r="E671" s="3">
        <f>SUMIFS(df_eventos!F:F,df_eventos!H:H,Conciliacao!A671)</f>
        <v/>
      </c>
      <c r="F671" s="3">
        <f>SUMIFS(df_mutuos!M:M,df_mutuos!B:B,Conciliacao!A671)</f>
        <v/>
      </c>
      <c r="G671" s="6">
        <f>SUMIFS(df_bloqueios_judiciais!G:G,df_bloqueios_judiciais!D:D,Conciliacao!A671,df_bloqueios_judiciais!G:G,"&gt;0")</f>
        <v/>
      </c>
      <c r="H671" s="7">
        <f>SUMIFS(df_extratos!I:I,df_extratos!F:F,"&gt;="&amp;Conciliacao!BE671,df_extratos!F:F,"&lt;"&amp;Conciliacao!BE671+1,df_extratos!G:G,"CREDITO")
+SUMIFS(df_extratos!I:I,df_extratos!F:F,"&gt;="&amp;Conciliacao!A671, df_extratos!F:F,"&lt;"&amp;Conciliacao!A671+1, df_extratos!G:G,"CREDITO")
+SUMIFS(df_extratos!I:I,df_extratos!F:F,"&gt;="&amp;Conciliacao!BF671,df_extratos!F:F,"&lt;"&amp;Conciliacao!BF671+1,df_extratos!G:G,"CREDITO")
+SUMIFS(df_extratos!I:I,df_extratos!F:F,"&gt;="&amp;Conciliacao!BG671,df_extratos!F:F,"&lt;"&amp;Conciliacao!BG671+1,df_extratos!G:G,"CREDITO")
+SUMIFS(df_extratos!I:I,df_extratos!F:F,"&gt;="&amp;Conciliacao!BH671,df_extratos!F:F,"&lt;"&amp;Conciliacao!BH671+1,df_extratos!G:G,"CREDITO")</f>
        <v/>
      </c>
      <c r="I671" s="9">
        <f>H671-SUM(B671:G671)</f>
        <v/>
      </c>
      <c r="J671" s="4">
        <f>SUMIFS(df_blueme_sem_parcelamento!E:E,df_blueme_sem_parcelamento!H:H,Conciliacao!A671)*(-1)</f>
        <v/>
      </c>
      <c r="K671" s="4">
        <f>SUMIFS(df_blueme_com_parcelamento!J:J,df_blueme_com_parcelamento!M:M,Conciliacao!A671)*(-1)</f>
        <v/>
      </c>
      <c r="L671" s="4">
        <f>SUMIFS(df_mutuos!N:N,df_mutuos!B:B,Conciliacao!A671)*(-1)</f>
        <v/>
      </c>
      <c r="M671" s="8">
        <f>SUMIFS(df_bloqueios_judiciais!G:G,df_bloqueios_judiciais!D:D,Conciliacao!A671,df_bloqueios_judiciais!G:G,"&lt;0")</f>
        <v/>
      </c>
      <c r="N671" s="10">
        <f>SUMIFS(df_extratos!I:I,df_extratos!F:F,"&gt;="&amp;Conciliacao!BE671,df_extratos!F:F,"&lt;"&amp;Conciliacao!BE671+1,df_extratos!G:G,"DEBITO")
+SUMIFS(df_extratos!I:I,df_extratos!F:F,"&gt;="&amp;Conciliacao!A671, df_extratos!F:F,"&lt;"&amp;Conciliacao!A671+1, df_extratos!G:G,"DEBITO")
+SUMIFS(df_extratos!I:I,df_extratos!F:F,"&gt;="&amp;Conciliacao!BF671,df_extratos!F:F,"&lt;"&amp;Conciliacao!BF671+1,df_extratos!G:G,"DEBITO")
+SUMIFS(df_extratos!I:I,df_extratos!F:F,"&gt;="&amp;Conciliacao!BG671,df_extratos!F:F,"&lt;"&amp;Conciliacao!BG671+1,df_extratos!G:G,"DEBITO")
+SUMIFS(df_extratos!I:I,df_extratos!F:F,"&gt;="&amp;Conciliacao!BH671,df_extratos!F:F,"&lt;"&amp;Conciliacao!BH671+1,df_extratos!G:G,"DEBITO")</f>
        <v/>
      </c>
      <c r="O671" s="11">
        <f>N671-SUM(J671:M671)</f>
        <v/>
      </c>
      <c r="P671" s="25">
        <f>SUMIFS(df_ajustes_conciliaco!D:D,df_ajustes_conciliaco!C:C,Conciliacao!A671)</f>
        <v/>
      </c>
      <c r="Q671" s="22">
        <f>O671+I671-P671</f>
        <v/>
      </c>
    </row>
    <row r="672">
      <c r="A672" s="5">
        <f>A671+1</f>
        <v/>
      </c>
      <c r="B672" s="3">
        <f>-SUMIFS(df_extrato_zig!G:G,df_extrato_zig!E:E,Conciliacao!A672,df_extrato_zig!D:D,"Saque")-SUMIFS(df_extrato_zig!G:G,df_extrato_zig!E:E,Conciliacao!A672,df_extrato_zig!D:D,"Antecipação")</f>
        <v/>
      </c>
      <c r="C672" s="3">
        <f>SUMIFS(df_extrato_zig!E:E,df_extrato_zig!L:L,Conciliacao!A672,df_extrato_zig!F:F,"DINHEIRO")</f>
        <v/>
      </c>
      <c r="D672" s="3">
        <f>SUMIFS(view_parc_agrup!H:H,view_parc_agrup!G:G,Conciliacao!A672)</f>
        <v/>
      </c>
      <c r="E672" s="3">
        <f>SUMIFS(df_eventos!F:F,df_eventos!H:H,Conciliacao!A672)</f>
        <v/>
      </c>
      <c r="F672" s="3">
        <f>SUMIFS(df_mutuos!M:M,df_mutuos!B:B,Conciliacao!A672)</f>
        <v/>
      </c>
      <c r="G672" s="6">
        <f>SUMIFS(df_bloqueios_judiciais!G:G,df_bloqueios_judiciais!D:D,Conciliacao!A672,df_bloqueios_judiciais!G:G,"&gt;0")</f>
        <v/>
      </c>
      <c r="H672" s="7">
        <f>SUMIFS(df_extratos!I:I,df_extratos!F:F,"&gt;="&amp;Conciliacao!BE672,df_extratos!F:F,"&lt;"&amp;Conciliacao!BE672+1,df_extratos!G:G,"CREDITO")
+SUMIFS(df_extratos!I:I,df_extratos!F:F,"&gt;="&amp;Conciliacao!A672, df_extratos!F:F,"&lt;"&amp;Conciliacao!A672+1, df_extratos!G:G,"CREDITO")
+SUMIFS(df_extratos!I:I,df_extratos!F:F,"&gt;="&amp;Conciliacao!BF672,df_extratos!F:F,"&lt;"&amp;Conciliacao!BF672+1,df_extratos!G:G,"CREDITO")
+SUMIFS(df_extratos!I:I,df_extratos!F:F,"&gt;="&amp;Conciliacao!BG672,df_extratos!F:F,"&lt;"&amp;Conciliacao!BG672+1,df_extratos!G:G,"CREDITO")
+SUMIFS(df_extratos!I:I,df_extratos!F:F,"&gt;="&amp;Conciliacao!BH672,df_extratos!F:F,"&lt;"&amp;Conciliacao!BH672+1,df_extratos!G:G,"CREDITO")</f>
        <v/>
      </c>
      <c r="I672" s="9">
        <f>H672-SUM(B672:G672)</f>
        <v/>
      </c>
      <c r="J672" s="4">
        <f>SUMIFS(df_blueme_sem_parcelamento!E:E,df_blueme_sem_parcelamento!H:H,Conciliacao!A672)*(-1)</f>
        <v/>
      </c>
      <c r="K672" s="4">
        <f>SUMIFS(df_blueme_com_parcelamento!J:J,df_blueme_com_parcelamento!M:M,Conciliacao!A672)*(-1)</f>
        <v/>
      </c>
      <c r="L672" s="4">
        <f>SUMIFS(df_mutuos!N:N,df_mutuos!B:B,Conciliacao!A672)*(-1)</f>
        <v/>
      </c>
      <c r="M672" s="8">
        <f>SUMIFS(df_bloqueios_judiciais!G:G,df_bloqueios_judiciais!D:D,Conciliacao!A672,df_bloqueios_judiciais!G:G,"&lt;0")</f>
        <v/>
      </c>
      <c r="N672" s="10">
        <f>SUMIFS(df_extratos!I:I,df_extratos!F:F,"&gt;="&amp;Conciliacao!BE672,df_extratos!F:F,"&lt;"&amp;Conciliacao!BE672+1,df_extratos!G:G,"DEBITO")
+SUMIFS(df_extratos!I:I,df_extratos!F:F,"&gt;="&amp;Conciliacao!A672, df_extratos!F:F,"&lt;"&amp;Conciliacao!A672+1, df_extratos!G:G,"DEBITO")
+SUMIFS(df_extratos!I:I,df_extratos!F:F,"&gt;="&amp;Conciliacao!BF672,df_extratos!F:F,"&lt;"&amp;Conciliacao!BF672+1,df_extratos!G:G,"DEBITO")
+SUMIFS(df_extratos!I:I,df_extratos!F:F,"&gt;="&amp;Conciliacao!BG672,df_extratos!F:F,"&lt;"&amp;Conciliacao!BG672+1,df_extratos!G:G,"DEBITO")
+SUMIFS(df_extratos!I:I,df_extratos!F:F,"&gt;="&amp;Conciliacao!BH672,df_extratos!F:F,"&lt;"&amp;Conciliacao!BH672+1,df_extratos!G:G,"DEBITO")</f>
        <v/>
      </c>
      <c r="O672" s="11">
        <f>N672-SUM(J672:M672)</f>
        <v/>
      </c>
      <c r="P672" s="25">
        <f>SUMIFS(df_ajustes_conciliaco!D:D,df_ajustes_conciliaco!C:C,Conciliacao!A672)</f>
        <v/>
      </c>
      <c r="Q672" s="22">
        <f>O672+I672-P672</f>
        <v/>
      </c>
    </row>
    <row r="673">
      <c r="A673" s="5">
        <f>A672+1</f>
        <v/>
      </c>
      <c r="B673" s="3">
        <f>-SUMIFS(df_extrato_zig!G:G,df_extrato_zig!E:E,Conciliacao!A673,df_extrato_zig!D:D,"Saque")-SUMIFS(df_extrato_zig!G:G,df_extrato_zig!E:E,Conciliacao!A673,df_extrato_zig!D:D,"Antecipação")</f>
        <v/>
      </c>
      <c r="C673" s="3">
        <f>SUMIFS(df_extrato_zig!E:E,df_extrato_zig!L:L,Conciliacao!A673,df_extrato_zig!F:F,"DINHEIRO")</f>
        <v/>
      </c>
      <c r="D673" s="3">
        <f>SUMIFS(view_parc_agrup!H:H,view_parc_agrup!G:G,Conciliacao!A673)</f>
        <v/>
      </c>
      <c r="E673" s="3">
        <f>SUMIFS(df_eventos!F:F,df_eventos!H:H,Conciliacao!A673)</f>
        <v/>
      </c>
      <c r="F673" s="3">
        <f>SUMIFS(df_mutuos!M:M,df_mutuos!B:B,Conciliacao!A673)</f>
        <v/>
      </c>
      <c r="G673" s="6">
        <f>SUMIFS(df_bloqueios_judiciais!G:G,df_bloqueios_judiciais!D:D,Conciliacao!A673,df_bloqueios_judiciais!G:G,"&gt;0")</f>
        <v/>
      </c>
      <c r="H673" s="7">
        <f>SUMIFS(df_extratos!I:I,df_extratos!F:F,"&gt;="&amp;Conciliacao!BE673,df_extratos!F:F,"&lt;"&amp;Conciliacao!BE673+1,df_extratos!G:G,"CREDITO")
+SUMIFS(df_extratos!I:I,df_extratos!F:F,"&gt;="&amp;Conciliacao!A673, df_extratos!F:F,"&lt;"&amp;Conciliacao!A673+1, df_extratos!G:G,"CREDITO")
+SUMIFS(df_extratos!I:I,df_extratos!F:F,"&gt;="&amp;Conciliacao!BF673,df_extratos!F:F,"&lt;"&amp;Conciliacao!BF673+1,df_extratos!G:G,"CREDITO")
+SUMIFS(df_extratos!I:I,df_extratos!F:F,"&gt;="&amp;Conciliacao!BG673,df_extratos!F:F,"&lt;"&amp;Conciliacao!BG673+1,df_extratos!G:G,"CREDITO")
+SUMIFS(df_extratos!I:I,df_extratos!F:F,"&gt;="&amp;Conciliacao!BH673,df_extratos!F:F,"&lt;"&amp;Conciliacao!BH673+1,df_extratos!G:G,"CREDITO")</f>
        <v/>
      </c>
      <c r="I673" s="9">
        <f>H673-SUM(B673:G673)</f>
        <v/>
      </c>
      <c r="J673" s="4">
        <f>SUMIFS(df_blueme_sem_parcelamento!E:E,df_blueme_sem_parcelamento!H:H,Conciliacao!A673)*(-1)</f>
        <v/>
      </c>
      <c r="K673" s="4">
        <f>SUMIFS(df_blueme_com_parcelamento!J:J,df_blueme_com_parcelamento!M:M,Conciliacao!A673)*(-1)</f>
        <v/>
      </c>
      <c r="L673" s="4">
        <f>SUMIFS(df_mutuos!N:N,df_mutuos!B:B,Conciliacao!A673)*(-1)</f>
        <v/>
      </c>
      <c r="M673" s="8">
        <f>SUMIFS(df_bloqueios_judiciais!G:G,df_bloqueios_judiciais!D:D,Conciliacao!A673,df_bloqueios_judiciais!G:G,"&lt;0")</f>
        <v/>
      </c>
      <c r="N673" s="10">
        <f>SUMIFS(df_extratos!I:I,df_extratos!F:F,"&gt;="&amp;Conciliacao!BE673,df_extratos!F:F,"&lt;"&amp;Conciliacao!BE673+1,df_extratos!G:G,"DEBITO")
+SUMIFS(df_extratos!I:I,df_extratos!F:F,"&gt;="&amp;Conciliacao!A673, df_extratos!F:F,"&lt;"&amp;Conciliacao!A673+1, df_extratos!G:G,"DEBITO")
+SUMIFS(df_extratos!I:I,df_extratos!F:F,"&gt;="&amp;Conciliacao!BF673,df_extratos!F:F,"&lt;"&amp;Conciliacao!BF673+1,df_extratos!G:G,"DEBITO")
+SUMIFS(df_extratos!I:I,df_extratos!F:F,"&gt;="&amp;Conciliacao!BG673,df_extratos!F:F,"&lt;"&amp;Conciliacao!BG673+1,df_extratos!G:G,"DEBITO")
+SUMIFS(df_extratos!I:I,df_extratos!F:F,"&gt;="&amp;Conciliacao!BH673,df_extratos!F:F,"&lt;"&amp;Conciliacao!BH673+1,df_extratos!G:G,"DEBITO")</f>
        <v/>
      </c>
      <c r="O673" s="11">
        <f>N673-SUM(J673:M673)</f>
        <v/>
      </c>
      <c r="P673" s="25">
        <f>SUMIFS(df_ajustes_conciliaco!D:D,df_ajustes_conciliaco!C:C,Conciliacao!A673)</f>
        <v/>
      </c>
      <c r="Q673" s="22">
        <f>O673+I673-P673</f>
        <v/>
      </c>
    </row>
    <row r="674">
      <c r="A674" s="5">
        <f>A673+1</f>
        <v/>
      </c>
      <c r="B674" s="3">
        <f>-SUMIFS(df_extrato_zig!G:G,df_extrato_zig!E:E,Conciliacao!A674,df_extrato_zig!D:D,"Saque")-SUMIFS(df_extrato_zig!G:G,df_extrato_zig!E:E,Conciliacao!A674,df_extrato_zig!D:D,"Antecipação")</f>
        <v/>
      </c>
      <c r="C674" s="3">
        <f>SUMIFS(df_extrato_zig!E:E,df_extrato_zig!L:L,Conciliacao!A674,df_extrato_zig!F:F,"DINHEIRO")</f>
        <v/>
      </c>
      <c r="D674" s="3">
        <f>SUMIFS(view_parc_agrup!H:H,view_parc_agrup!G:G,Conciliacao!A674)</f>
        <v/>
      </c>
      <c r="E674" s="3">
        <f>SUMIFS(df_eventos!F:F,df_eventos!H:H,Conciliacao!A674)</f>
        <v/>
      </c>
      <c r="F674" s="3">
        <f>SUMIFS(df_mutuos!M:M,df_mutuos!B:B,Conciliacao!A674)</f>
        <v/>
      </c>
      <c r="G674" s="6">
        <f>SUMIFS(df_bloqueios_judiciais!G:G,df_bloqueios_judiciais!D:D,Conciliacao!A674,df_bloqueios_judiciais!G:G,"&gt;0")</f>
        <v/>
      </c>
      <c r="H674" s="7">
        <f>SUMIFS(df_extratos!I:I,df_extratos!F:F,"&gt;="&amp;Conciliacao!BE674,df_extratos!F:F,"&lt;"&amp;Conciliacao!BE674+1,df_extratos!G:G,"CREDITO")
+SUMIFS(df_extratos!I:I,df_extratos!F:F,"&gt;="&amp;Conciliacao!A674, df_extratos!F:F,"&lt;"&amp;Conciliacao!A674+1, df_extratos!G:G,"CREDITO")
+SUMIFS(df_extratos!I:I,df_extratos!F:F,"&gt;="&amp;Conciliacao!BF674,df_extratos!F:F,"&lt;"&amp;Conciliacao!BF674+1,df_extratos!G:G,"CREDITO")
+SUMIFS(df_extratos!I:I,df_extratos!F:F,"&gt;="&amp;Conciliacao!BG674,df_extratos!F:F,"&lt;"&amp;Conciliacao!BG674+1,df_extratos!G:G,"CREDITO")
+SUMIFS(df_extratos!I:I,df_extratos!F:F,"&gt;="&amp;Conciliacao!BH674,df_extratos!F:F,"&lt;"&amp;Conciliacao!BH674+1,df_extratos!G:G,"CREDITO")</f>
        <v/>
      </c>
      <c r="I674" s="9">
        <f>H674-SUM(B674:G674)</f>
        <v/>
      </c>
      <c r="J674" s="4">
        <f>SUMIFS(df_blueme_sem_parcelamento!E:E,df_blueme_sem_parcelamento!H:H,Conciliacao!A674)*(-1)</f>
        <v/>
      </c>
      <c r="K674" s="4">
        <f>SUMIFS(df_blueme_com_parcelamento!J:J,df_blueme_com_parcelamento!M:M,Conciliacao!A674)*(-1)</f>
        <v/>
      </c>
      <c r="L674" s="4">
        <f>SUMIFS(df_mutuos!N:N,df_mutuos!B:B,Conciliacao!A674)*(-1)</f>
        <v/>
      </c>
      <c r="M674" s="8">
        <f>SUMIFS(df_bloqueios_judiciais!G:G,df_bloqueios_judiciais!D:D,Conciliacao!A674,df_bloqueios_judiciais!G:G,"&lt;0")</f>
        <v/>
      </c>
      <c r="N674" s="10">
        <f>SUMIFS(df_extratos!I:I,df_extratos!F:F,"&gt;="&amp;Conciliacao!BE674,df_extratos!F:F,"&lt;"&amp;Conciliacao!BE674+1,df_extratos!G:G,"DEBITO")
+SUMIFS(df_extratos!I:I,df_extratos!F:F,"&gt;="&amp;Conciliacao!A674, df_extratos!F:F,"&lt;"&amp;Conciliacao!A674+1, df_extratos!G:G,"DEBITO")
+SUMIFS(df_extratos!I:I,df_extratos!F:F,"&gt;="&amp;Conciliacao!BF674,df_extratos!F:F,"&lt;"&amp;Conciliacao!BF674+1,df_extratos!G:G,"DEBITO")
+SUMIFS(df_extratos!I:I,df_extratos!F:F,"&gt;="&amp;Conciliacao!BG674,df_extratos!F:F,"&lt;"&amp;Conciliacao!BG674+1,df_extratos!G:G,"DEBITO")
+SUMIFS(df_extratos!I:I,df_extratos!F:F,"&gt;="&amp;Conciliacao!BH674,df_extratos!F:F,"&lt;"&amp;Conciliacao!BH674+1,df_extratos!G:G,"DEBITO")</f>
        <v/>
      </c>
      <c r="O674" s="11">
        <f>N674-SUM(J674:M674)</f>
        <v/>
      </c>
      <c r="P674" s="25">
        <f>SUMIFS(df_ajustes_conciliaco!D:D,df_ajustes_conciliaco!C:C,Conciliacao!A674)</f>
        <v/>
      </c>
      <c r="Q674" s="22">
        <f>O674+I674-P674</f>
        <v/>
      </c>
    </row>
    <row r="675">
      <c r="A675" s="5">
        <f>A674+1</f>
        <v/>
      </c>
      <c r="B675" s="3">
        <f>-SUMIFS(df_extrato_zig!G:G,df_extrato_zig!E:E,Conciliacao!A675,df_extrato_zig!D:D,"Saque")-SUMIFS(df_extrato_zig!G:G,df_extrato_zig!E:E,Conciliacao!A675,df_extrato_zig!D:D,"Antecipação")</f>
        <v/>
      </c>
      <c r="C675" s="3">
        <f>SUMIFS(df_extrato_zig!E:E,df_extrato_zig!L:L,Conciliacao!A675,df_extrato_zig!F:F,"DINHEIRO")</f>
        <v/>
      </c>
      <c r="D675" s="3">
        <f>SUMIFS(view_parc_agrup!H:H,view_parc_agrup!G:G,Conciliacao!A675)</f>
        <v/>
      </c>
      <c r="E675" s="3">
        <f>SUMIFS(df_eventos!F:F,df_eventos!H:H,Conciliacao!A675)</f>
        <v/>
      </c>
      <c r="F675" s="3">
        <f>SUMIFS(df_mutuos!M:M,df_mutuos!B:B,Conciliacao!A675)</f>
        <v/>
      </c>
      <c r="G675" s="6">
        <f>SUMIFS(df_bloqueios_judiciais!G:G,df_bloqueios_judiciais!D:D,Conciliacao!A675,df_bloqueios_judiciais!G:G,"&gt;0")</f>
        <v/>
      </c>
      <c r="H675" s="7">
        <f>SUMIFS(df_extratos!I:I,df_extratos!F:F,"&gt;="&amp;Conciliacao!BE675,df_extratos!F:F,"&lt;"&amp;Conciliacao!BE675+1,df_extratos!G:G,"CREDITO")
+SUMIFS(df_extratos!I:I,df_extratos!F:F,"&gt;="&amp;Conciliacao!A675, df_extratos!F:F,"&lt;"&amp;Conciliacao!A675+1, df_extratos!G:G,"CREDITO")
+SUMIFS(df_extratos!I:I,df_extratos!F:F,"&gt;="&amp;Conciliacao!BF675,df_extratos!F:F,"&lt;"&amp;Conciliacao!BF675+1,df_extratos!G:G,"CREDITO")
+SUMIFS(df_extratos!I:I,df_extratos!F:F,"&gt;="&amp;Conciliacao!BG675,df_extratos!F:F,"&lt;"&amp;Conciliacao!BG675+1,df_extratos!G:G,"CREDITO")
+SUMIFS(df_extratos!I:I,df_extratos!F:F,"&gt;="&amp;Conciliacao!BH675,df_extratos!F:F,"&lt;"&amp;Conciliacao!BH675+1,df_extratos!G:G,"CREDITO")</f>
        <v/>
      </c>
      <c r="I675" s="9">
        <f>H675-SUM(B675:G675)</f>
        <v/>
      </c>
      <c r="J675" s="4">
        <f>SUMIFS(df_blueme_sem_parcelamento!E:E,df_blueme_sem_parcelamento!H:H,Conciliacao!A675)*(-1)</f>
        <v/>
      </c>
      <c r="K675" s="4">
        <f>SUMIFS(df_blueme_com_parcelamento!J:J,df_blueme_com_parcelamento!M:M,Conciliacao!A675)*(-1)</f>
        <v/>
      </c>
      <c r="L675" s="4">
        <f>SUMIFS(df_mutuos!N:N,df_mutuos!B:B,Conciliacao!A675)*(-1)</f>
        <v/>
      </c>
      <c r="M675" s="8">
        <f>SUMIFS(df_bloqueios_judiciais!G:G,df_bloqueios_judiciais!D:D,Conciliacao!A675,df_bloqueios_judiciais!G:G,"&lt;0")</f>
        <v/>
      </c>
      <c r="N675" s="10">
        <f>SUMIFS(df_extratos!I:I,df_extratos!F:F,"&gt;="&amp;Conciliacao!BE675,df_extratos!F:F,"&lt;"&amp;Conciliacao!BE675+1,df_extratos!G:G,"DEBITO")
+SUMIFS(df_extratos!I:I,df_extratos!F:F,"&gt;="&amp;Conciliacao!A675, df_extratos!F:F,"&lt;"&amp;Conciliacao!A675+1, df_extratos!G:G,"DEBITO")
+SUMIFS(df_extratos!I:I,df_extratos!F:F,"&gt;="&amp;Conciliacao!BF675,df_extratos!F:F,"&lt;"&amp;Conciliacao!BF675+1,df_extratos!G:G,"DEBITO")
+SUMIFS(df_extratos!I:I,df_extratos!F:F,"&gt;="&amp;Conciliacao!BG675,df_extratos!F:F,"&lt;"&amp;Conciliacao!BG675+1,df_extratos!G:G,"DEBITO")
+SUMIFS(df_extratos!I:I,df_extratos!F:F,"&gt;="&amp;Conciliacao!BH675,df_extratos!F:F,"&lt;"&amp;Conciliacao!BH675+1,df_extratos!G:G,"DEBITO")</f>
        <v/>
      </c>
      <c r="O675" s="11">
        <f>N675-SUM(J675:M675)</f>
        <v/>
      </c>
      <c r="P675" s="25">
        <f>SUMIFS(df_ajustes_conciliaco!D:D,df_ajustes_conciliaco!C:C,Conciliacao!A675)</f>
        <v/>
      </c>
      <c r="Q675" s="22">
        <f>O675+I675-P675</f>
        <v/>
      </c>
    </row>
    <row r="676">
      <c r="A676" s="5">
        <f>A675+1</f>
        <v/>
      </c>
      <c r="B676" s="3">
        <f>-SUMIFS(df_extrato_zig!G:G,df_extrato_zig!E:E,Conciliacao!A676,df_extrato_zig!D:D,"Saque")-SUMIFS(df_extrato_zig!G:G,df_extrato_zig!E:E,Conciliacao!A676,df_extrato_zig!D:D,"Antecipação")</f>
        <v/>
      </c>
      <c r="C676" s="3">
        <f>SUMIFS(df_extrato_zig!E:E,df_extrato_zig!L:L,Conciliacao!A676,df_extrato_zig!F:F,"DINHEIRO")</f>
        <v/>
      </c>
      <c r="D676" s="3">
        <f>SUMIFS(view_parc_agrup!H:H,view_parc_agrup!G:G,Conciliacao!A676)</f>
        <v/>
      </c>
      <c r="E676" s="3">
        <f>SUMIFS(df_eventos!F:F,df_eventos!H:H,Conciliacao!A676)</f>
        <v/>
      </c>
      <c r="F676" s="3">
        <f>SUMIFS(df_mutuos!M:M,df_mutuos!B:B,Conciliacao!A676)</f>
        <v/>
      </c>
      <c r="G676" s="6">
        <f>SUMIFS(df_bloqueios_judiciais!G:G,df_bloqueios_judiciais!D:D,Conciliacao!A676,df_bloqueios_judiciais!G:G,"&gt;0")</f>
        <v/>
      </c>
      <c r="H676" s="7">
        <f>SUMIFS(df_extratos!I:I,df_extratos!F:F,"&gt;="&amp;Conciliacao!BE676,df_extratos!F:F,"&lt;"&amp;Conciliacao!BE676+1,df_extratos!G:G,"CREDITO")
+SUMIFS(df_extratos!I:I,df_extratos!F:F,"&gt;="&amp;Conciliacao!A676, df_extratos!F:F,"&lt;"&amp;Conciliacao!A676+1, df_extratos!G:G,"CREDITO")
+SUMIFS(df_extratos!I:I,df_extratos!F:F,"&gt;="&amp;Conciliacao!BF676,df_extratos!F:F,"&lt;"&amp;Conciliacao!BF676+1,df_extratos!G:G,"CREDITO")
+SUMIFS(df_extratos!I:I,df_extratos!F:F,"&gt;="&amp;Conciliacao!BG676,df_extratos!F:F,"&lt;"&amp;Conciliacao!BG676+1,df_extratos!G:G,"CREDITO")
+SUMIFS(df_extratos!I:I,df_extratos!F:F,"&gt;="&amp;Conciliacao!BH676,df_extratos!F:F,"&lt;"&amp;Conciliacao!BH676+1,df_extratos!G:G,"CREDITO")</f>
        <v/>
      </c>
      <c r="I676" s="9">
        <f>H676-SUM(B676:G676)</f>
        <v/>
      </c>
      <c r="J676" s="4">
        <f>SUMIFS(df_blueme_sem_parcelamento!E:E,df_blueme_sem_parcelamento!H:H,Conciliacao!A676)*(-1)</f>
        <v/>
      </c>
      <c r="K676" s="4">
        <f>SUMIFS(df_blueme_com_parcelamento!J:J,df_blueme_com_parcelamento!M:M,Conciliacao!A676)*(-1)</f>
        <v/>
      </c>
      <c r="L676" s="4">
        <f>SUMIFS(df_mutuos!N:N,df_mutuos!B:B,Conciliacao!A676)*(-1)</f>
        <v/>
      </c>
      <c r="M676" s="8">
        <f>SUMIFS(df_bloqueios_judiciais!G:G,df_bloqueios_judiciais!D:D,Conciliacao!A676,df_bloqueios_judiciais!G:G,"&lt;0")</f>
        <v/>
      </c>
      <c r="N676" s="10">
        <f>SUMIFS(df_extratos!I:I,df_extratos!F:F,"&gt;="&amp;Conciliacao!BE676,df_extratos!F:F,"&lt;"&amp;Conciliacao!BE676+1,df_extratos!G:G,"DEBITO")
+SUMIFS(df_extratos!I:I,df_extratos!F:F,"&gt;="&amp;Conciliacao!A676, df_extratos!F:F,"&lt;"&amp;Conciliacao!A676+1, df_extratos!G:G,"DEBITO")
+SUMIFS(df_extratos!I:I,df_extratos!F:F,"&gt;="&amp;Conciliacao!BF676,df_extratos!F:F,"&lt;"&amp;Conciliacao!BF676+1,df_extratos!G:G,"DEBITO")
+SUMIFS(df_extratos!I:I,df_extratos!F:F,"&gt;="&amp;Conciliacao!BG676,df_extratos!F:F,"&lt;"&amp;Conciliacao!BG676+1,df_extratos!G:G,"DEBITO")
+SUMIFS(df_extratos!I:I,df_extratos!F:F,"&gt;="&amp;Conciliacao!BH676,df_extratos!F:F,"&lt;"&amp;Conciliacao!BH676+1,df_extratos!G:G,"DEBITO")</f>
        <v/>
      </c>
      <c r="O676" s="11">
        <f>N676-SUM(J676:M676)</f>
        <v/>
      </c>
      <c r="P676" s="25">
        <f>SUMIFS(df_ajustes_conciliaco!D:D,df_ajustes_conciliaco!C:C,Conciliacao!A676)</f>
        <v/>
      </c>
      <c r="Q676" s="22">
        <f>O676+I676-P676</f>
        <v/>
      </c>
    </row>
    <row r="677">
      <c r="A677" s="5">
        <f>A676+1</f>
        <v/>
      </c>
      <c r="B677" s="3">
        <f>-SUMIFS(df_extrato_zig!G:G,df_extrato_zig!E:E,Conciliacao!A677,df_extrato_zig!D:D,"Saque")-SUMIFS(df_extrato_zig!G:G,df_extrato_zig!E:E,Conciliacao!A677,df_extrato_zig!D:D,"Antecipação")</f>
        <v/>
      </c>
      <c r="C677" s="3">
        <f>SUMIFS(df_extrato_zig!E:E,df_extrato_zig!L:L,Conciliacao!A677,df_extrato_zig!F:F,"DINHEIRO")</f>
        <v/>
      </c>
      <c r="D677" s="3">
        <f>SUMIFS(view_parc_agrup!H:H,view_parc_agrup!G:G,Conciliacao!A677)</f>
        <v/>
      </c>
      <c r="E677" s="3">
        <f>SUMIFS(df_eventos!F:F,df_eventos!H:H,Conciliacao!A677)</f>
        <v/>
      </c>
      <c r="F677" s="3">
        <f>SUMIFS(df_mutuos!M:M,df_mutuos!B:B,Conciliacao!A677)</f>
        <v/>
      </c>
      <c r="G677" s="6">
        <f>SUMIFS(df_bloqueios_judiciais!G:G,df_bloqueios_judiciais!D:D,Conciliacao!A677,df_bloqueios_judiciais!G:G,"&gt;0")</f>
        <v/>
      </c>
      <c r="H677" s="7">
        <f>SUMIFS(df_extratos!I:I,df_extratos!F:F,"&gt;="&amp;Conciliacao!BE677,df_extratos!F:F,"&lt;"&amp;Conciliacao!BE677+1,df_extratos!G:G,"CREDITO")
+SUMIFS(df_extratos!I:I,df_extratos!F:F,"&gt;="&amp;Conciliacao!A677, df_extratos!F:F,"&lt;"&amp;Conciliacao!A677+1, df_extratos!G:G,"CREDITO")
+SUMIFS(df_extratos!I:I,df_extratos!F:F,"&gt;="&amp;Conciliacao!BF677,df_extratos!F:F,"&lt;"&amp;Conciliacao!BF677+1,df_extratos!G:G,"CREDITO")
+SUMIFS(df_extratos!I:I,df_extratos!F:F,"&gt;="&amp;Conciliacao!BG677,df_extratos!F:F,"&lt;"&amp;Conciliacao!BG677+1,df_extratos!G:G,"CREDITO")
+SUMIFS(df_extratos!I:I,df_extratos!F:F,"&gt;="&amp;Conciliacao!BH677,df_extratos!F:F,"&lt;"&amp;Conciliacao!BH677+1,df_extratos!G:G,"CREDITO")</f>
        <v/>
      </c>
      <c r="I677" s="9">
        <f>H677-SUM(B677:G677)</f>
        <v/>
      </c>
      <c r="J677" s="4">
        <f>SUMIFS(df_blueme_sem_parcelamento!E:E,df_blueme_sem_parcelamento!H:H,Conciliacao!A677)*(-1)</f>
        <v/>
      </c>
      <c r="K677" s="4">
        <f>SUMIFS(df_blueme_com_parcelamento!J:J,df_blueme_com_parcelamento!M:M,Conciliacao!A677)*(-1)</f>
        <v/>
      </c>
      <c r="L677" s="4">
        <f>SUMIFS(df_mutuos!N:N,df_mutuos!B:B,Conciliacao!A677)*(-1)</f>
        <v/>
      </c>
      <c r="M677" s="8">
        <f>SUMIFS(df_bloqueios_judiciais!G:G,df_bloqueios_judiciais!D:D,Conciliacao!A677,df_bloqueios_judiciais!G:G,"&lt;0")</f>
        <v/>
      </c>
      <c r="N677" s="10">
        <f>SUMIFS(df_extratos!I:I,df_extratos!F:F,"&gt;="&amp;Conciliacao!BE677,df_extratos!F:F,"&lt;"&amp;Conciliacao!BE677+1,df_extratos!G:G,"DEBITO")
+SUMIFS(df_extratos!I:I,df_extratos!F:F,"&gt;="&amp;Conciliacao!A677, df_extratos!F:F,"&lt;"&amp;Conciliacao!A677+1, df_extratos!G:G,"DEBITO")
+SUMIFS(df_extratos!I:I,df_extratos!F:F,"&gt;="&amp;Conciliacao!BF677,df_extratos!F:F,"&lt;"&amp;Conciliacao!BF677+1,df_extratos!G:G,"DEBITO")
+SUMIFS(df_extratos!I:I,df_extratos!F:F,"&gt;="&amp;Conciliacao!BG677,df_extratos!F:F,"&lt;"&amp;Conciliacao!BG677+1,df_extratos!G:G,"DEBITO")
+SUMIFS(df_extratos!I:I,df_extratos!F:F,"&gt;="&amp;Conciliacao!BH677,df_extratos!F:F,"&lt;"&amp;Conciliacao!BH677+1,df_extratos!G:G,"DEBITO")</f>
        <v/>
      </c>
      <c r="O677" s="11">
        <f>N677-SUM(J677:M677)</f>
        <v/>
      </c>
      <c r="P677" s="25">
        <f>SUMIFS(df_ajustes_conciliaco!D:D,df_ajustes_conciliaco!C:C,Conciliacao!A677)</f>
        <v/>
      </c>
      <c r="Q677" s="22">
        <f>O677+I677-P677</f>
        <v/>
      </c>
    </row>
    <row r="678">
      <c r="A678" s="5">
        <f>A677+1</f>
        <v/>
      </c>
      <c r="B678" s="3">
        <f>-SUMIFS(df_extrato_zig!G:G,df_extrato_zig!E:E,Conciliacao!A678,df_extrato_zig!D:D,"Saque")-SUMIFS(df_extrato_zig!G:G,df_extrato_zig!E:E,Conciliacao!A678,df_extrato_zig!D:D,"Antecipação")</f>
        <v/>
      </c>
      <c r="C678" s="3">
        <f>SUMIFS(df_extrato_zig!E:E,df_extrato_zig!L:L,Conciliacao!A678,df_extrato_zig!F:F,"DINHEIRO")</f>
        <v/>
      </c>
      <c r="D678" s="3">
        <f>SUMIFS(view_parc_agrup!H:H,view_parc_agrup!G:G,Conciliacao!A678)</f>
        <v/>
      </c>
      <c r="E678" s="3">
        <f>SUMIFS(df_eventos!F:F,df_eventos!H:H,Conciliacao!A678)</f>
        <v/>
      </c>
      <c r="F678" s="3">
        <f>SUMIFS(df_mutuos!M:M,df_mutuos!B:B,Conciliacao!A678)</f>
        <v/>
      </c>
      <c r="G678" s="6">
        <f>SUMIFS(df_bloqueios_judiciais!G:G,df_bloqueios_judiciais!D:D,Conciliacao!A678,df_bloqueios_judiciais!G:G,"&gt;0")</f>
        <v/>
      </c>
      <c r="H678" s="7">
        <f>SUMIFS(df_extratos!I:I,df_extratos!F:F,"&gt;="&amp;Conciliacao!BE678,df_extratos!F:F,"&lt;"&amp;Conciliacao!BE678+1,df_extratos!G:G,"CREDITO")
+SUMIFS(df_extratos!I:I,df_extratos!F:F,"&gt;="&amp;Conciliacao!A678, df_extratos!F:F,"&lt;"&amp;Conciliacao!A678+1, df_extratos!G:G,"CREDITO")
+SUMIFS(df_extratos!I:I,df_extratos!F:F,"&gt;="&amp;Conciliacao!BF678,df_extratos!F:F,"&lt;"&amp;Conciliacao!BF678+1,df_extratos!G:G,"CREDITO")
+SUMIFS(df_extratos!I:I,df_extratos!F:F,"&gt;="&amp;Conciliacao!BG678,df_extratos!F:F,"&lt;"&amp;Conciliacao!BG678+1,df_extratos!G:G,"CREDITO")
+SUMIFS(df_extratos!I:I,df_extratos!F:F,"&gt;="&amp;Conciliacao!BH678,df_extratos!F:F,"&lt;"&amp;Conciliacao!BH678+1,df_extratos!G:G,"CREDITO")</f>
        <v/>
      </c>
      <c r="I678" s="9">
        <f>H678-SUM(B678:G678)</f>
        <v/>
      </c>
      <c r="J678" s="4">
        <f>SUMIFS(df_blueme_sem_parcelamento!E:E,df_blueme_sem_parcelamento!H:H,Conciliacao!A678)*(-1)</f>
        <v/>
      </c>
      <c r="K678" s="4">
        <f>SUMIFS(df_blueme_com_parcelamento!J:J,df_blueme_com_parcelamento!M:M,Conciliacao!A678)*(-1)</f>
        <v/>
      </c>
      <c r="L678" s="4">
        <f>SUMIFS(df_mutuos!N:N,df_mutuos!B:B,Conciliacao!A678)*(-1)</f>
        <v/>
      </c>
      <c r="M678" s="8">
        <f>SUMIFS(df_bloqueios_judiciais!G:G,df_bloqueios_judiciais!D:D,Conciliacao!A678,df_bloqueios_judiciais!G:G,"&lt;0")</f>
        <v/>
      </c>
      <c r="N678" s="10">
        <f>SUMIFS(df_extratos!I:I,df_extratos!F:F,"&gt;="&amp;Conciliacao!BE678,df_extratos!F:F,"&lt;"&amp;Conciliacao!BE678+1,df_extratos!G:G,"DEBITO")
+SUMIFS(df_extratos!I:I,df_extratos!F:F,"&gt;="&amp;Conciliacao!A678, df_extratos!F:F,"&lt;"&amp;Conciliacao!A678+1, df_extratos!G:G,"DEBITO")
+SUMIFS(df_extratos!I:I,df_extratos!F:F,"&gt;="&amp;Conciliacao!BF678,df_extratos!F:F,"&lt;"&amp;Conciliacao!BF678+1,df_extratos!G:G,"DEBITO")
+SUMIFS(df_extratos!I:I,df_extratos!F:F,"&gt;="&amp;Conciliacao!BG678,df_extratos!F:F,"&lt;"&amp;Conciliacao!BG678+1,df_extratos!G:G,"DEBITO")
+SUMIFS(df_extratos!I:I,df_extratos!F:F,"&gt;="&amp;Conciliacao!BH678,df_extratos!F:F,"&lt;"&amp;Conciliacao!BH678+1,df_extratos!G:G,"DEBITO")</f>
        <v/>
      </c>
      <c r="O678" s="11">
        <f>N678-SUM(J678:M678)</f>
        <v/>
      </c>
      <c r="P678" s="25">
        <f>SUMIFS(df_ajustes_conciliaco!D:D,df_ajustes_conciliaco!C:C,Conciliacao!A678)</f>
        <v/>
      </c>
      <c r="Q678" s="22">
        <f>O678+I678-P678</f>
        <v/>
      </c>
    </row>
    <row r="679">
      <c r="A679" s="5">
        <f>A678+1</f>
        <v/>
      </c>
      <c r="B679" s="3">
        <f>-SUMIFS(df_extrato_zig!G:G,df_extrato_zig!E:E,Conciliacao!A679,df_extrato_zig!D:D,"Saque")-SUMIFS(df_extrato_zig!G:G,df_extrato_zig!E:E,Conciliacao!A679,df_extrato_zig!D:D,"Antecipação")</f>
        <v/>
      </c>
      <c r="C679" s="3">
        <f>SUMIFS(df_extrato_zig!E:E,df_extrato_zig!L:L,Conciliacao!A679,df_extrato_zig!F:F,"DINHEIRO")</f>
        <v/>
      </c>
      <c r="D679" s="3">
        <f>SUMIFS(view_parc_agrup!H:H,view_parc_agrup!G:G,Conciliacao!A679)</f>
        <v/>
      </c>
      <c r="E679" s="3">
        <f>SUMIFS(df_eventos!F:F,df_eventos!H:H,Conciliacao!A679)</f>
        <v/>
      </c>
      <c r="F679" s="3">
        <f>SUMIFS(df_mutuos!M:M,df_mutuos!B:B,Conciliacao!A679)</f>
        <v/>
      </c>
      <c r="G679" s="6">
        <f>SUMIFS(df_bloqueios_judiciais!G:G,df_bloqueios_judiciais!D:D,Conciliacao!A679,df_bloqueios_judiciais!G:G,"&gt;0")</f>
        <v/>
      </c>
      <c r="H679" s="7">
        <f>SUMIFS(df_extratos!I:I,df_extratos!F:F,"&gt;="&amp;Conciliacao!BE679,df_extratos!F:F,"&lt;"&amp;Conciliacao!BE679+1,df_extratos!G:G,"CREDITO")
+SUMIFS(df_extratos!I:I,df_extratos!F:F,"&gt;="&amp;Conciliacao!A679, df_extratos!F:F,"&lt;"&amp;Conciliacao!A679+1, df_extratos!G:G,"CREDITO")
+SUMIFS(df_extratos!I:I,df_extratos!F:F,"&gt;="&amp;Conciliacao!BF679,df_extratos!F:F,"&lt;"&amp;Conciliacao!BF679+1,df_extratos!G:G,"CREDITO")
+SUMIFS(df_extratos!I:I,df_extratos!F:F,"&gt;="&amp;Conciliacao!BG679,df_extratos!F:F,"&lt;"&amp;Conciliacao!BG679+1,df_extratos!G:G,"CREDITO")
+SUMIFS(df_extratos!I:I,df_extratos!F:F,"&gt;="&amp;Conciliacao!BH679,df_extratos!F:F,"&lt;"&amp;Conciliacao!BH679+1,df_extratos!G:G,"CREDITO")</f>
        <v/>
      </c>
      <c r="I679" s="9">
        <f>H679-SUM(B679:G679)</f>
        <v/>
      </c>
      <c r="J679" s="4">
        <f>SUMIFS(df_blueme_sem_parcelamento!E:E,df_blueme_sem_parcelamento!H:H,Conciliacao!A679)*(-1)</f>
        <v/>
      </c>
      <c r="K679" s="4">
        <f>SUMIFS(df_blueme_com_parcelamento!J:J,df_blueme_com_parcelamento!M:M,Conciliacao!A679)*(-1)</f>
        <v/>
      </c>
      <c r="L679" s="4">
        <f>SUMIFS(df_mutuos!N:N,df_mutuos!B:B,Conciliacao!A679)*(-1)</f>
        <v/>
      </c>
      <c r="M679" s="8">
        <f>SUMIFS(df_bloqueios_judiciais!G:G,df_bloqueios_judiciais!D:D,Conciliacao!A679,df_bloqueios_judiciais!G:G,"&lt;0")</f>
        <v/>
      </c>
      <c r="N679" s="10">
        <f>SUMIFS(df_extratos!I:I,df_extratos!F:F,"&gt;="&amp;Conciliacao!BE679,df_extratos!F:F,"&lt;"&amp;Conciliacao!BE679+1,df_extratos!G:G,"DEBITO")
+SUMIFS(df_extratos!I:I,df_extratos!F:F,"&gt;="&amp;Conciliacao!A679, df_extratos!F:F,"&lt;"&amp;Conciliacao!A679+1, df_extratos!G:G,"DEBITO")
+SUMIFS(df_extratos!I:I,df_extratos!F:F,"&gt;="&amp;Conciliacao!BF679,df_extratos!F:F,"&lt;"&amp;Conciliacao!BF679+1,df_extratos!G:G,"DEBITO")
+SUMIFS(df_extratos!I:I,df_extratos!F:F,"&gt;="&amp;Conciliacao!BG679,df_extratos!F:F,"&lt;"&amp;Conciliacao!BG679+1,df_extratos!G:G,"DEBITO")
+SUMIFS(df_extratos!I:I,df_extratos!F:F,"&gt;="&amp;Conciliacao!BH679,df_extratos!F:F,"&lt;"&amp;Conciliacao!BH679+1,df_extratos!G:G,"DEBITO")</f>
        <v/>
      </c>
      <c r="O679" s="11">
        <f>N679-SUM(J679:M679)</f>
        <v/>
      </c>
      <c r="P679" s="25">
        <f>SUMIFS(df_ajustes_conciliaco!D:D,df_ajustes_conciliaco!C:C,Conciliacao!A679)</f>
        <v/>
      </c>
      <c r="Q679" s="22">
        <f>O679+I679-P679</f>
        <v/>
      </c>
    </row>
    <row r="680">
      <c r="A680" s="5">
        <f>A679+1</f>
        <v/>
      </c>
      <c r="B680" s="3">
        <f>-SUMIFS(df_extrato_zig!G:G,df_extrato_zig!E:E,Conciliacao!A680,df_extrato_zig!D:D,"Saque")-SUMIFS(df_extrato_zig!G:G,df_extrato_zig!E:E,Conciliacao!A680,df_extrato_zig!D:D,"Antecipação")</f>
        <v/>
      </c>
      <c r="C680" s="3">
        <f>SUMIFS(df_extrato_zig!E:E,df_extrato_zig!L:L,Conciliacao!A680,df_extrato_zig!F:F,"DINHEIRO")</f>
        <v/>
      </c>
      <c r="D680" s="3">
        <f>SUMIFS(view_parc_agrup!H:H,view_parc_agrup!G:G,Conciliacao!A680)</f>
        <v/>
      </c>
      <c r="E680" s="3">
        <f>SUMIFS(df_eventos!F:F,df_eventos!H:H,Conciliacao!A680)</f>
        <v/>
      </c>
      <c r="F680" s="3">
        <f>SUMIFS(df_mutuos!M:M,df_mutuos!B:B,Conciliacao!A680)</f>
        <v/>
      </c>
      <c r="G680" s="6">
        <f>SUMIFS(df_bloqueios_judiciais!G:G,df_bloqueios_judiciais!D:D,Conciliacao!A680,df_bloqueios_judiciais!G:G,"&gt;0")</f>
        <v/>
      </c>
      <c r="H680" s="7">
        <f>SUMIFS(df_extratos!I:I,df_extratos!F:F,"&gt;="&amp;Conciliacao!BE680,df_extratos!F:F,"&lt;"&amp;Conciliacao!BE680+1,df_extratos!G:G,"CREDITO")
+SUMIFS(df_extratos!I:I,df_extratos!F:F,"&gt;="&amp;Conciliacao!A680, df_extratos!F:F,"&lt;"&amp;Conciliacao!A680+1, df_extratos!G:G,"CREDITO")
+SUMIFS(df_extratos!I:I,df_extratos!F:F,"&gt;="&amp;Conciliacao!BF680,df_extratos!F:F,"&lt;"&amp;Conciliacao!BF680+1,df_extratos!G:G,"CREDITO")
+SUMIFS(df_extratos!I:I,df_extratos!F:F,"&gt;="&amp;Conciliacao!BG680,df_extratos!F:F,"&lt;"&amp;Conciliacao!BG680+1,df_extratos!G:G,"CREDITO")
+SUMIFS(df_extratos!I:I,df_extratos!F:F,"&gt;="&amp;Conciliacao!BH680,df_extratos!F:F,"&lt;"&amp;Conciliacao!BH680+1,df_extratos!G:G,"CREDITO")</f>
        <v/>
      </c>
      <c r="I680" s="9">
        <f>H680-SUM(B680:G680)</f>
        <v/>
      </c>
      <c r="J680" s="4">
        <f>SUMIFS(df_blueme_sem_parcelamento!E:E,df_blueme_sem_parcelamento!H:H,Conciliacao!A680)*(-1)</f>
        <v/>
      </c>
      <c r="K680" s="4">
        <f>SUMIFS(df_blueme_com_parcelamento!J:J,df_blueme_com_parcelamento!M:M,Conciliacao!A680)*(-1)</f>
        <v/>
      </c>
      <c r="L680" s="4">
        <f>SUMIFS(df_mutuos!N:N,df_mutuos!B:B,Conciliacao!A680)*(-1)</f>
        <v/>
      </c>
      <c r="M680" s="8">
        <f>SUMIFS(df_bloqueios_judiciais!G:G,df_bloqueios_judiciais!D:D,Conciliacao!A680,df_bloqueios_judiciais!G:G,"&lt;0")</f>
        <v/>
      </c>
      <c r="N680" s="10">
        <f>SUMIFS(df_extratos!I:I,df_extratos!F:F,"&gt;="&amp;Conciliacao!BE680,df_extratos!F:F,"&lt;"&amp;Conciliacao!BE680+1,df_extratos!G:G,"DEBITO")
+SUMIFS(df_extratos!I:I,df_extratos!F:F,"&gt;="&amp;Conciliacao!A680, df_extratos!F:F,"&lt;"&amp;Conciliacao!A680+1, df_extratos!G:G,"DEBITO")
+SUMIFS(df_extratos!I:I,df_extratos!F:F,"&gt;="&amp;Conciliacao!BF680,df_extratos!F:F,"&lt;"&amp;Conciliacao!BF680+1,df_extratos!G:G,"DEBITO")
+SUMIFS(df_extratos!I:I,df_extratos!F:F,"&gt;="&amp;Conciliacao!BG680,df_extratos!F:F,"&lt;"&amp;Conciliacao!BG680+1,df_extratos!G:G,"DEBITO")
+SUMIFS(df_extratos!I:I,df_extratos!F:F,"&gt;="&amp;Conciliacao!BH680,df_extratos!F:F,"&lt;"&amp;Conciliacao!BH680+1,df_extratos!G:G,"DEBITO")</f>
        <v/>
      </c>
      <c r="O680" s="11">
        <f>N680-SUM(J680:M680)</f>
        <v/>
      </c>
      <c r="P680" s="25">
        <f>SUMIFS(df_ajustes_conciliaco!D:D,df_ajustes_conciliaco!C:C,Conciliacao!A680)</f>
        <v/>
      </c>
      <c r="Q680" s="22">
        <f>O680+I680-P680</f>
        <v/>
      </c>
    </row>
    <row r="681">
      <c r="A681" s="5">
        <f>A680+1</f>
        <v/>
      </c>
      <c r="B681" s="3">
        <f>-SUMIFS(df_extrato_zig!G:G,df_extrato_zig!E:E,Conciliacao!A681,df_extrato_zig!D:D,"Saque")-SUMIFS(df_extrato_zig!G:G,df_extrato_zig!E:E,Conciliacao!A681,df_extrato_zig!D:D,"Antecipação")</f>
        <v/>
      </c>
      <c r="C681" s="3">
        <f>SUMIFS(df_extrato_zig!E:E,df_extrato_zig!L:L,Conciliacao!A681,df_extrato_zig!F:F,"DINHEIRO")</f>
        <v/>
      </c>
      <c r="D681" s="3">
        <f>SUMIFS(view_parc_agrup!H:H,view_parc_agrup!G:G,Conciliacao!A681)</f>
        <v/>
      </c>
      <c r="E681" s="3">
        <f>SUMIFS(df_eventos!F:F,df_eventos!H:H,Conciliacao!A681)</f>
        <v/>
      </c>
      <c r="F681" s="3">
        <f>SUMIFS(df_mutuos!M:M,df_mutuos!B:B,Conciliacao!A681)</f>
        <v/>
      </c>
      <c r="G681" s="6">
        <f>SUMIFS(df_bloqueios_judiciais!G:G,df_bloqueios_judiciais!D:D,Conciliacao!A681,df_bloqueios_judiciais!G:G,"&gt;0")</f>
        <v/>
      </c>
      <c r="H681" s="7">
        <f>SUMIFS(df_extratos!I:I,df_extratos!F:F,"&gt;="&amp;Conciliacao!BE681,df_extratos!F:F,"&lt;"&amp;Conciliacao!BE681+1,df_extratos!G:G,"CREDITO")
+SUMIFS(df_extratos!I:I,df_extratos!F:F,"&gt;="&amp;Conciliacao!A681, df_extratos!F:F,"&lt;"&amp;Conciliacao!A681+1, df_extratos!G:G,"CREDITO")
+SUMIFS(df_extratos!I:I,df_extratos!F:F,"&gt;="&amp;Conciliacao!BF681,df_extratos!F:F,"&lt;"&amp;Conciliacao!BF681+1,df_extratos!G:G,"CREDITO")
+SUMIFS(df_extratos!I:I,df_extratos!F:F,"&gt;="&amp;Conciliacao!BG681,df_extratos!F:F,"&lt;"&amp;Conciliacao!BG681+1,df_extratos!G:G,"CREDITO")
+SUMIFS(df_extratos!I:I,df_extratos!F:F,"&gt;="&amp;Conciliacao!BH681,df_extratos!F:F,"&lt;"&amp;Conciliacao!BH681+1,df_extratos!G:G,"CREDITO")</f>
        <v/>
      </c>
      <c r="I681" s="9">
        <f>H681-SUM(B681:G681)</f>
        <v/>
      </c>
      <c r="J681" s="4">
        <f>SUMIFS(df_blueme_sem_parcelamento!E:E,df_blueme_sem_parcelamento!H:H,Conciliacao!A681)*(-1)</f>
        <v/>
      </c>
      <c r="K681" s="4">
        <f>SUMIFS(df_blueme_com_parcelamento!J:J,df_blueme_com_parcelamento!M:M,Conciliacao!A681)*(-1)</f>
        <v/>
      </c>
      <c r="L681" s="4">
        <f>SUMIFS(df_mutuos!N:N,df_mutuos!B:B,Conciliacao!A681)*(-1)</f>
        <v/>
      </c>
      <c r="M681" s="8">
        <f>SUMIFS(df_bloqueios_judiciais!G:G,df_bloqueios_judiciais!D:D,Conciliacao!A681,df_bloqueios_judiciais!G:G,"&lt;0")</f>
        <v/>
      </c>
      <c r="N681" s="10">
        <f>SUMIFS(df_extratos!I:I,df_extratos!F:F,"&gt;="&amp;Conciliacao!BE681,df_extratos!F:F,"&lt;"&amp;Conciliacao!BE681+1,df_extratos!G:G,"DEBITO")
+SUMIFS(df_extratos!I:I,df_extratos!F:F,"&gt;="&amp;Conciliacao!A681, df_extratos!F:F,"&lt;"&amp;Conciliacao!A681+1, df_extratos!G:G,"DEBITO")
+SUMIFS(df_extratos!I:I,df_extratos!F:F,"&gt;="&amp;Conciliacao!BF681,df_extratos!F:F,"&lt;"&amp;Conciliacao!BF681+1,df_extratos!G:G,"DEBITO")
+SUMIFS(df_extratos!I:I,df_extratos!F:F,"&gt;="&amp;Conciliacao!BG681,df_extratos!F:F,"&lt;"&amp;Conciliacao!BG681+1,df_extratos!G:G,"DEBITO")
+SUMIFS(df_extratos!I:I,df_extratos!F:F,"&gt;="&amp;Conciliacao!BH681,df_extratos!F:F,"&lt;"&amp;Conciliacao!BH681+1,df_extratos!G:G,"DEBITO")</f>
        <v/>
      </c>
      <c r="O681" s="11">
        <f>N681-SUM(J681:M681)</f>
        <v/>
      </c>
      <c r="P681" s="25">
        <f>SUMIFS(df_ajustes_conciliaco!D:D,df_ajustes_conciliaco!C:C,Conciliacao!A681)</f>
        <v/>
      </c>
      <c r="Q681" s="22">
        <f>O681+I681-P681</f>
        <v/>
      </c>
    </row>
    <row r="682">
      <c r="A682" s="5">
        <f>A681+1</f>
        <v/>
      </c>
      <c r="B682" s="3">
        <f>-SUMIFS(df_extrato_zig!G:G,df_extrato_zig!E:E,Conciliacao!A682,df_extrato_zig!D:D,"Saque")-SUMIFS(df_extrato_zig!G:G,df_extrato_zig!E:E,Conciliacao!A682,df_extrato_zig!D:D,"Antecipação")</f>
        <v/>
      </c>
      <c r="C682" s="3">
        <f>SUMIFS(df_extrato_zig!E:E,df_extrato_zig!L:L,Conciliacao!A682,df_extrato_zig!F:F,"DINHEIRO")</f>
        <v/>
      </c>
      <c r="D682" s="3">
        <f>SUMIFS(view_parc_agrup!H:H,view_parc_agrup!G:G,Conciliacao!A682)</f>
        <v/>
      </c>
      <c r="E682" s="3">
        <f>SUMIFS(df_eventos!F:F,df_eventos!H:H,Conciliacao!A682)</f>
        <v/>
      </c>
      <c r="F682" s="3">
        <f>SUMIFS(df_mutuos!M:M,df_mutuos!B:B,Conciliacao!A682)</f>
        <v/>
      </c>
      <c r="G682" s="6">
        <f>SUMIFS(df_bloqueios_judiciais!G:G,df_bloqueios_judiciais!D:D,Conciliacao!A682,df_bloqueios_judiciais!G:G,"&gt;0")</f>
        <v/>
      </c>
      <c r="H682" s="7">
        <f>SUMIFS(df_extratos!I:I,df_extratos!F:F,"&gt;="&amp;Conciliacao!BE682,df_extratos!F:F,"&lt;"&amp;Conciliacao!BE682+1,df_extratos!G:G,"CREDITO")
+SUMIFS(df_extratos!I:I,df_extratos!F:F,"&gt;="&amp;Conciliacao!A682, df_extratos!F:F,"&lt;"&amp;Conciliacao!A682+1, df_extratos!G:G,"CREDITO")
+SUMIFS(df_extratos!I:I,df_extratos!F:F,"&gt;="&amp;Conciliacao!BF682,df_extratos!F:F,"&lt;"&amp;Conciliacao!BF682+1,df_extratos!G:G,"CREDITO")
+SUMIFS(df_extratos!I:I,df_extratos!F:F,"&gt;="&amp;Conciliacao!BG682,df_extratos!F:F,"&lt;"&amp;Conciliacao!BG682+1,df_extratos!G:G,"CREDITO")
+SUMIFS(df_extratos!I:I,df_extratos!F:F,"&gt;="&amp;Conciliacao!BH682,df_extratos!F:F,"&lt;"&amp;Conciliacao!BH682+1,df_extratos!G:G,"CREDITO")</f>
        <v/>
      </c>
      <c r="I682" s="9">
        <f>H682-SUM(B682:G682)</f>
        <v/>
      </c>
      <c r="J682" s="4">
        <f>SUMIFS(df_blueme_sem_parcelamento!E:E,df_blueme_sem_parcelamento!H:H,Conciliacao!A682)*(-1)</f>
        <v/>
      </c>
      <c r="K682" s="4">
        <f>SUMIFS(df_blueme_com_parcelamento!J:J,df_blueme_com_parcelamento!M:M,Conciliacao!A682)*(-1)</f>
        <v/>
      </c>
      <c r="L682" s="4">
        <f>SUMIFS(df_mutuos!N:N,df_mutuos!B:B,Conciliacao!A682)*(-1)</f>
        <v/>
      </c>
      <c r="M682" s="8">
        <f>SUMIFS(df_bloqueios_judiciais!G:G,df_bloqueios_judiciais!D:D,Conciliacao!A682,df_bloqueios_judiciais!G:G,"&lt;0")</f>
        <v/>
      </c>
      <c r="N682" s="10">
        <f>SUMIFS(df_extratos!I:I,df_extratos!F:F,"&gt;="&amp;Conciliacao!BE682,df_extratos!F:F,"&lt;"&amp;Conciliacao!BE682+1,df_extratos!G:G,"DEBITO")
+SUMIFS(df_extratos!I:I,df_extratos!F:F,"&gt;="&amp;Conciliacao!A682, df_extratos!F:F,"&lt;"&amp;Conciliacao!A682+1, df_extratos!G:G,"DEBITO")
+SUMIFS(df_extratos!I:I,df_extratos!F:F,"&gt;="&amp;Conciliacao!BF682,df_extratos!F:F,"&lt;"&amp;Conciliacao!BF682+1,df_extratos!G:G,"DEBITO")
+SUMIFS(df_extratos!I:I,df_extratos!F:F,"&gt;="&amp;Conciliacao!BG682,df_extratos!F:F,"&lt;"&amp;Conciliacao!BG682+1,df_extratos!G:G,"DEBITO")
+SUMIFS(df_extratos!I:I,df_extratos!F:F,"&gt;="&amp;Conciliacao!BH682,df_extratos!F:F,"&lt;"&amp;Conciliacao!BH682+1,df_extratos!G:G,"DEBITO")</f>
        <v/>
      </c>
      <c r="O682" s="11">
        <f>N682-SUM(J682:M682)</f>
        <v/>
      </c>
      <c r="P682" s="25">
        <f>SUMIFS(df_ajustes_conciliaco!D:D,df_ajustes_conciliaco!C:C,Conciliacao!A682)</f>
        <v/>
      </c>
      <c r="Q682" s="22">
        <f>O682+I682-P682</f>
        <v/>
      </c>
    </row>
    <row r="683">
      <c r="A683" s="5">
        <f>A682+1</f>
        <v/>
      </c>
      <c r="B683" s="3">
        <f>-SUMIFS(df_extrato_zig!G:G,df_extrato_zig!E:E,Conciliacao!A683,df_extrato_zig!D:D,"Saque")-SUMIFS(df_extrato_zig!G:G,df_extrato_zig!E:E,Conciliacao!A683,df_extrato_zig!D:D,"Antecipação")</f>
        <v/>
      </c>
      <c r="C683" s="3">
        <f>SUMIFS(df_extrato_zig!E:E,df_extrato_zig!L:L,Conciliacao!A683,df_extrato_zig!F:F,"DINHEIRO")</f>
        <v/>
      </c>
      <c r="D683" s="3">
        <f>SUMIFS(view_parc_agrup!H:H,view_parc_agrup!G:G,Conciliacao!A683)</f>
        <v/>
      </c>
      <c r="E683" s="3">
        <f>SUMIFS(df_eventos!F:F,df_eventos!H:H,Conciliacao!A683)</f>
        <v/>
      </c>
      <c r="F683" s="3">
        <f>SUMIFS(df_mutuos!M:M,df_mutuos!B:B,Conciliacao!A683)</f>
        <v/>
      </c>
      <c r="G683" s="6">
        <f>SUMIFS(df_bloqueios_judiciais!G:G,df_bloqueios_judiciais!D:D,Conciliacao!A683,df_bloqueios_judiciais!G:G,"&gt;0")</f>
        <v/>
      </c>
      <c r="H683" s="7">
        <f>SUMIFS(df_extratos!I:I,df_extratos!F:F,"&gt;="&amp;Conciliacao!BE683,df_extratos!F:F,"&lt;"&amp;Conciliacao!BE683+1,df_extratos!G:G,"CREDITO")
+SUMIFS(df_extratos!I:I,df_extratos!F:F,"&gt;="&amp;Conciliacao!A683, df_extratos!F:F,"&lt;"&amp;Conciliacao!A683+1, df_extratos!G:G,"CREDITO")
+SUMIFS(df_extratos!I:I,df_extratos!F:F,"&gt;="&amp;Conciliacao!BF683,df_extratos!F:F,"&lt;"&amp;Conciliacao!BF683+1,df_extratos!G:G,"CREDITO")
+SUMIFS(df_extratos!I:I,df_extratos!F:F,"&gt;="&amp;Conciliacao!BG683,df_extratos!F:F,"&lt;"&amp;Conciliacao!BG683+1,df_extratos!G:G,"CREDITO")
+SUMIFS(df_extratos!I:I,df_extratos!F:F,"&gt;="&amp;Conciliacao!BH683,df_extratos!F:F,"&lt;"&amp;Conciliacao!BH683+1,df_extratos!G:G,"CREDITO")</f>
        <v/>
      </c>
      <c r="I683" s="9">
        <f>H683-SUM(B683:G683)</f>
        <v/>
      </c>
      <c r="J683" s="4">
        <f>SUMIFS(df_blueme_sem_parcelamento!E:E,df_blueme_sem_parcelamento!H:H,Conciliacao!A683)*(-1)</f>
        <v/>
      </c>
      <c r="K683" s="4">
        <f>SUMIFS(df_blueme_com_parcelamento!J:J,df_blueme_com_parcelamento!M:M,Conciliacao!A683)*(-1)</f>
        <v/>
      </c>
      <c r="L683" s="4">
        <f>SUMIFS(df_mutuos!N:N,df_mutuos!B:B,Conciliacao!A683)*(-1)</f>
        <v/>
      </c>
      <c r="M683" s="8">
        <f>SUMIFS(df_bloqueios_judiciais!G:G,df_bloqueios_judiciais!D:D,Conciliacao!A683,df_bloqueios_judiciais!G:G,"&lt;0")</f>
        <v/>
      </c>
      <c r="N683" s="10">
        <f>SUMIFS(df_extratos!I:I,df_extratos!F:F,"&gt;="&amp;Conciliacao!BE683,df_extratos!F:F,"&lt;"&amp;Conciliacao!BE683+1,df_extratos!G:G,"DEBITO")
+SUMIFS(df_extratos!I:I,df_extratos!F:F,"&gt;="&amp;Conciliacao!A683, df_extratos!F:F,"&lt;"&amp;Conciliacao!A683+1, df_extratos!G:G,"DEBITO")
+SUMIFS(df_extratos!I:I,df_extratos!F:F,"&gt;="&amp;Conciliacao!BF683,df_extratos!F:F,"&lt;"&amp;Conciliacao!BF683+1,df_extratos!G:G,"DEBITO")
+SUMIFS(df_extratos!I:I,df_extratos!F:F,"&gt;="&amp;Conciliacao!BG683,df_extratos!F:F,"&lt;"&amp;Conciliacao!BG683+1,df_extratos!G:G,"DEBITO")
+SUMIFS(df_extratos!I:I,df_extratos!F:F,"&gt;="&amp;Conciliacao!BH683,df_extratos!F:F,"&lt;"&amp;Conciliacao!BH683+1,df_extratos!G:G,"DEBITO")</f>
        <v/>
      </c>
      <c r="O683" s="11">
        <f>N683-SUM(J683:M683)</f>
        <v/>
      </c>
      <c r="P683" s="25">
        <f>SUMIFS(df_ajustes_conciliaco!D:D,df_ajustes_conciliaco!C:C,Conciliacao!A683)</f>
        <v/>
      </c>
      <c r="Q683" s="22">
        <f>O683+I683-P683</f>
        <v/>
      </c>
    </row>
    <row r="684">
      <c r="A684" s="5">
        <f>A683+1</f>
        <v/>
      </c>
      <c r="B684" s="3">
        <f>-SUMIFS(df_extrato_zig!G:G,df_extrato_zig!E:E,Conciliacao!A684,df_extrato_zig!D:D,"Saque")-SUMIFS(df_extrato_zig!G:G,df_extrato_zig!E:E,Conciliacao!A684,df_extrato_zig!D:D,"Antecipação")</f>
        <v/>
      </c>
      <c r="C684" s="3">
        <f>SUMIFS(df_extrato_zig!E:E,df_extrato_zig!L:L,Conciliacao!A684,df_extrato_zig!F:F,"DINHEIRO")</f>
        <v/>
      </c>
      <c r="D684" s="3">
        <f>SUMIFS(view_parc_agrup!H:H,view_parc_agrup!G:G,Conciliacao!A684)</f>
        <v/>
      </c>
      <c r="E684" s="3">
        <f>SUMIFS(df_eventos!F:F,df_eventos!H:H,Conciliacao!A684)</f>
        <v/>
      </c>
      <c r="F684" s="3">
        <f>SUMIFS(df_mutuos!M:M,df_mutuos!B:B,Conciliacao!A684)</f>
        <v/>
      </c>
      <c r="G684" s="6">
        <f>SUMIFS(df_bloqueios_judiciais!G:G,df_bloqueios_judiciais!D:D,Conciliacao!A684,df_bloqueios_judiciais!G:G,"&gt;0")</f>
        <v/>
      </c>
      <c r="H684" s="7">
        <f>SUMIFS(df_extratos!I:I,df_extratos!F:F,"&gt;="&amp;Conciliacao!BE684,df_extratos!F:F,"&lt;"&amp;Conciliacao!BE684+1,df_extratos!G:G,"CREDITO")
+SUMIFS(df_extratos!I:I,df_extratos!F:F,"&gt;="&amp;Conciliacao!A684, df_extratos!F:F,"&lt;"&amp;Conciliacao!A684+1, df_extratos!G:G,"CREDITO")
+SUMIFS(df_extratos!I:I,df_extratos!F:F,"&gt;="&amp;Conciliacao!BF684,df_extratos!F:F,"&lt;"&amp;Conciliacao!BF684+1,df_extratos!G:G,"CREDITO")
+SUMIFS(df_extratos!I:I,df_extratos!F:F,"&gt;="&amp;Conciliacao!BG684,df_extratos!F:F,"&lt;"&amp;Conciliacao!BG684+1,df_extratos!G:G,"CREDITO")
+SUMIFS(df_extratos!I:I,df_extratos!F:F,"&gt;="&amp;Conciliacao!BH684,df_extratos!F:F,"&lt;"&amp;Conciliacao!BH684+1,df_extratos!G:G,"CREDITO")</f>
        <v/>
      </c>
      <c r="I684" s="9">
        <f>H684-SUM(B684:G684)</f>
        <v/>
      </c>
      <c r="J684" s="4">
        <f>SUMIFS(df_blueme_sem_parcelamento!E:E,df_blueme_sem_parcelamento!H:H,Conciliacao!A684)*(-1)</f>
        <v/>
      </c>
      <c r="K684" s="4">
        <f>SUMIFS(df_blueme_com_parcelamento!J:J,df_blueme_com_parcelamento!M:M,Conciliacao!A684)*(-1)</f>
        <v/>
      </c>
      <c r="L684" s="4">
        <f>SUMIFS(df_mutuos!N:N,df_mutuos!B:B,Conciliacao!A684)*(-1)</f>
        <v/>
      </c>
      <c r="M684" s="8">
        <f>SUMIFS(df_bloqueios_judiciais!G:G,df_bloqueios_judiciais!D:D,Conciliacao!A684,df_bloqueios_judiciais!G:G,"&lt;0")</f>
        <v/>
      </c>
      <c r="N684" s="10">
        <f>SUMIFS(df_extratos!I:I,df_extratos!F:F,"&gt;="&amp;Conciliacao!BE684,df_extratos!F:F,"&lt;"&amp;Conciliacao!BE684+1,df_extratos!G:G,"DEBITO")
+SUMIFS(df_extratos!I:I,df_extratos!F:F,"&gt;="&amp;Conciliacao!A684, df_extratos!F:F,"&lt;"&amp;Conciliacao!A684+1, df_extratos!G:G,"DEBITO")
+SUMIFS(df_extratos!I:I,df_extratos!F:F,"&gt;="&amp;Conciliacao!BF684,df_extratos!F:F,"&lt;"&amp;Conciliacao!BF684+1,df_extratos!G:G,"DEBITO")
+SUMIFS(df_extratos!I:I,df_extratos!F:F,"&gt;="&amp;Conciliacao!BG684,df_extratos!F:F,"&lt;"&amp;Conciliacao!BG684+1,df_extratos!G:G,"DEBITO")
+SUMIFS(df_extratos!I:I,df_extratos!F:F,"&gt;="&amp;Conciliacao!BH684,df_extratos!F:F,"&lt;"&amp;Conciliacao!BH684+1,df_extratos!G:G,"DEBITO")</f>
        <v/>
      </c>
      <c r="O684" s="11">
        <f>N684-SUM(J684:M684)</f>
        <v/>
      </c>
      <c r="P684" s="25">
        <f>SUMIFS(df_ajustes_conciliaco!D:D,df_ajustes_conciliaco!C:C,Conciliacao!A684)</f>
        <v/>
      </c>
      <c r="Q684" s="22">
        <f>O684+I684-P684</f>
        <v/>
      </c>
    </row>
    <row r="685">
      <c r="A685" s="5">
        <f>A684+1</f>
        <v/>
      </c>
      <c r="B685" s="3">
        <f>-SUMIFS(df_extrato_zig!G:G,df_extrato_zig!E:E,Conciliacao!A685,df_extrato_zig!D:D,"Saque")-SUMIFS(df_extrato_zig!G:G,df_extrato_zig!E:E,Conciliacao!A685,df_extrato_zig!D:D,"Antecipação")</f>
        <v/>
      </c>
      <c r="C685" s="3">
        <f>SUMIFS(df_extrato_zig!E:E,df_extrato_zig!L:L,Conciliacao!A685,df_extrato_zig!F:F,"DINHEIRO")</f>
        <v/>
      </c>
      <c r="D685" s="3">
        <f>SUMIFS(view_parc_agrup!H:H,view_parc_agrup!G:G,Conciliacao!A685)</f>
        <v/>
      </c>
      <c r="E685" s="3">
        <f>SUMIFS(df_eventos!F:F,df_eventos!H:H,Conciliacao!A685)</f>
        <v/>
      </c>
      <c r="F685" s="3">
        <f>SUMIFS(df_mutuos!M:M,df_mutuos!B:B,Conciliacao!A685)</f>
        <v/>
      </c>
      <c r="G685" s="6">
        <f>SUMIFS(df_bloqueios_judiciais!G:G,df_bloqueios_judiciais!D:D,Conciliacao!A685,df_bloqueios_judiciais!G:G,"&gt;0")</f>
        <v/>
      </c>
      <c r="H685" s="7">
        <f>SUMIFS(df_extratos!I:I,df_extratos!F:F,"&gt;="&amp;Conciliacao!BE685,df_extratos!F:F,"&lt;"&amp;Conciliacao!BE685+1,df_extratos!G:G,"CREDITO")
+SUMIFS(df_extratos!I:I,df_extratos!F:F,"&gt;="&amp;Conciliacao!A685, df_extratos!F:F,"&lt;"&amp;Conciliacao!A685+1, df_extratos!G:G,"CREDITO")
+SUMIFS(df_extratos!I:I,df_extratos!F:F,"&gt;="&amp;Conciliacao!BF685,df_extratos!F:F,"&lt;"&amp;Conciliacao!BF685+1,df_extratos!G:G,"CREDITO")
+SUMIFS(df_extratos!I:I,df_extratos!F:F,"&gt;="&amp;Conciliacao!BG685,df_extratos!F:F,"&lt;"&amp;Conciliacao!BG685+1,df_extratos!G:G,"CREDITO")
+SUMIFS(df_extratos!I:I,df_extratos!F:F,"&gt;="&amp;Conciliacao!BH685,df_extratos!F:F,"&lt;"&amp;Conciliacao!BH685+1,df_extratos!G:G,"CREDITO")</f>
        <v/>
      </c>
      <c r="I685" s="9">
        <f>H685-SUM(B685:G685)</f>
        <v/>
      </c>
      <c r="J685" s="4">
        <f>SUMIFS(df_blueme_sem_parcelamento!E:E,df_blueme_sem_parcelamento!H:H,Conciliacao!A685)*(-1)</f>
        <v/>
      </c>
      <c r="K685" s="4">
        <f>SUMIFS(df_blueme_com_parcelamento!J:J,df_blueme_com_parcelamento!M:M,Conciliacao!A685)*(-1)</f>
        <v/>
      </c>
      <c r="L685" s="4">
        <f>SUMIFS(df_mutuos!N:N,df_mutuos!B:B,Conciliacao!A685)*(-1)</f>
        <v/>
      </c>
      <c r="M685" s="8">
        <f>SUMIFS(df_bloqueios_judiciais!G:G,df_bloqueios_judiciais!D:D,Conciliacao!A685,df_bloqueios_judiciais!G:G,"&lt;0")</f>
        <v/>
      </c>
      <c r="N685" s="10">
        <f>SUMIFS(df_extratos!I:I,df_extratos!F:F,"&gt;="&amp;Conciliacao!BE685,df_extratos!F:F,"&lt;"&amp;Conciliacao!BE685+1,df_extratos!G:G,"DEBITO")
+SUMIFS(df_extratos!I:I,df_extratos!F:F,"&gt;="&amp;Conciliacao!A685, df_extratos!F:F,"&lt;"&amp;Conciliacao!A685+1, df_extratos!G:G,"DEBITO")
+SUMIFS(df_extratos!I:I,df_extratos!F:F,"&gt;="&amp;Conciliacao!BF685,df_extratos!F:F,"&lt;"&amp;Conciliacao!BF685+1,df_extratos!G:G,"DEBITO")
+SUMIFS(df_extratos!I:I,df_extratos!F:F,"&gt;="&amp;Conciliacao!BG685,df_extratos!F:F,"&lt;"&amp;Conciliacao!BG685+1,df_extratos!G:G,"DEBITO")
+SUMIFS(df_extratos!I:I,df_extratos!F:F,"&gt;="&amp;Conciliacao!BH685,df_extratos!F:F,"&lt;"&amp;Conciliacao!BH685+1,df_extratos!G:G,"DEBITO")</f>
        <v/>
      </c>
      <c r="O685" s="11">
        <f>N685-SUM(J685:M685)</f>
        <v/>
      </c>
      <c r="P685" s="25">
        <f>SUMIFS(df_ajustes_conciliaco!D:D,df_ajustes_conciliaco!C:C,Conciliacao!A685)</f>
        <v/>
      </c>
      <c r="Q685" s="22">
        <f>O685+I685-P685</f>
        <v/>
      </c>
    </row>
    <row r="686">
      <c r="A686" s="5">
        <f>A685+1</f>
        <v/>
      </c>
      <c r="B686" s="3">
        <f>-SUMIFS(df_extrato_zig!G:G,df_extrato_zig!E:E,Conciliacao!A686,df_extrato_zig!D:D,"Saque")-SUMIFS(df_extrato_zig!G:G,df_extrato_zig!E:E,Conciliacao!A686,df_extrato_zig!D:D,"Antecipação")</f>
        <v/>
      </c>
      <c r="C686" s="3">
        <f>SUMIFS(df_extrato_zig!E:E,df_extrato_zig!L:L,Conciliacao!A686,df_extrato_zig!F:F,"DINHEIRO")</f>
        <v/>
      </c>
      <c r="D686" s="3">
        <f>SUMIFS(view_parc_agrup!H:H,view_parc_agrup!G:G,Conciliacao!A686)</f>
        <v/>
      </c>
      <c r="E686" s="3">
        <f>SUMIFS(df_eventos!F:F,df_eventos!H:H,Conciliacao!A686)</f>
        <v/>
      </c>
      <c r="F686" s="3">
        <f>SUMIFS(df_mutuos!M:M,df_mutuos!B:B,Conciliacao!A686)</f>
        <v/>
      </c>
      <c r="G686" s="6">
        <f>SUMIFS(df_bloqueios_judiciais!G:G,df_bloqueios_judiciais!D:D,Conciliacao!A686,df_bloqueios_judiciais!G:G,"&gt;0")</f>
        <v/>
      </c>
      <c r="H686" s="7">
        <f>SUMIFS(df_extratos!I:I,df_extratos!F:F,"&gt;="&amp;Conciliacao!BE686,df_extratos!F:F,"&lt;"&amp;Conciliacao!BE686+1,df_extratos!G:G,"CREDITO")
+SUMIFS(df_extratos!I:I,df_extratos!F:F,"&gt;="&amp;Conciliacao!A686, df_extratos!F:F,"&lt;"&amp;Conciliacao!A686+1, df_extratos!G:G,"CREDITO")
+SUMIFS(df_extratos!I:I,df_extratos!F:F,"&gt;="&amp;Conciliacao!BF686,df_extratos!F:F,"&lt;"&amp;Conciliacao!BF686+1,df_extratos!G:G,"CREDITO")
+SUMIFS(df_extratos!I:I,df_extratos!F:F,"&gt;="&amp;Conciliacao!BG686,df_extratos!F:F,"&lt;"&amp;Conciliacao!BG686+1,df_extratos!G:G,"CREDITO")
+SUMIFS(df_extratos!I:I,df_extratos!F:F,"&gt;="&amp;Conciliacao!BH686,df_extratos!F:F,"&lt;"&amp;Conciliacao!BH686+1,df_extratos!G:G,"CREDITO")</f>
        <v/>
      </c>
      <c r="I686" s="9">
        <f>H686-SUM(B686:G686)</f>
        <v/>
      </c>
      <c r="J686" s="4">
        <f>SUMIFS(df_blueme_sem_parcelamento!E:E,df_blueme_sem_parcelamento!H:H,Conciliacao!A686)*(-1)</f>
        <v/>
      </c>
      <c r="K686" s="4">
        <f>SUMIFS(df_blueme_com_parcelamento!J:J,df_blueme_com_parcelamento!M:M,Conciliacao!A686)*(-1)</f>
        <v/>
      </c>
      <c r="L686" s="4">
        <f>SUMIFS(df_mutuos!N:N,df_mutuos!B:B,Conciliacao!A686)*(-1)</f>
        <v/>
      </c>
      <c r="M686" s="8">
        <f>SUMIFS(df_bloqueios_judiciais!G:G,df_bloqueios_judiciais!D:D,Conciliacao!A686,df_bloqueios_judiciais!G:G,"&lt;0")</f>
        <v/>
      </c>
      <c r="N686" s="10">
        <f>SUMIFS(df_extratos!I:I,df_extratos!F:F,"&gt;="&amp;Conciliacao!BE686,df_extratos!F:F,"&lt;"&amp;Conciliacao!BE686+1,df_extratos!G:G,"DEBITO")
+SUMIFS(df_extratos!I:I,df_extratos!F:F,"&gt;="&amp;Conciliacao!A686, df_extratos!F:F,"&lt;"&amp;Conciliacao!A686+1, df_extratos!G:G,"DEBITO")
+SUMIFS(df_extratos!I:I,df_extratos!F:F,"&gt;="&amp;Conciliacao!BF686,df_extratos!F:F,"&lt;"&amp;Conciliacao!BF686+1,df_extratos!G:G,"DEBITO")
+SUMIFS(df_extratos!I:I,df_extratos!F:F,"&gt;="&amp;Conciliacao!BG686,df_extratos!F:F,"&lt;"&amp;Conciliacao!BG686+1,df_extratos!G:G,"DEBITO")
+SUMIFS(df_extratos!I:I,df_extratos!F:F,"&gt;="&amp;Conciliacao!BH686,df_extratos!F:F,"&lt;"&amp;Conciliacao!BH686+1,df_extratos!G:G,"DEBITO")</f>
        <v/>
      </c>
      <c r="O686" s="11">
        <f>N686-SUM(J686:M686)</f>
        <v/>
      </c>
      <c r="P686" s="25">
        <f>SUMIFS(df_ajustes_conciliaco!D:D,df_ajustes_conciliaco!C:C,Conciliacao!A686)</f>
        <v/>
      </c>
      <c r="Q686" s="22">
        <f>O686+I686-P686</f>
        <v/>
      </c>
    </row>
    <row r="687">
      <c r="A687" s="5">
        <f>A686+1</f>
        <v/>
      </c>
      <c r="B687" s="3">
        <f>-SUMIFS(df_extrato_zig!G:G,df_extrato_zig!E:E,Conciliacao!A687,df_extrato_zig!D:D,"Saque")-SUMIFS(df_extrato_zig!G:G,df_extrato_zig!E:E,Conciliacao!A687,df_extrato_zig!D:D,"Antecipação")</f>
        <v/>
      </c>
      <c r="C687" s="3">
        <f>SUMIFS(df_extrato_zig!E:E,df_extrato_zig!L:L,Conciliacao!A687,df_extrato_zig!F:F,"DINHEIRO")</f>
        <v/>
      </c>
      <c r="D687" s="3">
        <f>SUMIFS(view_parc_agrup!H:H,view_parc_agrup!G:G,Conciliacao!A687)</f>
        <v/>
      </c>
      <c r="E687" s="3">
        <f>SUMIFS(df_eventos!F:F,df_eventos!H:H,Conciliacao!A687)</f>
        <v/>
      </c>
      <c r="F687" s="3">
        <f>SUMIFS(df_mutuos!M:M,df_mutuos!B:B,Conciliacao!A687)</f>
        <v/>
      </c>
      <c r="G687" s="6">
        <f>SUMIFS(df_bloqueios_judiciais!G:G,df_bloqueios_judiciais!D:D,Conciliacao!A687,df_bloqueios_judiciais!G:G,"&gt;0")</f>
        <v/>
      </c>
      <c r="H687" s="7">
        <f>SUMIFS(df_extratos!I:I,df_extratos!F:F,"&gt;="&amp;Conciliacao!BE687,df_extratos!F:F,"&lt;"&amp;Conciliacao!BE687+1,df_extratos!G:G,"CREDITO")
+SUMIFS(df_extratos!I:I,df_extratos!F:F,"&gt;="&amp;Conciliacao!A687, df_extratos!F:F,"&lt;"&amp;Conciliacao!A687+1, df_extratos!G:G,"CREDITO")
+SUMIFS(df_extratos!I:I,df_extratos!F:F,"&gt;="&amp;Conciliacao!BF687,df_extratos!F:F,"&lt;"&amp;Conciliacao!BF687+1,df_extratos!G:G,"CREDITO")
+SUMIFS(df_extratos!I:I,df_extratos!F:F,"&gt;="&amp;Conciliacao!BG687,df_extratos!F:F,"&lt;"&amp;Conciliacao!BG687+1,df_extratos!G:G,"CREDITO")
+SUMIFS(df_extratos!I:I,df_extratos!F:F,"&gt;="&amp;Conciliacao!BH687,df_extratos!F:F,"&lt;"&amp;Conciliacao!BH687+1,df_extratos!G:G,"CREDITO")</f>
        <v/>
      </c>
      <c r="I687" s="9">
        <f>H687-SUM(B687:G687)</f>
        <v/>
      </c>
      <c r="J687" s="4">
        <f>SUMIFS(df_blueme_sem_parcelamento!E:E,df_blueme_sem_parcelamento!H:H,Conciliacao!A687)*(-1)</f>
        <v/>
      </c>
      <c r="K687" s="4">
        <f>SUMIFS(df_blueme_com_parcelamento!J:J,df_blueme_com_parcelamento!M:M,Conciliacao!A687)*(-1)</f>
        <v/>
      </c>
      <c r="L687" s="4">
        <f>SUMIFS(df_mutuos!N:N,df_mutuos!B:B,Conciliacao!A687)*(-1)</f>
        <v/>
      </c>
      <c r="M687" s="8">
        <f>SUMIFS(df_bloqueios_judiciais!G:G,df_bloqueios_judiciais!D:D,Conciliacao!A687,df_bloqueios_judiciais!G:G,"&lt;0")</f>
        <v/>
      </c>
      <c r="N687" s="10">
        <f>SUMIFS(df_extratos!I:I,df_extratos!F:F,"&gt;="&amp;Conciliacao!BE687,df_extratos!F:F,"&lt;"&amp;Conciliacao!BE687+1,df_extratos!G:G,"DEBITO")
+SUMIFS(df_extratos!I:I,df_extratos!F:F,"&gt;="&amp;Conciliacao!A687, df_extratos!F:F,"&lt;"&amp;Conciliacao!A687+1, df_extratos!G:G,"DEBITO")
+SUMIFS(df_extratos!I:I,df_extratos!F:F,"&gt;="&amp;Conciliacao!BF687,df_extratos!F:F,"&lt;"&amp;Conciliacao!BF687+1,df_extratos!G:G,"DEBITO")
+SUMIFS(df_extratos!I:I,df_extratos!F:F,"&gt;="&amp;Conciliacao!BG687,df_extratos!F:F,"&lt;"&amp;Conciliacao!BG687+1,df_extratos!G:G,"DEBITO")
+SUMIFS(df_extratos!I:I,df_extratos!F:F,"&gt;="&amp;Conciliacao!BH687,df_extratos!F:F,"&lt;"&amp;Conciliacao!BH687+1,df_extratos!G:G,"DEBITO")</f>
        <v/>
      </c>
      <c r="O687" s="11">
        <f>N687-SUM(J687:M687)</f>
        <v/>
      </c>
      <c r="P687" s="25">
        <f>SUMIFS(df_ajustes_conciliaco!D:D,df_ajustes_conciliaco!C:C,Conciliacao!A687)</f>
        <v/>
      </c>
      <c r="Q687" s="22">
        <f>O687+I687-P687</f>
        <v/>
      </c>
    </row>
    <row r="688">
      <c r="A688" s="5">
        <f>A687+1</f>
        <v/>
      </c>
      <c r="B688" s="3">
        <f>-SUMIFS(df_extrato_zig!G:G,df_extrato_zig!E:E,Conciliacao!A688,df_extrato_zig!D:D,"Saque")-SUMIFS(df_extrato_zig!G:G,df_extrato_zig!E:E,Conciliacao!A688,df_extrato_zig!D:D,"Antecipação")</f>
        <v/>
      </c>
      <c r="C688" s="3">
        <f>SUMIFS(df_extrato_zig!E:E,df_extrato_zig!L:L,Conciliacao!A688,df_extrato_zig!F:F,"DINHEIRO")</f>
        <v/>
      </c>
      <c r="D688" s="3">
        <f>SUMIFS(view_parc_agrup!H:H,view_parc_agrup!G:G,Conciliacao!A688)</f>
        <v/>
      </c>
      <c r="E688" s="3">
        <f>SUMIFS(df_eventos!F:F,df_eventos!H:H,Conciliacao!A688)</f>
        <v/>
      </c>
      <c r="F688" s="3">
        <f>SUMIFS(df_mutuos!M:M,df_mutuos!B:B,Conciliacao!A688)</f>
        <v/>
      </c>
      <c r="G688" s="6">
        <f>SUMIFS(df_bloqueios_judiciais!G:G,df_bloqueios_judiciais!D:D,Conciliacao!A688,df_bloqueios_judiciais!G:G,"&gt;0")</f>
        <v/>
      </c>
      <c r="H688" s="7">
        <f>SUMIFS(df_extratos!I:I,df_extratos!F:F,"&gt;="&amp;Conciliacao!BE688,df_extratos!F:F,"&lt;"&amp;Conciliacao!BE688+1,df_extratos!G:G,"CREDITO")
+SUMIFS(df_extratos!I:I,df_extratos!F:F,"&gt;="&amp;Conciliacao!A688, df_extratos!F:F,"&lt;"&amp;Conciliacao!A688+1, df_extratos!G:G,"CREDITO")
+SUMIFS(df_extratos!I:I,df_extratos!F:F,"&gt;="&amp;Conciliacao!BF688,df_extratos!F:F,"&lt;"&amp;Conciliacao!BF688+1,df_extratos!G:G,"CREDITO")
+SUMIFS(df_extratos!I:I,df_extratos!F:F,"&gt;="&amp;Conciliacao!BG688,df_extratos!F:F,"&lt;"&amp;Conciliacao!BG688+1,df_extratos!G:G,"CREDITO")
+SUMIFS(df_extratos!I:I,df_extratos!F:F,"&gt;="&amp;Conciliacao!BH688,df_extratos!F:F,"&lt;"&amp;Conciliacao!BH688+1,df_extratos!G:G,"CREDITO")</f>
        <v/>
      </c>
      <c r="I688" s="9">
        <f>H688-SUM(B688:G688)</f>
        <v/>
      </c>
      <c r="J688" s="4">
        <f>SUMIFS(df_blueme_sem_parcelamento!E:E,df_blueme_sem_parcelamento!H:H,Conciliacao!A688)*(-1)</f>
        <v/>
      </c>
      <c r="K688" s="4">
        <f>SUMIFS(df_blueme_com_parcelamento!J:J,df_blueme_com_parcelamento!M:M,Conciliacao!A688)*(-1)</f>
        <v/>
      </c>
      <c r="L688" s="4">
        <f>SUMIFS(df_mutuos!N:N,df_mutuos!B:B,Conciliacao!A688)*(-1)</f>
        <v/>
      </c>
      <c r="M688" s="8">
        <f>SUMIFS(df_bloqueios_judiciais!G:G,df_bloqueios_judiciais!D:D,Conciliacao!A688,df_bloqueios_judiciais!G:G,"&lt;0")</f>
        <v/>
      </c>
      <c r="N688" s="10">
        <f>SUMIFS(df_extratos!I:I,df_extratos!F:F,"&gt;="&amp;Conciliacao!BE688,df_extratos!F:F,"&lt;"&amp;Conciliacao!BE688+1,df_extratos!G:G,"DEBITO")
+SUMIFS(df_extratos!I:I,df_extratos!F:F,"&gt;="&amp;Conciliacao!A688, df_extratos!F:F,"&lt;"&amp;Conciliacao!A688+1, df_extratos!G:G,"DEBITO")
+SUMIFS(df_extratos!I:I,df_extratos!F:F,"&gt;="&amp;Conciliacao!BF688,df_extratos!F:F,"&lt;"&amp;Conciliacao!BF688+1,df_extratos!G:G,"DEBITO")
+SUMIFS(df_extratos!I:I,df_extratos!F:F,"&gt;="&amp;Conciliacao!BG688,df_extratos!F:F,"&lt;"&amp;Conciliacao!BG688+1,df_extratos!G:G,"DEBITO")
+SUMIFS(df_extratos!I:I,df_extratos!F:F,"&gt;="&amp;Conciliacao!BH688,df_extratos!F:F,"&lt;"&amp;Conciliacao!BH688+1,df_extratos!G:G,"DEBITO")</f>
        <v/>
      </c>
      <c r="O688" s="11">
        <f>N688-SUM(J688:M688)</f>
        <v/>
      </c>
      <c r="P688" s="25">
        <f>SUMIFS(df_ajustes_conciliaco!D:D,df_ajustes_conciliaco!C:C,Conciliacao!A688)</f>
        <v/>
      </c>
      <c r="Q688" s="22">
        <f>O688+I688-P688</f>
        <v/>
      </c>
    </row>
    <row r="689">
      <c r="A689" s="5">
        <f>A688+1</f>
        <v/>
      </c>
      <c r="B689" s="3">
        <f>-SUMIFS(df_extrato_zig!G:G,df_extrato_zig!E:E,Conciliacao!A689,df_extrato_zig!D:D,"Saque")-SUMIFS(df_extrato_zig!G:G,df_extrato_zig!E:E,Conciliacao!A689,df_extrato_zig!D:D,"Antecipação")</f>
        <v/>
      </c>
      <c r="C689" s="3">
        <f>SUMIFS(df_extrato_zig!E:E,df_extrato_zig!L:L,Conciliacao!A689,df_extrato_zig!F:F,"DINHEIRO")</f>
        <v/>
      </c>
      <c r="D689" s="3">
        <f>SUMIFS(view_parc_agrup!H:H,view_parc_agrup!G:G,Conciliacao!A689)</f>
        <v/>
      </c>
      <c r="E689" s="3">
        <f>SUMIFS(df_eventos!F:F,df_eventos!H:H,Conciliacao!A689)</f>
        <v/>
      </c>
      <c r="F689" s="3">
        <f>SUMIFS(df_mutuos!M:M,df_mutuos!B:B,Conciliacao!A689)</f>
        <v/>
      </c>
      <c r="G689" s="6">
        <f>SUMIFS(df_bloqueios_judiciais!G:G,df_bloqueios_judiciais!D:D,Conciliacao!A689,df_bloqueios_judiciais!G:G,"&gt;0")</f>
        <v/>
      </c>
      <c r="H689" s="7">
        <f>SUMIFS(df_extratos!I:I,df_extratos!F:F,"&gt;="&amp;Conciliacao!BE689,df_extratos!F:F,"&lt;"&amp;Conciliacao!BE689+1,df_extratos!G:G,"CREDITO")
+SUMIFS(df_extratos!I:I,df_extratos!F:F,"&gt;="&amp;Conciliacao!A689, df_extratos!F:F,"&lt;"&amp;Conciliacao!A689+1, df_extratos!G:G,"CREDITO")
+SUMIFS(df_extratos!I:I,df_extratos!F:F,"&gt;="&amp;Conciliacao!BF689,df_extratos!F:F,"&lt;"&amp;Conciliacao!BF689+1,df_extratos!G:G,"CREDITO")
+SUMIFS(df_extratos!I:I,df_extratos!F:F,"&gt;="&amp;Conciliacao!BG689,df_extratos!F:F,"&lt;"&amp;Conciliacao!BG689+1,df_extratos!G:G,"CREDITO")
+SUMIFS(df_extratos!I:I,df_extratos!F:F,"&gt;="&amp;Conciliacao!BH689,df_extratos!F:F,"&lt;"&amp;Conciliacao!BH689+1,df_extratos!G:G,"CREDITO")</f>
        <v/>
      </c>
      <c r="I689" s="9">
        <f>H689-SUM(B689:G689)</f>
        <v/>
      </c>
      <c r="J689" s="4">
        <f>SUMIFS(df_blueme_sem_parcelamento!E:E,df_blueme_sem_parcelamento!H:H,Conciliacao!A689)*(-1)</f>
        <v/>
      </c>
      <c r="K689" s="4">
        <f>SUMIFS(df_blueme_com_parcelamento!J:J,df_blueme_com_parcelamento!M:M,Conciliacao!A689)*(-1)</f>
        <v/>
      </c>
      <c r="L689" s="4">
        <f>SUMIFS(df_mutuos!N:N,df_mutuos!B:B,Conciliacao!A689)*(-1)</f>
        <v/>
      </c>
      <c r="M689" s="8">
        <f>SUMIFS(df_bloqueios_judiciais!G:G,df_bloqueios_judiciais!D:D,Conciliacao!A689,df_bloqueios_judiciais!G:G,"&lt;0")</f>
        <v/>
      </c>
      <c r="N689" s="10">
        <f>SUMIFS(df_extratos!I:I,df_extratos!F:F,"&gt;="&amp;Conciliacao!BE689,df_extratos!F:F,"&lt;"&amp;Conciliacao!BE689+1,df_extratos!G:G,"DEBITO")
+SUMIFS(df_extratos!I:I,df_extratos!F:F,"&gt;="&amp;Conciliacao!A689, df_extratos!F:F,"&lt;"&amp;Conciliacao!A689+1, df_extratos!G:G,"DEBITO")
+SUMIFS(df_extratos!I:I,df_extratos!F:F,"&gt;="&amp;Conciliacao!BF689,df_extratos!F:F,"&lt;"&amp;Conciliacao!BF689+1,df_extratos!G:G,"DEBITO")
+SUMIFS(df_extratos!I:I,df_extratos!F:F,"&gt;="&amp;Conciliacao!BG689,df_extratos!F:F,"&lt;"&amp;Conciliacao!BG689+1,df_extratos!G:G,"DEBITO")
+SUMIFS(df_extratos!I:I,df_extratos!F:F,"&gt;="&amp;Conciliacao!BH689,df_extratos!F:F,"&lt;"&amp;Conciliacao!BH689+1,df_extratos!G:G,"DEBITO")</f>
        <v/>
      </c>
      <c r="O689" s="11">
        <f>N689-SUM(J689:M689)</f>
        <v/>
      </c>
      <c r="P689" s="25">
        <f>SUMIFS(df_ajustes_conciliaco!D:D,df_ajustes_conciliaco!C:C,Conciliacao!A689)</f>
        <v/>
      </c>
      <c r="Q689" s="22">
        <f>O689+I689-P689</f>
        <v/>
      </c>
    </row>
    <row r="690">
      <c r="A690" s="5">
        <f>A689+1</f>
        <v/>
      </c>
      <c r="B690" s="3">
        <f>-SUMIFS(df_extrato_zig!G:G,df_extrato_zig!E:E,Conciliacao!A690,df_extrato_zig!D:D,"Saque")-SUMIFS(df_extrato_zig!G:G,df_extrato_zig!E:E,Conciliacao!A690,df_extrato_zig!D:D,"Antecipação")</f>
        <v/>
      </c>
      <c r="C690" s="3">
        <f>SUMIFS(df_extrato_zig!E:E,df_extrato_zig!L:L,Conciliacao!A690,df_extrato_zig!F:F,"DINHEIRO")</f>
        <v/>
      </c>
      <c r="D690" s="3">
        <f>SUMIFS(view_parc_agrup!H:H,view_parc_agrup!G:G,Conciliacao!A690)</f>
        <v/>
      </c>
      <c r="E690" s="3">
        <f>SUMIFS(df_eventos!F:F,df_eventos!H:H,Conciliacao!A690)</f>
        <v/>
      </c>
      <c r="F690" s="3">
        <f>SUMIFS(df_mutuos!M:M,df_mutuos!B:B,Conciliacao!A690)</f>
        <v/>
      </c>
      <c r="G690" s="6">
        <f>SUMIFS(df_bloqueios_judiciais!G:G,df_bloqueios_judiciais!D:D,Conciliacao!A690,df_bloqueios_judiciais!G:G,"&gt;0")</f>
        <v/>
      </c>
      <c r="H690" s="7">
        <f>SUMIFS(df_extratos!I:I,df_extratos!F:F,"&gt;="&amp;Conciliacao!BE690,df_extratos!F:F,"&lt;"&amp;Conciliacao!BE690+1,df_extratos!G:G,"CREDITO")
+SUMIFS(df_extratos!I:I,df_extratos!F:F,"&gt;="&amp;Conciliacao!A690, df_extratos!F:F,"&lt;"&amp;Conciliacao!A690+1, df_extratos!G:G,"CREDITO")
+SUMIFS(df_extratos!I:I,df_extratos!F:F,"&gt;="&amp;Conciliacao!BF690,df_extratos!F:F,"&lt;"&amp;Conciliacao!BF690+1,df_extratos!G:G,"CREDITO")
+SUMIFS(df_extratos!I:I,df_extratos!F:F,"&gt;="&amp;Conciliacao!BG690,df_extratos!F:F,"&lt;"&amp;Conciliacao!BG690+1,df_extratos!G:G,"CREDITO")
+SUMIFS(df_extratos!I:I,df_extratos!F:F,"&gt;="&amp;Conciliacao!BH690,df_extratos!F:F,"&lt;"&amp;Conciliacao!BH690+1,df_extratos!G:G,"CREDITO")</f>
        <v/>
      </c>
      <c r="I690" s="9">
        <f>H690-SUM(B690:G690)</f>
        <v/>
      </c>
      <c r="J690" s="4">
        <f>SUMIFS(df_blueme_sem_parcelamento!E:E,df_blueme_sem_parcelamento!H:H,Conciliacao!A690)*(-1)</f>
        <v/>
      </c>
      <c r="K690" s="4">
        <f>SUMIFS(df_blueme_com_parcelamento!J:J,df_blueme_com_parcelamento!M:M,Conciliacao!A690)*(-1)</f>
        <v/>
      </c>
      <c r="L690" s="4">
        <f>SUMIFS(df_mutuos!N:N,df_mutuos!B:B,Conciliacao!A690)*(-1)</f>
        <v/>
      </c>
      <c r="M690" s="8">
        <f>SUMIFS(df_bloqueios_judiciais!G:G,df_bloqueios_judiciais!D:D,Conciliacao!A690,df_bloqueios_judiciais!G:G,"&lt;0")</f>
        <v/>
      </c>
      <c r="N690" s="10">
        <f>SUMIFS(df_extratos!I:I,df_extratos!F:F,"&gt;="&amp;Conciliacao!BE690,df_extratos!F:F,"&lt;"&amp;Conciliacao!BE690+1,df_extratos!G:G,"DEBITO")
+SUMIFS(df_extratos!I:I,df_extratos!F:F,"&gt;="&amp;Conciliacao!A690, df_extratos!F:F,"&lt;"&amp;Conciliacao!A690+1, df_extratos!G:G,"DEBITO")
+SUMIFS(df_extratos!I:I,df_extratos!F:F,"&gt;="&amp;Conciliacao!BF690,df_extratos!F:F,"&lt;"&amp;Conciliacao!BF690+1,df_extratos!G:G,"DEBITO")
+SUMIFS(df_extratos!I:I,df_extratos!F:F,"&gt;="&amp;Conciliacao!BG690,df_extratos!F:F,"&lt;"&amp;Conciliacao!BG690+1,df_extratos!G:G,"DEBITO")
+SUMIFS(df_extratos!I:I,df_extratos!F:F,"&gt;="&amp;Conciliacao!BH690,df_extratos!F:F,"&lt;"&amp;Conciliacao!BH690+1,df_extratos!G:G,"DEBITO")</f>
        <v/>
      </c>
      <c r="O690" s="11">
        <f>N690-SUM(J690:M690)</f>
        <v/>
      </c>
      <c r="P690" s="25">
        <f>SUMIFS(df_ajustes_conciliaco!D:D,df_ajustes_conciliaco!C:C,Conciliacao!A690)</f>
        <v/>
      </c>
      <c r="Q690" s="22">
        <f>O690+I690-P690</f>
        <v/>
      </c>
    </row>
    <row r="691">
      <c r="A691" s="5">
        <f>A690+1</f>
        <v/>
      </c>
      <c r="B691" s="3">
        <f>-SUMIFS(df_extrato_zig!G:G,df_extrato_zig!E:E,Conciliacao!A691,df_extrato_zig!D:D,"Saque")-SUMIFS(df_extrato_zig!G:G,df_extrato_zig!E:E,Conciliacao!A691,df_extrato_zig!D:D,"Antecipação")</f>
        <v/>
      </c>
      <c r="C691" s="3">
        <f>SUMIFS(df_extrato_zig!E:E,df_extrato_zig!L:L,Conciliacao!A691,df_extrato_zig!F:F,"DINHEIRO")</f>
        <v/>
      </c>
      <c r="D691" s="3">
        <f>SUMIFS(view_parc_agrup!H:H,view_parc_agrup!G:G,Conciliacao!A691)</f>
        <v/>
      </c>
      <c r="E691" s="3">
        <f>SUMIFS(df_eventos!F:F,df_eventos!H:H,Conciliacao!A691)</f>
        <v/>
      </c>
      <c r="F691" s="3">
        <f>SUMIFS(df_mutuos!M:M,df_mutuos!B:B,Conciliacao!A691)</f>
        <v/>
      </c>
      <c r="G691" s="6">
        <f>SUMIFS(df_bloqueios_judiciais!G:G,df_bloqueios_judiciais!D:D,Conciliacao!A691,df_bloqueios_judiciais!G:G,"&gt;0")</f>
        <v/>
      </c>
      <c r="H691" s="7">
        <f>SUMIFS(df_extratos!I:I,df_extratos!F:F,"&gt;="&amp;Conciliacao!BE691,df_extratos!F:F,"&lt;"&amp;Conciliacao!BE691+1,df_extratos!G:G,"CREDITO")
+SUMIFS(df_extratos!I:I,df_extratos!F:F,"&gt;="&amp;Conciliacao!A691, df_extratos!F:F,"&lt;"&amp;Conciliacao!A691+1, df_extratos!G:G,"CREDITO")
+SUMIFS(df_extratos!I:I,df_extratos!F:F,"&gt;="&amp;Conciliacao!BF691,df_extratos!F:F,"&lt;"&amp;Conciliacao!BF691+1,df_extratos!G:G,"CREDITO")
+SUMIFS(df_extratos!I:I,df_extratos!F:F,"&gt;="&amp;Conciliacao!BG691,df_extratos!F:F,"&lt;"&amp;Conciliacao!BG691+1,df_extratos!G:G,"CREDITO")
+SUMIFS(df_extratos!I:I,df_extratos!F:F,"&gt;="&amp;Conciliacao!BH691,df_extratos!F:F,"&lt;"&amp;Conciliacao!BH691+1,df_extratos!G:G,"CREDITO")</f>
        <v/>
      </c>
      <c r="I691" s="9">
        <f>H691-SUM(B691:G691)</f>
        <v/>
      </c>
      <c r="J691" s="4">
        <f>SUMIFS(df_blueme_sem_parcelamento!E:E,df_blueme_sem_parcelamento!H:H,Conciliacao!A691)*(-1)</f>
        <v/>
      </c>
      <c r="K691" s="4">
        <f>SUMIFS(df_blueme_com_parcelamento!J:J,df_blueme_com_parcelamento!M:M,Conciliacao!A691)*(-1)</f>
        <v/>
      </c>
      <c r="L691" s="4">
        <f>SUMIFS(df_mutuos!N:N,df_mutuos!B:B,Conciliacao!A691)*(-1)</f>
        <v/>
      </c>
      <c r="M691" s="8">
        <f>SUMIFS(df_bloqueios_judiciais!G:G,df_bloqueios_judiciais!D:D,Conciliacao!A691,df_bloqueios_judiciais!G:G,"&lt;0")</f>
        <v/>
      </c>
      <c r="N691" s="10">
        <f>SUMIFS(df_extratos!I:I,df_extratos!F:F,"&gt;="&amp;Conciliacao!BE691,df_extratos!F:F,"&lt;"&amp;Conciliacao!BE691+1,df_extratos!G:G,"DEBITO")
+SUMIFS(df_extratos!I:I,df_extratos!F:F,"&gt;="&amp;Conciliacao!A691, df_extratos!F:F,"&lt;"&amp;Conciliacao!A691+1, df_extratos!G:G,"DEBITO")
+SUMIFS(df_extratos!I:I,df_extratos!F:F,"&gt;="&amp;Conciliacao!BF691,df_extratos!F:F,"&lt;"&amp;Conciliacao!BF691+1,df_extratos!G:G,"DEBITO")
+SUMIFS(df_extratos!I:I,df_extratos!F:F,"&gt;="&amp;Conciliacao!BG691,df_extratos!F:F,"&lt;"&amp;Conciliacao!BG691+1,df_extratos!G:G,"DEBITO")
+SUMIFS(df_extratos!I:I,df_extratos!F:F,"&gt;="&amp;Conciliacao!BH691,df_extratos!F:F,"&lt;"&amp;Conciliacao!BH691+1,df_extratos!G:G,"DEBITO")</f>
        <v/>
      </c>
      <c r="O691" s="11">
        <f>N691-SUM(J691:M691)</f>
        <v/>
      </c>
      <c r="P691" s="25">
        <f>SUMIFS(df_ajustes_conciliaco!D:D,df_ajustes_conciliaco!C:C,Conciliacao!A691)</f>
        <v/>
      </c>
      <c r="Q691" s="22">
        <f>O691+I691-P691</f>
        <v/>
      </c>
    </row>
    <row r="692">
      <c r="A692" s="5">
        <f>A691+1</f>
        <v/>
      </c>
      <c r="B692" s="3">
        <f>-SUMIFS(df_extrato_zig!G:G,df_extrato_zig!E:E,Conciliacao!A692,df_extrato_zig!D:D,"Saque")-SUMIFS(df_extrato_zig!G:G,df_extrato_zig!E:E,Conciliacao!A692,df_extrato_zig!D:D,"Antecipação")</f>
        <v/>
      </c>
      <c r="C692" s="3">
        <f>SUMIFS(df_extrato_zig!E:E,df_extrato_zig!L:L,Conciliacao!A692,df_extrato_zig!F:F,"DINHEIRO")</f>
        <v/>
      </c>
      <c r="D692" s="3">
        <f>SUMIFS(view_parc_agrup!H:H,view_parc_agrup!G:G,Conciliacao!A692)</f>
        <v/>
      </c>
      <c r="E692" s="3">
        <f>SUMIFS(df_eventos!F:F,df_eventos!H:H,Conciliacao!A692)</f>
        <v/>
      </c>
      <c r="F692" s="3">
        <f>SUMIFS(df_mutuos!M:M,df_mutuos!B:B,Conciliacao!A692)</f>
        <v/>
      </c>
      <c r="G692" s="6">
        <f>SUMIFS(df_bloqueios_judiciais!G:G,df_bloqueios_judiciais!D:D,Conciliacao!A692,df_bloqueios_judiciais!G:G,"&gt;0")</f>
        <v/>
      </c>
      <c r="H692" s="7">
        <f>SUMIFS(df_extratos!I:I,df_extratos!F:F,"&gt;="&amp;Conciliacao!BE692,df_extratos!F:F,"&lt;"&amp;Conciliacao!BE692+1,df_extratos!G:G,"CREDITO")
+SUMIFS(df_extratos!I:I,df_extratos!F:F,"&gt;="&amp;Conciliacao!A692, df_extratos!F:F,"&lt;"&amp;Conciliacao!A692+1, df_extratos!G:G,"CREDITO")
+SUMIFS(df_extratos!I:I,df_extratos!F:F,"&gt;="&amp;Conciliacao!BF692,df_extratos!F:F,"&lt;"&amp;Conciliacao!BF692+1,df_extratos!G:G,"CREDITO")
+SUMIFS(df_extratos!I:I,df_extratos!F:F,"&gt;="&amp;Conciliacao!BG692,df_extratos!F:F,"&lt;"&amp;Conciliacao!BG692+1,df_extratos!G:G,"CREDITO")
+SUMIFS(df_extratos!I:I,df_extratos!F:F,"&gt;="&amp;Conciliacao!BH692,df_extratos!F:F,"&lt;"&amp;Conciliacao!BH692+1,df_extratos!G:G,"CREDITO")</f>
        <v/>
      </c>
      <c r="I692" s="9">
        <f>H692-SUM(B692:G692)</f>
        <v/>
      </c>
      <c r="J692" s="4">
        <f>SUMIFS(df_blueme_sem_parcelamento!E:E,df_blueme_sem_parcelamento!H:H,Conciliacao!A692)*(-1)</f>
        <v/>
      </c>
      <c r="K692" s="4">
        <f>SUMIFS(df_blueme_com_parcelamento!J:J,df_blueme_com_parcelamento!M:M,Conciliacao!A692)*(-1)</f>
        <v/>
      </c>
      <c r="L692" s="4">
        <f>SUMIFS(df_mutuos!N:N,df_mutuos!B:B,Conciliacao!A692)*(-1)</f>
        <v/>
      </c>
      <c r="M692" s="8">
        <f>SUMIFS(df_bloqueios_judiciais!G:G,df_bloqueios_judiciais!D:D,Conciliacao!A692,df_bloqueios_judiciais!G:G,"&lt;0")</f>
        <v/>
      </c>
      <c r="N692" s="10">
        <f>SUMIFS(df_extratos!I:I,df_extratos!F:F,"&gt;="&amp;Conciliacao!BE692,df_extratos!F:F,"&lt;"&amp;Conciliacao!BE692+1,df_extratos!G:G,"DEBITO")
+SUMIFS(df_extratos!I:I,df_extratos!F:F,"&gt;="&amp;Conciliacao!A692, df_extratos!F:F,"&lt;"&amp;Conciliacao!A692+1, df_extratos!G:G,"DEBITO")
+SUMIFS(df_extratos!I:I,df_extratos!F:F,"&gt;="&amp;Conciliacao!BF692,df_extratos!F:F,"&lt;"&amp;Conciliacao!BF692+1,df_extratos!G:G,"DEBITO")
+SUMIFS(df_extratos!I:I,df_extratos!F:F,"&gt;="&amp;Conciliacao!BG692,df_extratos!F:F,"&lt;"&amp;Conciliacao!BG692+1,df_extratos!G:G,"DEBITO")
+SUMIFS(df_extratos!I:I,df_extratos!F:F,"&gt;="&amp;Conciliacao!BH692,df_extratos!F:F,"&lt;"&amp;Conciliacao!BH692+1,df_extratos!G:G,"DEBITO")</f>
        <v/>
      </c>
      <c r="O692" s="11">
        <f>N692-SUM(J692:M692)</f>
        <v/>
      </c>
      <c r="P692" s="25">
        <f>SUMIFS(df_ajustes_conciliaco!D:D,df_ajustes_conciliaco!C:C,Conciliacao!A692)</f>
        <v/>
      </c>
      <c r="Q692" s="22">
        <f>O692+I692-P692</f>
        <v/>
      </c>
    </row>
    <row r="693">
      <c r="A693" s="5">
        <f>A692+1</f>
        <v/>
      </c>
      <c r="B693" s="3">
        <f>-SUMIFS(df_extrato_zig!G:G,df_extrato_zig!E:E,Conciliacao!A693,df_extrato_zig!D:D,"Saque")-SUMIFS(df_extrato_zig!G:G,df_extrato_zig!E:E,Conciliacao!A693,df_extrato_zig!D:D,"Antecipação")</f>
        <v/>
      </c>
      <c r="C693" s="3">
        <f>SUMIFS(df_extrato_zig!E:E,df_extrato_zig!L:L,Conciliacao!A693,df_extrato_zig!F:F,"DINHEIRO")</f>
        <v/>
      </c>
      <c r="D693" s="3">
        <f>SUMIFS(view_parc_agrup!H:H,view_parc_agrup!G:G,Conciliacao!A693)</f>
        <v/>
      </c>
      <c r="E693" s="3">
        <f>SUMIFS(df_eventos!F:F,df_eventos!H:H,Conciliacao!A693)</f>
        <v/>
      </c>
      <c r="F693" s="3">
        <f>SUMIFS(df_mutuos!M:M,df_mutuos!B:B,Conciliacao!A693)</f>
        <v/>
      </c>
      <c r="G693" s="6">
        <f>SUMIFS(df_bloqueios_judiciais!G:G,df_bloqueios_judiciais!D:D,Conciliacao!A693,df_bloqueios_judiciais!G:G,"&gt;0")</f>
        <v/>
      </c>
      <c r="H693" s="7">
        <f>SUMIFS(df_extratos!I:I,df_extratos!F:F,"&gt;="&amp;Conciliacao!BE693,df_extratos!F:F,"&lt;"&amp;Conciliacao!BE693+1,df_extratos!G:G,"CREDITO")
+SUMIFS(df_extratos!I:I,df_extratos!F:F,"&gt;="&amp;Conciliacao!A693, df_extratos!F:F,"&lt;"&amp;Conciliacao!A693+1, df_extratos!G:G,"CREDITO")
+SUMIFS(df_extratos!I:I,df_extratos!F:F,"&gt;="&amp;Conciliacao!BF693,df_extratos!F:F,"&lt;"&amp;Conciliacao!BF693+1,df_extratos!G:G,"CREDITO")
+SUMIFS(df_extratos!I:I,df_extratos!F:F,"&gt;="&amp;Conciliacao!BG693,df_extratos!F:F,"&lt;"&amp;Conciliacao!BG693+1,df_extratos!G:G,"CREDITO")
+SUMIFS(df_extratos!I:I,df_extratos!F:F,"&gt;="&amp;Conciliacao!BH693,df_extratos!F:F,"&lt;"&amp;Conciliacao!BH693+1,df_extratos!G:G,"CREDITO")</f>
        <v/>
      </c>
      <c r="I693" s="9">
        <f>H693-SUM(B693:G693)</f>
        <v/>
      </c>
      <c r="J693" s="4">
        <f>SUMIFS(df_blueme_sem_parcelamento!E:E,df_blueme_sem_parcelamento!H:H,Conciliacao!A693)*(-1)</f>
        <v/>
      </c>
      <c r="K693" s="4">
        <f>SUMIFS(df_blueme_com_parcelamento!J:J,df_blueme_com_parcelamento!M:M,Conciliacao!A693)*(-1)</f>
        <v/>
      </c>
      <c r="L693" s="4">
        <f>SUMIFS(df_mutuos!N:N,df_mutuos!B:B,Conciliacao!A693)*(-1)</f>
        <v/>
      </c>
      <c r="M693" s="8">
        <f>SUMIFS(df_bloqueios_judiciais!G:G,df_bloqueios_judiciais!D:D,Conciliacao!A693,df_bloqueios_judiciais!G:G,"&lt;0")</f>
        <v/>
      </c>
      <c r="N693" s="10">
        <f>SUMIFS(df_extratos!I:I,df_extratos!F:F,"&gt;="&amp;Conciliacao!BE693,df_extratos!F:F,"&lt;"&amp;Conciliacao!BE693+1,df_extratos!G:G,"DEBITO")
+SUMIFS(df_extratos!I:I,df_extratos!F:F,"&gt;="&amp;Conciliacao!A693, df_extratos!F:F,"&lt;"&amp;Conciliacao!A693+1, df_extratos!G:G,"DEBITO")
+SUMIFS(df_extratos!I:I,df_extratos!F:F,"&gt;="&amp;Conciliacao!BF693,df_extratos!F:F,"&lt;"&amp;Conciliacao!BF693+1,df_extratos!G:G,"DEBITO")
+SUMIFS(df_extratos!I:I,df_extratos!F:F,"&gt;="&amp;Conciliacao!BG693,df_extratos!F:F,"&lt;"&amp;Conciliacao!BG693+1,df_extratos!G:G,"DEBITO")
+SUMIFS(df_extratos!I:I,df_extratos!F:F,"&gt;="&amp;Conciliacao!BH693,df_extratos!F:F,"&lt;"&amp;Conciliacao!BH693+1,df_extratos!G:G,"DEBITO")</f>
        <v/>
      </c>
      <c r="O693" s="11">
        <f>N693-SUM(J693:M693)</f>
        <v/>
      </c>
      <c r="P693" s="25">
        <f>SUMIFS(df_ajustes_conciliaco!D:D,df_ajustes_conciliaco!C:C,Conciliacao!A693)</f>
        <v/>
      </c>
      <c r="Q693" s="22">
        <f>O693+I693-P693</f>
        <v/>
      </c>
    </row>
    <row r="694">
      <c r="A694" s="5">
        <f>A693+1</f>
        <v/>
      </c>
      <c r="B694" s="3">
        <f>-SUMIFS(df_extrato_zig!G:G,df_extrato_zig!E:E,Conciliacao!A694,df_extrato_zig!D:D,"Saque")-SUMIFS(df_extrato_zig!G:G,df_extrato_zig!E:E,Conciliacao!A694,df_extrato_zig!D:D,"Antecipação")</f>
        <v/>
      </c>
      <c r="C694" s="3">
        <f>SUMIFS(df_extrato_zig!E:E,df_extrato_zig!L:L,Conciliacao!A694,df_extrato_zig!F:F,"DINHEIRO")</f>
        <v/>
      </c>
      <c r="D694" s="3">
        <f>SUMIFS(view_parc_agrup!H:H,view_parc_agrup!G:G,Conciliacao!A694)</f>
        <v/>
      </c>
      <c r="E694" s="3">
        <f>SUMIFS(df_eventos!F:F,df_eventos!H:H,Conciliacao!A694)</f>
        <v/>
      </c>
      <c r="F694" s="3">
        <f>SUMIFS(df_mutuos!M:M,df_mutuos!B:B,Conciliacao!A694)</f>
        <v/>
      </c>
      <c r="G694" s="6">
        <f>SUMIFS(df_bloqueios_judiciais!G:G,df_bloqueios_judiciais!D:D,Conciliacao!A694,df_bloqueios_judiciais!G:G,"&gt;0")</f>
        <v/>
      </c>
      <c r="H694" s="7">
        <f>SUMIFS(df_extratos!I:I,df_extratos!F:F,"&gt;="&amp;Conciliacao!BE694,df_extratos!F:F,"&lt;"&amp;Conciliacao!BE694+1,df_extratos!G:G,"CREDITO")
+SUMIFS(df_extratos!I:I,df_extratos!F:F,"&gt;="&amp;Conciliacao!A694, df_extratos!F:F,"&lt;"&amp;Conciliacao!A694+1, df_extratos!G:G,"CREDITO")
+SUMIFS(df_extratos!I:I,df_extratos!F:F,"&gt;="&amp;Conciliacao!BF694,df_extratos!F:F,"&lt;"&amp;Conciliacao!BF694+1,df_extratos!G:G,"CREDITO")
+SUMIFS(df_extratos!I:I,df_extratos!F:F,"&gt;="&amp;Conciliacao!BG694,df_extratos!F:F,"&lt;"&amp;Conciliacao!BG694+1,df_extratos!G:G,"CREDITO")
+SUMIFS(df_extratos!I:I,df_extratos!F:F,"&gt;="&amp;Conciliacao!BH694,df_extratos!F:F,"&lt;"&amp;Conciliacao!BH694+1,df_extratos!G:G,"CREDITO")</f>
        <v/>
      </c>
      <c r="I694" s="9">
        <f>H694-SUM(B694:G694)</f>
        <v/>
      </c>
      <c r="J694" s="4">
        <f>SUMIFS(df_blueme_sem_parcelamento!E:E,df_blueme_sem_parcelamento!H:H,Conciliacao!A694)*(-1)</f>
        <v/>
      </c>
      <c r="K694" s="4">
        <f>SUMIFS(df_blueme_com_parcelamento!J:J,df_blueme_com_parcelamento!M:M,Conciliacao!A694)*(-1)</f>
        <v/>
      </c>
      <c r="L694" s="4">
        <f>SUMIFS(df_mutuos!N:N,df_mutuos!B:B,Conciliacao!A694)*(-1)</f>
        <v/>
      </c>
      <c r="M694" s="8">
        <f>SUMIFS(df_bloqueios_judiciais!G:G,df_bloqueios_judiciais!D:D,Conciliacao!A694,df_bloqueios_judiciais!G:G,"&lt;0")</f>
        <v/>
      </c>
      <c r="N694" s="10">
        <f>SUMIFS(df_extratos!I:I,df_extratos!F:F,"&gt;="&amp;Conciliacao!BE694,df_extratos!F:F,"&lt;"&amp;Conciliacao!BE694+1,df_extratos!G:G,"DEBITO")
+SUMIFS(df_extratos!I:I,df_extratos!F:F,"&gt;="&amp;Conciliacao!A694, df_extratos!F:F,"&lt;"&amp;Conciliacao!A694+1, df_extratos!G:G,"DEBITO")
+SUMIFS(df_extratos!I:I,df_extratos!F:F,"&gt;="&amp;Conciliacao!BF694,df_extratos!F:F,"&lt;"&amp;Conciliacao!BF694+1,df_extratos!G:G,"DEBITO")
+SUMIFS(df_extratos!I:I,df_extratos!F:F,"&gt;="&amp;Conciliacao!BG694,df_extratos!F:F,"&lt;"&amp;Conciliacao!BG694+1,df_extratos!G:G,"DEBITO")
+SUMIFS(df_extratos!I:I,df_extratos!F:F,"&gt;="&amp;Conciliacao!BH694,df_extratos!F:F,"&lt;"&amp;Conciliacao!BH694+1,df_extratos!G:G,"DEBITO")</f>
        <v/>
      </c>
      <c r="O694" s="11">
        <f>N694-SUM(J694:M694)</f>
        <v/>
      </c>
      <c r="P694" s="25">
        <f>SUMIFS(df_ajustes_conciliaco!D:D,df_ajustes_conciliaco!C:C,Conciliacao!A694)</f>
        <v/>
      </c>
      <c r="Q694" s="22">
        <f>O694+I694-P694</f>
        <v/>
      </c>
    </row>
    <row r="695">
      <c r="A695" s="5">
        <f>A694+1</f>
        <v/>
      </c>
      <c r="B695" s="3">
        <f>-SUMIFS(df_extrato_zig!G:G,df_extrato_zig!E:E,Conciliacao!A695,df_extrato_zig!D:D,"Saque")-SUMIFS(df_extrato_zig!G:G,df_extrato_zig!E:E,Conciliacao!A695,df_extrato_zig!D:D,"Antecipação")</f>
        <v/>
      </c>
      <c r="C695" s="3">
        <f>SUMIFS(df_extrato_zig!E:E,df_extrato_zig!L:L,Conciliacao!A695,df_extrato_zig!F:F,"DINHEIRO")</f>
        <v/>
      </c>
      <c r="D695" s="3">
        <f>SUMIFS(view_parc_agrup!H:H,view_parc_agrup!G:G,Conciliacao!A695)</f>
        <v/>
      </c>
      <c r="E695" s="3">
        <f>SUMIFS(df_eventos!F:F,df_eventos!H:H,Conciliacao!A695)</f>
        <v/>
      </c>
      <c r="F695" s="3">
        <f>SUMIFS(df_mutuos!M:M,df_mutuos!B:B,Conciliacao!A695)</f>
        <v/>
      </c>
      <c r="G695" s="6">
        <f>SUMIFS(df_bloqueios_judiciais!G:G,df_bloqueios_judiciais!D:D,Conciliacao!A695,df_bloqueios_judiciais!G:G,"&gt;0")</f>
        <v/>
      </c>
      <c r="H695" s="7">
        <f>SUMIFS(df_extratos!I:I,df_extratos!F:F,"&gt;="&amp;Conciliacao!BE695,df_extratos!F:F,"&lt;"&amp;Conciliacao!BE695+1,df_extratos!G:G,"CREDITO")
+SUMIFS(df_extratos!I:I,df_extratos!F:F,"&gt;="&amp;Conciliacao!A695, df_extratos!F:F,"&lt;"&amp;Conciliacao!A695+1, df_extratos!G:G,"CREDITO")
+SUMIFS(df_extratos!I:I,df_extratos!F:F,"&gt;="&amp;Conciliacao!BF695,df_extratos!F:F,"&lt;"&amp;Conciliacao!BF695+1,df_extratos!G:G,"CREDITO")
+SUMIFS(df_extratos!I:I,df_extratos!F:F,"&gt;="&amp;Conciliacao!BG695,df_extratos!F:F,"&lt;"&amp;Conciliacao!BG695+1,df_extratos!G:G,"CREDITO")
+SUMIFS(df_extratos!I:I,df_extratos!F:F,"&gt;="&amp;Conciliacao!BH695,df_extratos!F:F,"&lt;"&amp;Conciliacao!BH695+1,df_extratos!G:G,"CREDITO")</f>
        <v/>
      </c>
      <c r="I695" s="9">
        <f>H695-SUM(B695:G695)</f>
        <v/>
      </c>
      <c r="J695" s="4">
        <f>SUMIFS(df_blueme_sem_parcelamento!E:E,df_blueme_sem_parcelamento!H:H,Conciliacao!A695)*(-1)</f>
        <v/>
      </c>
      <c r="K695" s="4">
        <f>SUMIFS(df_blueme_com_parcelamento!J:J,df_blueme_com_parcelamento!M:M,Conciliacao!A695)*(-1)</f>
        <v/>
      </c>
      <c r="L695" s="4">
        <f>SUMIFS(df_mutuos!N:N,df_mutuos!B:B,Conciliacao!A695)*(-1)</f>
        <v/>
      </c>
      <c r="M695" s="8">
        <f>SUMIFS(df_bloqueios_judiciais!G:G,df_bloqueios_judiciais!D:D,Conciliacao!A695,df_bloqueios_judiciais!G:G,"&lt;0")</f>
        <v/>
      </c>
      <c r="N695" s="10">
        <f>SUMIFS(df_extratos!I:I,df_extratos!F:F,"&gt;="&amp;Conciliacao!BE695,df_extratos!F:F,"&lt;"&amp;Conciliacao!BE695+1,df_extratos!G:G,"DEBITO")
+SUMIFS(df_extratos!I:I,df_extratos!F:F,"&gt;="&amp;Conciliacao!A695, df_extratos!F:F,"&lt;"&amp;Conciliacao!A695+1, df_extratos!G:G,"DEBITO")
+SUMIFS(df_extratos!I:I,df_extratos!F:F,"&gt;="&amp;Conciliacao!BF695,df_extratos!F:F,"&lt;"&amp;Conciliacao!BF695+1,df_extratos!G:G,"DEBITO")
+SUMIFS(df_extratos!I:I,df_extratos!F:F,"&gt;="&amp;Conciliacao!BG695,df_extratos!F:F,"&lt;"&amp;Conciliacao!BG695+1,df_extratos!G:G,"DEBITO")
+SUMIFS(df_extratos!I:I,df_extratos!F:F,"&gt;="&amp;Conciliacao!BH695,df_extratos!F:F,"&lt;"&amp;Conciliacao!BH695+1,df_extratos!G:G,"DEBITO")</f>
        <v/>
      </c>
      <c r="O695" s="11">
        <f>N695-SUM(J695:M695)</f>
        <v/>
      </c>
      <c r="P695" s="25">
        <f>SUMIFS(df_ajustes_conciliaco!D:D,df_ajustes_conciliaco!C:C,Conciliacao!A695)</f>
        <v/>
      </c>
      <c r="Q695" s="22">
        <f>O695+I695-P695</f>
        <v/>
      </c>
    </row>
    <row r="696">
      <c r="A696" s="5">
        <f>A695+1</f>
        <v/>
      </c>
      <c r="B696" s="3">
        <f>-SUMIFS(df_extrato_zig!G:G,df_extrato_zig!E:E,Conciliacao!A696,df_extrato_zig!D:D,"Saque")-SUMIFS(df_extrato_zig!G:G,df_extrato_zig!E:E,Conciliacao!A696,df_extrato_zig!D:D,"Antecipação")</f>
        <v/>
      </c>
      <c r="C696" s="3">
        <f>SUMIFS(df_extrato_zig!E:E,df_extrato_zig!L:L,Conciliacao!A696,df_extrato_zig!F:F,"DINHEIRO")</f>
        <v/>
      </c>
      <c r="D696" s="3">
        <f>SUMIFS(view_parc_agrup!H:H,view_parc_agrup!G:G,Conciliacao!A696)</f>
        <v/>
      </c>
      <c r="E696" s="3">
        <f>SUMIFS(df_eventos!F:F,df_eventos!H:H,Conciliacao!A696)</f>
        <v/>
      </c>
      <c r="F696" s="3">
        <f>SUMIFS(df_mutuos!M:M,df_mutuos!B:B,Conciliacao!A696)</f>
        <v/>
      </c>
      <c r="G696" s="6">
        <f>SUMIFS(df_bloqueios_judiciais!G:G,df_bloqueios_judiciais!D:D,Conciliacao!A696,df_bloqueios_judiciais!G:G,"&gt;0")</f>
        <v/>
      </c>
      <c r="H696" s="7">
        <f>SUMIFS(df_extratos!I:I,df_extratos!F:F,"&gt;="&amp;Conciliacao!BE696,df_extratos!F:F,"&lt;"&amp;Conciliacao!BE696+1,df_extratos!G:G,"CREDITO")
+SUMIFS(df_extratos!I:I,df_extratos!F:F,"&gt;="&amp;Conciliacao!A696, df_extratos!F:F,"&lt;"&amp;Conciliacao!A696+1, df_extratos!G:G,"CREDITO")
+SUMIFS(df_extratos!I:I,df_extratos!F:F,"&gt;="&amp;Conciliacao!BF696,df_extratos!F:F,"&lt;"&amp;Conciliacao!BF696+1,df_extratos!G:G,"CREDITO")
+SUMIFS(df_extratos!I:I,df_extratos!F:F,"&gt;="&amp;Conciliacao!BG696,df_extratos!F:F,"&lt;"&amp;Conciliacao!BG696+1,df_extratos!G:G,"CREDITO")
+SUMIFS(df_extratos!I:I,df_extratos!F:F,"&gt;="&amp;Conciliacao!BH696,df_extratos!F:F,"&lt;"&amp;Conciliacao!BH696+1,df_extratos!G:G,"CREDITO")</f>
        <v/>
      </c>
      <c r="I696" s="9">
        <f>H696-SUM(B696:G696)</f>
        <v/>
      </c>
      <c r="J696" s="4">
        <f>SUMIFS(df_blueme_sem_parcelamento!E:E,df_blueme_sem_parcelamento!H:H,Conciliacao!A696)*(-1)</f>
        <v/>
      </c>
      <c r="K696" s="4">
        <f>SUMIFS(df_blueme_com_parcelamento!J:J,df_blueme_com_parcelamento!M:M,Conciliacao!A696)*(-1)</f>
        <v/>
      </c>
      <c r="L696" s="4">
        <f>SUMIFS(df_mutuos!N:N,df_mutuos!B:B,Conciliacao!A696)*(-1)</f>
        <v/>
      </c>
      <c r="M696" s="8">
        <f>SUMIFS(df_bloqueios_judiciais!G:G,df_bloqueios_judiciais!D:D,Conciliacao!A696,df_bloqueios_judiciais!G:G,"&lt;0")</f>
        <v/>
      </c>
      <c r="N696" s="10">
        <f>SUMIFS(df_extratos!I:I,df_extratos!F:F,"&gt;="&amp;Conciliacao!BE696,df_extratos!F:F,"&lt;"&amp;Conciliacao!BE696+1,df_extratos!G:G,"DEBITO")
+SUMIFS(df_extratos!I:I,df_extratos!F:F,"&gt;="&amp;Conciliacao!A696, df_extratos!F:F,"&lt;"&amp;Conciliacao!A696+1, df_extratos!G:G,"DEBITO")
+SUMIFS(df_extratos!I:I,df_extratos!F:F,"&gt;="&amp;Conciliacao!BF696,df_extratos!F:F,"&lt;"&amp;Conciliacao!BF696+1,df_extratos!G:G,"DEBITO")
+SUMIFS(df_extratos!I:I,df_extratos!F:F,"&gt;="&amp;Conciliacao!BG696,df_extratos!F:F,"&lt;"&amp;Conciliacao!BG696+1,df_extratos!G:G,"DEBITO")
+SUMIFS(df_extratos!I:I,df_extratos!F:F,"&gt;="&amp;Conciliacao!BH696,df_extratos!F:F,"&lt;"&amp;Conciliacao!BH696+1,df_extratos!G:G,"DEBITO")</f>
        <v/>
      </c>
      <c r="O696" s="11">
        <f>N696-SUM(J696:M696)</f>
        <v/>
      </c>
      <c r="P696" s="25">
        <f>SUMIFS(df_ajustes_conciliaco!D:D,df_ajustes_conciliaco!C:C,Conciliacao!A696)</f>
        <v/>
      </c>
      <c r="Q696" s="22">
        <f>O696+I696-P696</f>
        <v/>
      </c>
    </row>
    <row r="697">
      <c r="A697" s="5">
        <f>A696+1</f>
        <v/>
      </c>
      <c r="B697" s="3">
        <f>-SUMIFS(df_extrato_zig!G:G,df_extrato_zig!E:E,Conciliacao!A697,df_extrato_zig!D:D,"Saque")-SUMIFS(df_extrato_zig!G:G,df_extrato_zig!E:E,Conciliacao!A697,df_extrato_zig!D:D,"Antecipação")</f>
        <v/>
      </c>
      <c r="C697" s="3">
        <f>SUMIFS(df_extrato_zig!E:E,df_extrato_zig!L:L,Conciliacao!A697,df_extrato_zig!F:F,"DINHEIRO")</f>
        <v/>
      </c>
      <c r="D697" s="3">
        <f>SUMIFS(view_parc_agrup!H:H,view_parc_agrup!G:G,Conciliacao!A697)</f>
        <v/>
      </c>
      <c r="E697" s="3">
        <f>SUMIFS(df_eventos!F:F,df_eventos!H:H,Conciliacao!A697)</f>
        <v/>
      </c>
      <c r="F697" s="3">
        <f>SUMIFS(df_mutuos!M:M,df_mutuos!B:B,Conciliacao!A697)</f>
        <v/>
      </c>
      <c r="G697" s="6">
        <f>SUMIFS(df_bloqueios_judiciais!G:G,df_bloqueios_judiciais!D:D,Conciliacao!A697,df_bloqueios_judiciais!G:G,"&gt;0")</f>
        <v/>
      </c>
      <c r="H697" s="7">
        <f>SUMIFS(df_extratos!I:I,df_extratos!F:F,"&gt;="&amp;Conciliacao!BE697,df_extratos!F:F,"&lt;"&amp;Conciliacao!BE697+1,df_extratos!G:G,"CREDITO")
+SUMIFS(df_extratos!I:I,df_extratos!F:F,"&gt;="&amp;Conciliacao!A697, df_extratos!F:F,"&lt;"&amp;Conciliacao!A697+1, df_extratos!G:G,"CREDITO")
+SUMIFS(df_extratos!I:I,df_extratos!F:F,"&gt;="&amp;Conciliacao!BF697,df_extratos!F:F,"&lt;"&amp;Conciliacao!BF697+1,df_extratos!G:G,"CREDITO")
+SUMIFS(df_extratos!I:I,df_extratos!F:F,"&gt;="&amp;Conciliacao!BG697,df_extratos!F:F,"&lt;"&amp;Conciliacao!BG697+1,df_extratos!G:G,"CREDITO")
+SUMIFS(df_extratos!I:I,df_extratos!F:F,"&gt;="&amp;Conciliacao!BH697,df_extratos!F:F,"&lt;"&amp;Conciliacao!BH697+1,df_extratos!G:G,"CREDITO")</f>
        <v/>
      </c>
      <c r="I697" s="9">
        <f>H697-SUM(B697:G697)</f>
        <v/>
      </c>
      <c r="J697" s="4">
        <f>SUMIFS(df_blueme_sem_parcelamento!E:E,df_blueme_sem_parcelamento!H:H,Conciliacao!A697)*(-1)</f>
        <v/>
      </c>
      <c r="K697" s="4">
        <f>SUMIFS(df_blueme_com_parcelamento!J:J,df_blueme_com_parcelamento!M:M,Conciliacao!A697)*(-1)</f>
        <v/>
      </c>
      <c r="L697" s="4">
        <f>SUMIFS(df_mutuos!N:N,df_mutuos!B:B,Conciliacao!A697)*(-1)</f>
        <v/>
      </c>
      <c r="M697" s="8">
        <f>SUMIFS(df_bloqueios_judiciais!G:G,df_bloqueios_judiciais!D:D,Conciliacao!A697,df_bloqueios_judiciais!G:G,"&lt;0")</f>
        <v/>
      </c>
      <c r="N697" s="10">
        <f>SUMIFS(df_extratos!I:I,df_extratos!F:F,"&gt;="&amp;Conciliacao!BE697,df_extratos!F:F,"&lt;"&amp;Conciliacao!BE697+1,df_extratos!G:G,"DEBITO")
+SUMIFS(df_extratos!I:I,df_extratos!F:F,"&gt;="&amp;Conciliacao!A697, df_extratos!F:F,"&lt;"&amp;Conciliacao!A697+1, df_extratos!G:G,"DEBITO")
+SUMIFS(df_extratos!I:I,df_extratos!F:F,"&gt;="&amp;Conciliacao!BF697,df_extratos!F:F,"&lt;"&amp;Conciliacao!BF697+1,df_extratos!G:G,"DEBITO")
+SUMIFS(df_extratos!I:I,df_extratos!F:F,"&gt;="&amp;Conciliacao!BG697,df_extratos!F:F,"&lt;"&amp;Conciliacao!BG697+1,df_extratos!G:G,"DEBITO")
+SUMIFS(df_extratos!I:I,df_extratos!F:F,"&gt;="&amp;Conciliacao!BH697,df_extratos!F:F,"&lt;"&amp;Conciliacao!BH697+1,df_extratos!G:G,"DEBITO")</f>
        <v/>
      </c>
      <c r="O697" s="11">
        <f>N697-SUM(J697:M697)</f>
        <v/>
      </c>
      <c r="P697" s="25">
        <f>SUMIFS(df_ajustes_conciliaco!D:D,df_ajustes_conciliaco!C:C,Conciliacao!A697)</f>
        <v/>
      </c>
      <c r="Q697" s="22">
        <f>O697+I697-P697</f>
        <v/>
      </c>
    </row>
    <row r="698">
      <c r="A698" s="5">
        <f>A697+1</f>
        <v/>
      </c>
      <c r="B698" s="3">
        <f>-SUMIFS(df_extrato_zig!G:G,df_extrato_zig!E:E,Conciliacao!A698,df_extrato_zig!D:D,"Saque")-SUMIFS(df_extrato_zig!G:G,df_extrato_zig!E:E,Conciliacao!A698,df_extrato_zig!D:D,"Antecipação")</f>
        <v/>
      </c>
      <c r="C698" s="3">
        <f>SUMIFS(df_extrato_zig!E:E,df_extrato_zig!L:L,Conciliacao!A698,df_extrato_zig!F:F,"DINHEIRO")</f>
        <v/>
      </c>
      <c r="D698" s="3">
        <f>SUMIFS(view_parc_agrup!H:H,view_parc_agrup!G:G,Conciliacao!A698)</f>
        <v/>
      </c>
      <c r="E698" s="3">
        <f>SUMIFS(df_eventos!F:F,df_eventos!H:H,Conciliacao!A698)</f>
        <v/>
      </c>
      <c r="F698" s="3">
        <f>SUMIFS(df_mutuos!M:M,df_mutuos!B:B,Conciliacao!A698)</f>
        <v/>
      </c>
      <c r="G698" s="6">
        <f>SUMIFS(df_bloqueios_judiciais!G:G,df_bloqueios_judiciais!D:D,Conciliacao!A698,df_bloqueios_judiciais!G:G,"&gt;0")</f>
        <v/>
      </c>
      <c r="H698" s="7">
        <f>SUMIFS(df_extratos!I:I,df_extratos!F:F,"&gt;="&amp;Conciliacao!BE698,df_extratos!F:F,"&lt;"&amp;Conciliacao!BE698+1,df_extratos!G:G,"CREDITO")
+SUMIFS(df_extratos!I:I,df_extratos!F:F,"&gt;="&amp;Conciliacao!A698, df_extratos!F:F,"&lt;"&amp;Conciliacao!A698+1, df_extratos!G:G,"CREDITO")
+SUMIFS(df_extratos!I:I,df_extratos!F:F,"&gt;="&amp;Conciliacao!BF698,df_extratos!F:F,"&lt;"&amp;Conciliacao!BF698+1,df_extratos!G:G,"CREDITO")
+SUMIFS(df_extratos!I:I,df_extratos!F:F,"&gt;="&amp;Conciliacao!BG698,df_extratos!F:F,"&lt;"&amp;Conciliacao!BG698+1,df_extratos!G:G,"CREDITO")
+SUMIFS(df_extratos!I:I,df_extratos!F:F,"&gt;="&amp;Conciliacao!BH698,df_extratos!F:F,"&lt;"&amp;Conciliacao!BH698+1,df_extratos!G:G,"CREDITO")</f>
        <v/>
      </c>
      <c r="I698" s="9">
        <f>H698-SUM(B698:G698)</f>
        <v/>
      </c>
      <c r="J698" s="4">
        <f>SUMIFS(df_blueme_sem_parcelamento!E:E,df_blueme_sem_parcelamento!H:H,Conciliacao!A698)*(-1)</f>
        <v/>
      </c>
      <c r="K698" s="4">
        <f>SUMIFS(df_blueme_com_parcelamento!J:J,df_blueme_com_parcelamento!M:M,Conciliacao!A698)*(-1)</f>
        <v/>
      </c>
      <c r="L698" s="4">
        <f>SUMIFS(df_mutuos!N:N,df_mutuos!B:B,Conciliacao!A698)*(-1)</f>
        <v/>
      </c>
      <c r="M698" s="8">
        <f>SUMIFS(df_bloqueios_judiciais!G:G,df_bloqueios_judiciais!D:D,Conciliacao!A698,df_bloqueios_judiciais!G:G,"&lt;0")</f>
        <v/>
      </c>
      <c r="N698" s="10">
        <f>SUMIFS(df_extratos!I:I,df_extratos!F:F,"&gt;="&amp;Conciliacao!BE698,df_extratos!F:F,"&lt;"&amp;Conciliacao!BE698+1,df_extratos!G:G,"DEBITO")
+SUMIFS(df_extratos!I:I,df_extratos!F:F,"&gt;="&amp;Conciliacao!A698, df_extratos!F:F,"&lt;"&amp;Conciliacao!A698+1, df_extratos!G:G,"DEBITO")
+SUMIFS(df_extratos!I:I,df_extratos!F:F,"&gt;="&amp;Conciliacao!BF698,df_extratos!F:F,"&lt;"&amp;Conciliacao!BF698+1,df_extratos!G:G,"DEBITO")
+SUMIFS(df_extratos!I:I,df_extratos!F:F,"&gt;="&amp;Conciliacao!BG698,df_extratos!F:F,"&lt;"&amp;Conciliacao!BG698+1,df_extratos!G:G,"DEBITO")
+SUMIFS(df_extratos!I:I,df_extratos!F:F,"&gt;="&amp;Conciliacao!BH698,df_extratos!F:F,"&lt;"&amp;Conciliacao!BH698+1,df_extratos!G:G,"DEBITO")</f>
        <v/>
      </c>
      <c r="O698" s="11">
        <f>N698-SUM(J698:M698)</f>
        <v/>
      </c>
      <c r="P698" s="25">
        <f>SUMIFS(df_ajustes_conciliaco!D:D,df_ajustes_conciliaco!C:C,Conciliacao!A698)</f>
        <v/>
      </c>
      <c r="Q698" s="22">
        <f>O698+I698-P698</f>
        <v/>
      </c>
    </row>
    <row r="699">
      <c r="A699" s="5">
        <f>A698+1</f>
        <v/>
      </c>
      <c r="B699" s="3">
        <f>-SUMIFS(df_extrato_zig!G:G,df_extrato_zig!E:E,Conciliacao!A699,df_extrato_zig!D:D,"Saque")-SUMIFS(df_extrato_zig!G:G,df_extrato_zig!E:E,Conciliacao!A699,df_extrato_zig!D:D,"Antecipação")</f>
        <v/>
      </c>
      <c r="C699" s="3">
        <f>SUMIFS(df_extrato_zig!E:E,df_extrato_zig!L:L,Conciliacao!A699,df_extrato_zig!F:F,"DINHEIRO")</f>
        <v/>
      </c>
      <c r="D699" s="3">
        <f>SUMIFS(view_parc_agrup!H:H,view_parc_agrup!G:G,Conciliacao!A699)</f>
        <v/>
      </c>
      <c r="E699" s="3">
        <f>SUMIFS(df_eventos!F:F,df_eventos!H:H,Conciliacao!A699)</f>
        <v/>
      </c>
      <c r="F699" s="3">
        <f>SUMIFS(df_mutuos!M:M,df_mutuos!B:B,Conciliacao!A699)</f>
        <v/>
      </c>
      <c r="G699" s="6">
        <f>SUMIFS(df_bloqueios_judiciais!G:G,df_bloqueios_judiciais!D:D,Conciliacao!A699,df_bloqueios_judiciais!G:G,"&gt;0")</f>
        <v/>
      </c>
      <c r="H699" s="7">
        <f>SUMIFS(df_extratos!I:I,df_extratos!F:F,"&gt;="&amp;Conciliacao!BE699,df_extratos!F:F,"&lt;"&amp;Conciliacao!BE699+1,df_extratos!G:G,"CREDITO")
+SUMIFS(df_extratos!I:I,df_extratos!F:F,"&gt;="&amp;Conciliacao!A699, df_extratos!F:F,"&lt;"&amp;Conciliacao!A699+1, df_extratos!G:G,"CREDITO")
+SUMIFS(df_extratos!I:I,df_extratos!F:F,"&gt;="&amp;Conciliacao!BF699,df_extratos!F:F,"&lt;"&amp;Conciliacao!BF699+1,df_extratos!G:G,"CREDITO")
+SUMIFS(df_extratos!I:I,df_extratos!F:F,"&gt;="&amp;Conciliacao!BG699,df_extratos!F:F,"&lt;"&amp;Conciliacao!BG699+1,df_extratos!G:G,"CREDITO")
+SUMIFS(df_extratos!I:I,df_extratos!F:F,"&gt;="&amp;Conciliacao!BH699,df_extratos!F:F,"&lt;"&amp;Conciliacao!BH699+1,df_extratos!G:G,"CREDITO")</f>
        <v/>
      </c>
      <c r="I699" s="9">
        <f>H699-SUM(B699:G699)</f>
        <v/>
      </c>
      <c r="J699" s="4">
        <f>SUMIFS(df_blueme_sem_parcelamento!E:E,df_blueme_sem_parcelamento!H:H,Conciliacao!A699)*(-1)</f>
        <v/>
      </c>
      <c r="K699" s="4">
        <f>SUMIFS(df_blueme_com_parcelamento!J:J,df_blueme_com_parcelamento!M:M,Conciliacao!A699)*(-1)</f>
        <v/>
      </c>
      <c r="L699" s="4">
        <f>SUMIFS(df_mutuos!N:N,df_mutuos!B:B,Conciliacao!A699)*(-1)</f>
        <v/>
      </c>
      <c r="M699" s="8">
        <f>SUMIFS(df_bloqueios_judiciais!G:G,df_bloqueios_judiciais!D:D,Conciliacao!A699,df_bloqueios_judiciais!G:G,"&lt;0")</f>
        <v/>
      </c>
      <c r="N699" s="10">
        <f>SUMIFS(df_extratos!I:I,df_extratos!F:F,"&gt;="&amp;Conciliacao!BE699,df_extratos!F:F,"&lt;"&amp;Conciliacao!BE699+1,df_extratos!G:G,"DEBITO")
+SUMIFS(df_extratos!I:I,df_extratos!F:F,"&gt;="&amp;Conciliacao!A699, df_extratos!F:F,"&lt;"&amp;Conciliacao!A699+1, df_extratos!G:G,"DEBITO")
+SUMIFS(df_extratos!I:I,df_extratos!F:F,"&gt;="&amp;Conciliacao!BF699,df_extratos!F:F,"&lt;"&amp;Conciliacao!BF699+1,df_extratos!G:G,"DEBITO")
+SUMIFS(df_extratos!I:I,df_extratos!F:F,"&gt;="&amp;Conciliacao!BG699,df_extratos!F:F,"&lt;"&amp;Conciliacao!BG699+1,df_extratos!G:G,"DEBITO")
+SUMIFS(df_extratos!I:I,df_extratos!F:F,"&gt;="&amp;Conciliacao!BH699,df_extratos!F:F,"&lt;"&amp;Conciliacao!BH699+1,df_extratos!G:G,"DEBITO")</f>
        <v/>
      </c>
      <c r="O699" s="11">
        <f>N699-SUM(J699:M699)</f>
        <v/>
      </c>
      <c r="P699" s="25">
        <f>SUMIFS(df_ajustes_conciliaco!D:D,df_ajustes_conciliaco!C:C,Conciliacao!A699)</f>
        <v/>
      </c>
      <c r="Q699" s="22">
        <f>O699+I699-P699</f>
        <v/>
      </c>
    </row>
    <row r="700">
      <c r="A700" s="5">
        <f>A699+1</f>
        <v/>
      </c>
      <c r="B700" s="3">
        <f>-SUMIFS(df_extrato_zig!G:G,df_extrato_zig!E:E,Conciliacao!A700,df_extrato_zig!D:D,"Saque")-SUMIFS(df_extrato_zig!G:G,df_extrato_zig!E:E,Conciliacao!A700,df_extrato_zig!D:D,"Antecipação")</f>
        <v/>
      </c>
      <c r="C700" s="3">
        <f>SUMIFS(df_extrato_zig!E:E,df_extrato_zig!L:L,Conciliacao!A700,df_extrato_zig!F:F,"DINHEIRO")</f>
        <v/>
      </c>
      <c r="D700" s="3">
        <f>SUMIFS(view_parc_agrup!H:H,view_parc_agrup!G:G,Conciliacao!A700)</f>
        <v/>
      </c>
      <c r="E700" s="3">
        <f>SUMIFS(df_eventos!F:F,df_eventos!H:H,Conciliacao!A700)</f>
        <v/>
      </c>
      <c r="F700" s="3">
        <f>SUMIFS(df_mutuos!M:M,df_mutuos!B:B,Conciliacao!A700)</f>
        <v/>
      </c>
      <c r="G700" s="6">
        <f>SUMIFS(df_bloqueios_judiciais!G:G,df_bloqueios_judiciais!D:D,Conciliacao!A700,df_bloqueios_judiciais!G:G,"&gt;0")</f>
        <v/>
      </c>
      <c r="H700" s="7">
        <f>SUMIFS(df_extratos!I:I,df_extratos!F:F,"&gt;="&amp;Conciliacao!BE700,df_extratos!F:F,"&lt;"&amp;Conciliacao!BE700+1,df_extratos!G:G,"CREDITO")
+SUMIFS(df_extratos!I:I,df_extratos!F:F,"&gt;="&amp;Conciliacao!A700, df_extratos!F:F,"&lt;"&amp;Conciliacao!A700+1, df_extratos!G:G,"CREDITO")
+SUMIFS(df_extratos!I:I,df_extratos!F:F,"&gt;="&amp;Conciliacao!BF700,df_extratos!F:F,"&lt;"&amp;Conciliacao!BF700+1,df_extratos!G:G,"CREDITO")
+SUMIFS(df_extratos!I:I,df_extratos!F:F,"&gt;="&amp;Conciliacao!BG700,df_extratos!F:F,"&lt;"&amp;Conciliacao!BG700+1,df_extratos!G:G,"CREDITO")
+SUMIFS(df_extratos!I:I,df_extratos!F:F,"&gt;="&amp;Conciliacao!BH700,df_extratos!F:F,"&lt;"&amp;Conciliacao!BH700+1,df_extratos!G:G,"CREDITO")</f>
        <v/>
      </c>
      <c r="I700" s="9">
        <f>H700-SUM(B700:G700)</f>
        <v/>
      </c>
      <c r="J700" s="4">
        <f>SUMIFS(df_blueme_sem_parcelamento!E:E,df_blueme_sem_parcelamento!H:H,Conciliacao!A700)*(-1)</f>
        <v/>
      </c>
      <c r="K700" s="4">
        <f>SUMIFS(df_blueme_com_parcelamento!J:J,df_blueme_com_parcelamento!M:M,Conciliacao!A700)*(-1)</f>
        <v/>
      </c>
      <c r="L700" s="4">
        <f>SUMIFS(df_mutuos!N:N,df_mutuos!B:B,Conciliacao!A700)*(-1)</f>
        <v/>
      </c>
      <c r="M700" s="8">
        <f>SUMIFS(df_bloqueios_judiciais!G:G,df_bloqueios_judiciais!D:D,Conciliacao!A700,df_bloqueios_judiciais!G:G,"&lt;0")</f>
        <v/>
      </c>
      <c r="N700" s="10">
        <f>SUMIFS(df_extratos!I:I,df_extratos!F:F,"&gt;="&amp;Conciliacao!BE700,df_extratos!F:F,"&lt;"&amp;Conciliacao!BE700+1,df_extratos!G:G,"DEBITO")
+SUMIFS(df_extratos!I:I,df_extratos!F:F,"&gt;="&amp;Conciliacao!A700, df_extratos!F:F,"&lt;"&amp;Conciliacao!A700+1, df_extratos!G:G,"DEBITO")
+SUMIFS(df_extratos!I:I,df_extratos!F:F,"&gt;="&amp;Conciliacao!BF700,df_extratos!F:F,"&lt;"&amp;Conciliacao!BF700+1,df_extratos!G:G,"DEBITO")
+SUMIFS(df_extratos!I:I,df_extratos!F:F,"&gt;="&amp;Conciliacao!BG700,df_extratos!F:F,"&lt;"&amp;Conciliacao!BG700+1,df_extratos!G:G,"DEBITO")
+SUMIFS(df_extratos!I:I,df_extratos!F:F,"&gt;="&amp;Conciliacao!BH700,df_extratos!F:F,"&lt;"&amp;Conciliacao!BH700+1,df_extratos!G:G,"DEBITO")</f>
        <v/>
      </c>
      <c r="O700" s="11">
        <f>N700-SUM(J700:M700)</f>
        <v/>
      </c>
      <c r="P700" s="25">
        <f>SUMIFS(df_ajustes_conciliaco!D:D,df_ajustes_conciliaco!C:C,Conciliacao!A700)</f>
        <v/>
      </c>
      <c r="Q700" s="22">
        <f>O700+I700-P700</f>
        <v/>
      </c>
    </row>
    <row r="701">
      <c r="A701" s="5">
        <f>A700+1</f>
        <v/>
      </c>
      <c r="B701" s="3">
        <f>-SUMIFS(df_extrato_zig!G:G,df_extrato_zig!E:E,Conciliacao!A701,df_extrato_zig!D:D,"Saque")-SUMIFS(df_extrato_zig!G:G,df_extrato_zig!E:E,Conciliacao!A701,df_extrato_zig!D:D,"Antecipação")</f>
        <v/>
      </c>
      <c r="C701" s="3">
        <f>SUMIFS(df_extrato_zig!E:E,df_extrato_zig!L:L,Conciliacao!A701,df_extrato_zig!F:F,"DINHEIRO")</f>
        <v/>
      </c>
      <c r="D701" s="3">
        <f>SUMIFS(view_parc_agrup!H:H,view_parc_agrup!G:G,Conciliacao!A701)</f>
        <v/>
      </c>
      <c r="E701" s="3">
        <f>SUMIFS(df_eventos!F:F,df_eventos!H:H,Conciliacao!A701)</f>
        <v/>
      </c>
      <c r="F701" s="3">
        <f>SUMIFS(df_mutuos!M:M,df_mutuos!B:B,Conciliacao!A701)</f>
        <v/>
      </c>
      <c r="G701" s="6">
        <f>SUMIFS(df_bloqueios_judiciais!G:G,df_bloqueios_judiciais!D:D,Conciliacao!A701,df_bloqueios_judiciais!G:G,"&gt;0")</f>
        <v/>
      </c>
      <c r="H701" s="7">
        <f>SUMIFS(df_extratos!I:I,df_extratos!F:F,"&gt;="&amp;Conciliacao!BE701,df_extratos!F:F,"&lt;"&amp;Conciliacao!BE701+1,df_extratos!G:G,"CREDITO")
+SUMIFS(df_extratos!I:I,df_extratos!F:F,"&gt;="&amp;Conciliacao!A701, df_extratos!F:F,"&lt;"&amp;Conciliacao!A701+1, df_extratos!G:G,"CREDITO")
+SUMIFS(df_extratos!I:I,df_extratos!F:F,"&gt;="&amp;Conciliacao!BF701,df_extratos!F:F,"&lt;"&amp;Conciliacao!BF701+1,df_extratos!G:G,"CREDITO")
+SUMIFS(df_extratos!I:I,df_extratos!F:F,"&gt;="&amp;Conciliacao!BG701,df_extratos!F:F,"&lt;"&amp;Conciliacao!BG701+1,df_extratos!G:G,"CREDITO")
+SUMIFS(df_extratos!I:I,df_extratos!F:F,"&gt;="&amp;Conciliacao!BH701,df_extratos!F:F,"&lt;"&amp;Conciliacao!BH701+1,df_extratos!G:G,"CREDITO")</f>
        <v/>
      </c>
      <c r="I701" s="9">
        <f>H701-SUM(B701:G701)</f>
        <v/>
      </c>
      <c r="J701" s="4">
        <f>SUMIFS(df_blueme_sem_parcelamento!E:E,df_blueme_sem_parcelamento!H:H,Conciliacao!A701)*(-1)</f>
        <v/>
      </c>
      <c r="K701" s="4">
        <f>SUMIFS(df_blueme_com_parcelamento!J:J,df_blueme_com_parcelamento!M:M,Conciliacao!A701)*(-1)</f>
        <v/>
      </c>
      <c r="L701" s="4">
        <f>SUMIFS(df_mutuos!N:N,df_mutuos!B:B,Conciliacao!A701)*(-1)</f>
        <v/>
      </c>
      <c r="M701" s="8">
        <f>SUMIFS(df_bloqueios_judiciais!G:G,df_bloqueios_judiciais!D:D,Conciliacao!A701,df_bloqueios_judiciais!G:G,"&lt;0")</f>
        <v/>
      </c>
      <c r="N701" s="10">
        <f>SUMIFS(df_extratos!I:I,df_extratos!F:F,"&gt;="&amp;Conciliacao!BE701,df_extratos!F:F,"&lt;"&amp;Conciliacao!BE701+1,df_extratos!G:G,"DEBITO")
+SUMIFS(df_extratos!I:I,df_extratos!F:F,"&gt;="&amp;Conciliacao!A701, df_extratos!F:F,"&lt;"&amp;Conciliacao!A701+1, df_extratos!G:G,"DEBITO")
+SUMIFS(df_extratos!I:I,df_extratos!F:F,"&gt;="&amp;Conciliacao!BF701,df_extratos!F:F,"&lt;"&amp;Conciliacao!BF701+1,df_extratos!G:G,"DEBITO")
+SUMIFS(df_extratos!I:I,df_extratos!F:F,"&gt;="&amp;Conciliacao!BG701,df_extratos!F:F,"&lt;"&amp;Conciliacao!BG701+1,df_extratos!G:G,"DEBITO")
+SUMIFS(df_extratos!I:I,df_extratos!F:F,"&gt;="&amp;Conciliacao!BH701,df_extratos!F:F,"&lt;"&amp;Conciliacao!BH701+1,df_extratos!G:G,"DEBITO")</f>
        <v/>
      </c>
      <c r="O701" s="11">
        <f>N701-SUM(J701:M701)</f>
        <v/>
      </c>
      <c r="P701" s="25">
        <f>SUMIFS(df_ajustes_conciliaco!D:D,df_ajustes_conciliaco!C:C,Conciliacao!A701)</f>
        <v/>
      </c>
      <c r="Q701" s="22">
        <f>O701+I701-P701</f>
        <v/>
      </c>
    </row>
    <row r="702">
      <c r="A702" s="5">
        <f>A701+1</f>
        <v/>
      </c>
      <c r="B702" s="3">
        <f>-SUMIFS(df_extrato_zig!G:G,df_extrato_zig!E:E,Conciliacao!A702,df_extrato_zig!D:D,"Saque")-SUMIFS(df_extrato_zig!G:G,df_extrato_zig!E:E,Conciliacao!A702,df_extrato_zig!D:D,"Antecipação")</f>
        <v/>
      </c>
      <c r="C702" s="3">
        <f>SUMIFS(df_extrato_zig!E:E,df_extrato_zig!L:L,Conciliacao!A702,df_extrato_zig!F:F,"DINHEIRO")</f>
        <v/>
      </c>
      <c r="D702" s="3">
        <f>SUMIFS(view_parc_agrup!H:H,view_parc_agrup!G:G,Conciliacao!A702)</f>
        <v/>
      </c>
      <c r="E702" s="3">
        <f>SUMIFS(df_eventos!F:F,df_eventos!H:H,Conciliacao!A702)</f>
        <v/>
      </c>
      <c r="F702" s="3">
        <f>SUMIFS(df_mutuos!M:M,df_mutuos!B:B,Conciliacao!A702)</f>
        <v/>
      </c>
      <c r="G702" s="6">
        <f>SUMIFS(df_bloqueios_judiciais!G:G,df_bloqueios_judiciais!D:D,Conciliacao!A702,df_bloqueios_judiciais!G:G,"&gt;0")</f>
        <v/>
      </c>
      <c r="H702" s="7">
        <f>SUMIFS(df_extratos!I:I,df_extratos!F:F,"&gt;="&amp;Conciliacao!BE702,df_extratos!F:F,"&lt;"&amp;Conciliacao!BE702+1,df_extratos!G:G,"CREDITO")
+SUMIFS(df_extratos!I:I,df_extratos!F:F,"&gt;="&amp;Conciliacao!A702, df_extratos!F:F,"&lt;"&amp;Conciliacao!A702+1, df_extratos!G:G,"CREDITO")
+SUMIFS(df_extratos!I:I,df_extratos!F:F,"&gt;="&amp;Conciliacao!BF702,df_extratos!F:F,"&lt;"&amp;Conciliacao!BF702+1,df_extratos!G:G,"CREDITO")
+SUMIFS(df_extratos!I:I,df_extratos!F:F,"&gt;="&amp;Conciliacao!BG702,df_extratos!F:F,"&lt;"&amp;Conciliacao!BG702+1,df_extratos!G:G,"CREDITO")
+SUMIFS(df_extratos!I:I,df_extratos!F:F,"&gt;="&amp;Conciliacao!BH702,df_extratos!F:F,"&lt;"&amp;Conciliacao!BH702+1,df_extratos!G:G,"CREDITO")</f>
        <v/>
      </c>
      <c r="I702" s="9">
        <f>H702-SUM(B702:G702)</f>
        <v/>
      </c>
      <c r="J702" s="4">
        <f>SUMIFS(df_blueme_sem_parcelamento!E:E,df_blueme_sem_parcelamento!H:H,Conciliacao!A702)*(-1)</f>
        <v/>
      </c>
      <c r="K702" s="4">
        <f>SUMIFS(df_blueme_com_parcelamento!J:J,df_blueme_com_parcelamento!M:M,Conciliacao!A702)*(-1)</f>
        <v/>
      </c>
      <c r="L702" s="4">
        <f>SUMIFS(df_mutuos!N:N,df_mutuos!B:B,Conciliacao!A702)*(-1)</f>
        <v/>
      </c>
      <c r="M702" s="8">
        <f>SUMIFS(df_bloqueios_judiciais!G:G,df_bloqueios_judiciais!D:D,Conciliacao!A702,df_bloqueios_judiciais!G:G,"&lt;0")</f>
        <v/>
      </c>
      <c r="N702" s="10">
        <f>SUMIFS(df_extratos!I:I,df_extratos!F:F,"&gt;="&amp;Conciliacao!BE702,df_extratos!F:F,"&lt;"&amp;Conciliacao!BE702+1,df_extratos!G:G,"DEBITO")
+SUMIFS(df_extratos!I:I,df_extratos!F:F,"&gt;="&amp;Conciliacao!A702, df_extratos!F:F,"&lt;"&amp;Conciliacao!A702+1, df_extratos!G:G,"DEBITO")
+SUMIFS(df_extratos!I:I,df_extratos!F:F,"&gt;="&amp;Conciliacao!BF702,df_extratos!F:F,"&lt;"&amp;Conciliacao!BF702+1,df_extratos!G:G,"DEBITO")
+SUMIFS(df_extratos!I:I,df_extratos!F:F,"&gt;="&amp;Conciliacao!BG702,df_extratos!F:F,"&lt;"&amp;Conciliacao!BG702+1,df_extratos!G:G,"DEBITO")
+SUMIFS(df_extratos!I:I,df_extratos!F:F,"&gt;="&amp;Conciliacao!BH702,df_extratos!F:F,"&lt;"&amp;Conciliacao!BH702+1,df_extratos!G:G,"DEBITO")</f>
        <v/>
      </c>
      <c r="O702" s="11">
        <f>N702-SUM(J702:M702)</f>
        <v/>
      </c>
      <c r="P702" s="25">
        <f>SUMIFS(df_ajustes_conciliaco!D:D,df_ajustes_conciliaco!C:C,Conciliacao!A702)</f>
        <v/>
      </c>
      <c r="Q702" s="22">
        <f>O702+I702-P702</f>
        <v/>
      </c>
    </row>
    <row r="703">
      <c r="A703" s="5">
        <f>A702+1</f>
        <v/>
      </c>
      <c r="B703" s="3">
        <f>-SUMIFS(df_extrato_zig!G:G,df_extrato_zig!E:E,Conciliacao!A703,df_extrato_zig!D:D,"Saque")-SUMIFS(df_extrato_zig!G:G,df_extrato_zig!E:E,Conciliacao!A703,df_extrato_zig!D:D,"Antecipação")</f>
        <v/>
      </c>
      <c r="C703" s="3">
        <f>SUMIFS(df_extrato_zig!E:E,df_extrato_zig!L:L,Conciliacao!A703,df_extrato_zig!F:F,"DINHEIRO")</f>
        <v/>
      </c>
      <c r="D703" s="3">
        <f>SUMIFS(view_parc_agrup!H:H,view_parc_agrup!G:G,Conciliacao!A703)</f>
        <v/>
      </c>
      <c r="E703" s="3">
        <f>SUMIFS(df_eventos!F:F,df_eventos!H:H,Conciliacao!A703)</f>
        <v/>
      </c>
      <c r="F703" s="3">
        <f>SUMIFS(df_mutuos!M:M,df_mutuos!B:B,Conciliacao!A703)</f>
        <v/>
      </c>
      <c r="G703" s="6">
        <f>SUMIFS(df_bloqueios_judiciais!G:G,df_bloqueios_judiciais!D:D,Conciliacao!A703,df_bloqueios_judiciais!G:G,"&gt;0")</f>
        <v/>
      </c>
      <c r="H703" s="7">
        <f>SUMIFS(df_extratos!I:I,df_extratos!F:F,"&gt;="&amp;Conciliacao!BE703,df_extratos!F:F,"&lt;"&amp;Conciliacao!BE703+1,df_extratos!G:G,"CREDITO")
+SUMIFS(df_extratos!I:I,df_extratos!F:F,"&gt;="&amp;Conciliacao!A703, df_extratos!F:F,"&lt;"&amp;Conciliacao!A703+1, df_extratos!G:G,"CREDITO")
+SUMIFS(df_extratos!I:I,df_extratos!F:F,"&gt;="&amp;Conciliacao!BF703,df_extratos!F:F,"&lt;"&amp;Conciliacao!BF703+1,df_extratos!G:G,"CREDITO")
+SUMIFS(df_extratos!I:I,df_extratos!F:F,"&gt;="&amp;Conciliacao!BG703,df_extratos!F:F,"&lt;"&amp;Conciliacao!BG703+1,df_extratos!G:G,"CREDITO")
+SUMIFS(df_extratos!I:I,df_extratos!F:F,"&gt;="&amp;Conciliacao!BH703,df_extratos!F:F,"&lt;"&amp;Conciliacao!BH703+1,df_extratos!G:G,"CREDITO")</f>
        <v/>
      </c>
      <c r="I703" s="9">
        <f>H703-SUM(B703:G703)</f>
        <v/>
      </c>
      <c r="J703" s="4">
        <f>SUMIFS(df_blueme_sem_parcelamento!E:E,df_blueme_sem_parcelamento!H:H,Conciliacao!A703)*(-1)</f>
        <v/>
      </c>
      <c r="K703" s="4">
        <f>SUMIFS(df_blueme_com_parcelamento!J:J,df_blueme_com_parcelamento!M:M,Conciliacao!A703)*(-1)</f>
        <v/>
      </c>
      <c r="L703" s="4">
        <f>SUMIFS(df_mutuos!N:N,df_mutuos!B:B,Conciliacao!A703)*(-1)</f>
        <v/>
      </c>
      <c r="M703" s="8">
        <f>SUMIFS(df_bloqueios_judiciais!G:G,df_bloqueios_judiciais!D:D,Conciliacao!A703,df_bloqueios_judiciais!G:G,"&lt;0")</f>
        <v/>
      </c>
      <c r="N703" s="10">
        <f>SUMIFS(df_extratos!I:I,df_extratos!F:F,"&gt;="&amp;Conciliacao!BE703,df_extratos!F:F,"&lt;"&amp;Conciliacao!BE703+1,df_extratos!G:G,"DEBITO")
+SUMIFS(df_extratos!I:I,df_extratos!F:F,"&gt;="&amp;Conciliacao!A703, df_extratos!F:F,"&lt;"&amp;Conciliacao!A703+1, df_extratos!G:G,"DEBITO")
+SUMIFS(df_extratos!I:I,df_extratos!F:F,"&gt;="&amp;Conciliacao!BF703,df_extratos!F:F,"&lt;"&amp;Conciliacao!BF703+1,df_extratos!G:G,"DEBITO")
+SUMIFS(df_extratos!I:I,df_extratos!F:F,"&gt;="&amp;Conciliacao!BG703,df_extratos!F:F,"&lt;"&amp;Conciliacao!BG703+1,df_extratos!G:G,"DEBITO")
+SUMIFS(df_extratos!I:I,df_extratos!F:F,"&gt;="&amp;Conciliacao!BH703,df_extratos!F:F,"&lt;"&amp;Conciliacao!BH703+1,df_extratos!G:G,"DEBITO")</f>
        <v/>
      </c>
      <c r="O703" s="11">
        <f>N703-SUM(J703:M703)</f>
        <v/>
      </c>
      <c r="P703" s="25">
        <f>SUMIFS(df_ajustes_conciliaco!D:D,df_ajustes_conciliaco!C:C,Conciliacao!A703)</f>
        <v/>
      </c>
      <c r="Q703" s="22">
        <f>O703+I703-P703</f>
        <v/>
      </c>
    </row>
    <row r="704">
      <c r="A704" s="5">
        <f>A703+1</f>
        <v/>
      </c>
      <c r="B704" s="3">
        <f>-SUMIFS(df_extrato_zig!G:G,df_extrato_zig!E:E,Conciliacao!A704,df_extrato_zig!D:D,"Saque")-SUMIFS(df_extrato_zig!G:G,df_extrato_zig!E:E,Conciliacao!A704,df_extrato_zig!D:D,"Antecipação")</f>
        <v/>
      </c>
      <c r="C704" s="3">
        <f>SUMIFS(df_extrato_zig!E:E,df_extrato_zig!L:L,Conciliacao!A704,df_extrato_zig!F:F,"DINHEIRO")</f>
        <v/>
      </c>
      <c r="D704" s="3">
        <f>SUMIFS(view_parc_agrup!H:H,view_parc_agrup!G:G,Conciliacao!A704)</f>
        <v/>
      </c>
      <c r="E704" s="3">
        <f>SUMIFS(df_eventos!F:F,df_eventos!H:H,Conciliacao!A704)</f>
        <v/>
      </c>
      <c r="F704" s="3">
        <f>SUMIFS(df_mutuos!M:M,df_mutuos!B:B,Conciliacao!A704)</f>
        <v/>
      </c>
      <c r="G704" s="6">
        <f>SUMIFS(df_bloqueios_judiciais!G:G,df_bloqueios_judiciais!D:D,Conciliacao!A704,df_bloqueios_judiciais!G:G,"&gt;0")</f>
        <v/>
      </c>
      <c r="H704" s="7">
        <f>SUMIFS(df_extratos!I:I,df_extratos!F:F,"&gt;="&amp;Conciliacao!BE704,df_extratos!F:F,"&lt;"&amp;Conciliacao!BE704+1,df_extratos!G:G,"CREDITO")
+SUMIFS(df_extratos!I:I,df_extratos!F:F,"&gt;="&amp;Conciliacao!A704, df_extratos!F:F,"&lt;"&amp;Conciliacao!A704+1, df_extratos!G:G,"CREDITO")
+SUMIFS(df_extratos!I:I,df_extratos!F:F,"&gt;="&amp;Conciliacao!BF704,df_extratos!F:F,"&lt;"&amp;Conciliacao!BF704+1,df_extratos!G:G,"CREDITO")
+SUMIFS(df_extratos!I:I,df_extratos!F:F,"&gt;="&amp;Conciliacao!BG704,df_extratos!F:F,"&lt;"&amp;Conciliacao!BG704+1,df_extratos!G:G,"CREDITO")
+SUMIFS(df_extratos!I:I,df_extratos!F:F,"&gt;="&amp;Conciliacao!BH704,df_extratos!F:F,"&lt;"&amp;Conciliacao!BH704+1,df_extratos!G:G,"CREDITO")</f>
        <v/>
      </c>
      <c r="I704" s="9">
        <f>H704-SUM(B704:G704)</f>
        <v/>
      </c>
      <c r="J704" s="4">
        <f>SUMIFS(df_blueme_sem_parcelamento!E:E,df_blueme_sem_parcelamento!H:H,Conciliacao!A704)*(-1)</f>
        <v/>
      </c>
      <c r="K704" s="4">
        <f>SUMIFS(df_blueme_com_parcelamento!J:J,df_blueme_com_parcelamento!M:M,Conciliacao!A704)*(-1)</f>
        <v/>
      </c>
      <c r="L704" s="4">
        <f>SUMIFS(df_mutuos!N:N,df_mutuos!B:B,Conciliacao!A704)*(-1)</f>
        <v/>
      </c>
      <c r="M704" s="8">
        <f>SUMIFS(df_bloqueios_judiciais!G:G,df_bloqueios_judiciais!D:D,Conciliacao!A704,df_bloqueios_judiciais!G:G,"&lt;0")</f>
        <v/>
      </c>
      <c r="N704" s="10">
        <f>SUMIFS(df_extratos!I:I,df_extratos!F:F,"&gt;="&amp;Conciliacao!BE704,df_extratos!F:F,"&lt;"&amp;Conciliacao!BE704+1,df_extratos!G:G,"DEBITO")
+SUMIFS(df_extratos!I:I,df_extratos!F:F,"&gt;="&amp;Conciliacao!A704, df_extratos!F:F,"&lt;"&amp;Conciliacao!A704+1, df_extratos!G:G,"DEBITO")
+SUMIFS(df_extratos!I:I,df_extratos!F:F,"&gt;="&amp;Conciliacao!BF704,df_extratos!F:F,"&lt;"&amp;Conciliacao!BF704+1,df_extratos!G:G,"DEBITO")
+SUMIFS(df_extratos!I:I,df_extratos!F:F,"&gt;="&amp;Conciliacao!BG704,df_extratos!F:F,"&lt;"&amp;Conciliacao!BG704+1,df_extratos!G:G,"DEBITO")
+SUMIFS(df_extratos!I:I,df_extratos!F:F,"&gt;="&amp;Conciliacao!BH704,df_extratos!F:F,"&lt;"&amp;Conciliacao!BH704+1,df_extratos!G:G,"DEBITO")</f>
        <v/>
      </c>
      <c r="O704" s="11">
        <f>N704-SUM(J704:M704)</f>
        <v/>
      </c>
      <c r="P704" s="25">
        <f>SUMIFS(df_ajustes_conciliaco!D:D,df_ajustes_conciliaco!C:C,Conciliacao!A704)</f>
        <v/>
      </c>
      <c r="Q704" s="22">
        <f>O704+I704-P704</f>
        <v/>
      </c>
    </row>
    <row r="705">
      <c r="A705" s="5">
        <f>A704+1</f>
        <v/>
      </c>
      <c r="B705" s="3">
        <f>-SUMIFS(df_extrato_zig!G:G,df_extrato_zig!E:E,Conciliacao!A705,df_extrato_zig!D:D,"Saque")-SUMIFS(df_extrato_zig!G:G,df_extrato_zig!E:E,Conciliacao!A705,df_extrato_zig!D:D,"Antecipação")</f>
        <v/>
      </c>
      <c r="C705" s="3">
        <f>SUMIFS(df_extrato_zig!E:E,df_extrato_zig!L:L,Conciliacao!A705,df_extrato_zig!F:F,"DINHEIRO")</f>
        <v/>
      </c>
      <c r="D705" s="3">
        <f>SUMIFS(view_parc_agrup!H:H,view_parc_agrup!G:G,Conciliacao!A705)</f>
        <v/>
      </c>
      <c r="E705" s="3">
        <f>SUMIFS(df_eventos!F:F,df_eventos!H:H,Conciliacao!A705)</f>
        <v/>
      </c>
      <c r="F705" s="3">
        <f>SUMIFS(df_mutuos!M:M,df_mutuos!B:B,Conciliacao!A705)</f>
        <v/>
      </c>
      <c r="G705" s="6">
        <f>SUMIFS(df_bloqueios_judiciais!G:G,df_bloqueios_judiciais!D:D,Conciliacao!A705,df_bloqueios_judiciais!G:G,"&gt;0")</f>
        <v/>
      </c>
      <c r="H705" s="7">
        <f>SUMIFS(df_extratos!I:I,df_extratos!F:F,"&gt;="&amp;Conciliacao!BE705,df_extratos!F:F,"&lt;"&amp;Conciliacao!BE705+1,df_extratos!G:G,"CREDITO")
+SUMIFS(df_extratos!I:I,df_extratos!F:F,"&gt;="&amp;Conciliacao!A705, df_extratos!F:F,"&lt;"&amp;Conciliacao!A705+1, df_extratos!G:G,"CREDITO")
+SUMIFS(df_extratos!I:I,df_extratos!F:F,"&gt;="&amp;Conciliacao!BF705,df_extratos!F:F,"&lt;"&amp;Conciliacao!BF705+1,df_extratos!G:G,"CREDITO")
+SUMIFS(df_extratos!I:I,df_extratos!F:F,"&gt;="&amp;Conciliacao!BG705,df_extratos!F:F,"&lt;"&amp;Conciliacao!BG705+1,df_extratos!G:G,"CREDITO")
+SUMIFS(df_extratos!I:I,df_extratos!F:F,"&gt;="&amp;Conciliacao!BH705,df_extratos!F:F,"&lt;"&amp;Conciliacao!BH705+1,df_extratos!G:G,"CREDITO")</f>
        <v/>
      </c>
      <c r="I705" s="9">
        <f>H705-SUM(B705:G705)</f>
        <v/>
      </c>
      <c r="J705" s="4">
        <f>SUMIFS(df_blueme_sem_parcelamento!E:E,df_blueme_sem_parcelamento!H:H,Conciliacao!A705)*(-1)</f>
        <v/>
      </c>
      <c r="K705" s="4">
        <f>SUMIFS(df_blueme_com_parcelamento!J:J,df_blueme_com_parcelamento!M:M,Conciliacao!A705)*(-1)</f>
        <v/>
      </c>
      <c r="L705" s="4">
        <f>SUMIFS(df_mutuos!N:N,df_mutuos!B:B,Conciliacao!A705)*(-1)</f>
        <v/>
      </c>
      <c r="M705" s="8">
        <f>SUMIFS(df_bloqueios_judiciais!G:G,df_bloqueios_judiciais!D:D,Conciliacao!A705,df_bloqueios_judiciais!G:G,"&lt;0")</f>
        <v/>
      </c>
      <c r="N705" s="10">
        <f>SUMIFS(df_extratos!I:I,df_extratos!F:F,"&gt;="&amp;Conciliacao!BE705,df_extratos!F:F,"&lt;"&amp;Conciliacao!BE705+1,df_extratos!G:G,"DEBITO")
+SUMIFS(df_extratos!I:I,df_extratos!F:F,"&gt;="&amp;Conciliacao!A705, df_extratos!F:F,"&lt;"&amp;Conciliacao!A705+1, df_extratos!G:G,"DEBITO")
+SUMIFS(df_extratos!I:I,df_extratos!F:F,"&gt;="&amp;Conciliacao!BF705,df_extratos!F:F,"&lt;"&amp;Conciliacao!BF705+1,df_extratos!G:G,"DEBITO")
+SUMIFS(df_extratos!I:I,df_extratos!F:F,"&gt;="&amp;Conciliacao!BG705,df_extratos!F:F,"&lt;"&amp;Conciliacao!BG705+1,df_extratos!G:G,"DEBITO")
+SUMIFS(df_extratos!I:I,df_extratos!F:F,"&gt;="&amp;Conciliacao!BH705,df_extratos!F:F,"&lt;"&amp;Conciliacao!BH705+1,df_extratos!G:G,"DEBITO")</f>
        <v/>
      </c>
      <c r="O705" s="11">
        <f>N705-SUM(J705:M705)</f>
        <v/>
      </c>
      <c r="P705" s="25">
        <f>SUMIFS(df_ajustes_conciliaco!D:D,df_ajustes_conciliaco!C:C,Conciliacao!A705)</f>
        <v/>
      </c>
      <c r="Q705" s="22">
        <f>O705+I705-P705</f>
        <v/>
      </c>
    </row>
    <row r="706">
      <c r="A706" s="5">
        <f>A705+1</f>
        <v/>
      </c>
      <c r="B706" s="3">
        <f>-SUMIFS(df_extrato_zig!G:G,df_extrato_zig!E:E,Conciliacao!A706,df_extrato_zig!D:D,"Saque")-SUMIFS(df_extrato_zig!G:G,df_extrato_zig!E:E,Conciliacao!A706,df_extrato_zig!D:D,"Antecipação")</f>
        <v/>
      </c>
      <c r="C706" s="3">
        <f>SUMIFS(df_extrato_zig!E:E,df_extrato_zig!L:L,Conciliacao!A706,df_extrato_zig!F:F,"DINHEIRO")</f>
        <v/>
      </c>
      <c r="D706" s="3">
        <f>SUMIFS(view_parc_agrup!H:H,view_parc_agrup!G:G,Conciliacao!A706)</f>
        <v/>
      </c>
      <c r="E706" s="3">
        <f>SUMIFS(df_eventos!F:F,df_eventos!H:H,Conciliacao!A706)</f>
        <v/>
      </c>
      <c r="F706" s="3">
        <f>SUMIFS(df_mutuos!M:M,df_mutuos!B:B,Conciliacao!A706)</f>
        <v/>
      </c>
      <c r="G706" s="6">
        <f>SUMIFS(df_bloqueios_judiciais!G:G,df_bloqueios_judiciais!D:D,Conciliacao!A706,df_bloqueios_judiciais!G:G,"&gt;0")</f>
        <v/>
      </c>
      <c r="H706" s="7">
        <f>SUMIFS(df_extratos!I:I,df_extratos!F:F,"&gt;="&amp;Conciliacao!BE706,df_extratos!F:F,"&lt;"&amp;Conciliacao!BE706+1,df_extratos!G:G,"CREDITO")
+SUMIFS(df_extratos!I:I,df_extratos!F:F,"&gt;="&amp;Conciliacao!A706, df_extratos!F:F,"&lt;"&amp;Conciliacao!A706+1, df_extratos!G:G,"CREDITO")
+SUMIFS(df_extratos!I:I,df_extratos!F:F,"&gt;="&amp;Conciliacao!BF706,df_extratos!F:F,"&lt;"&amp;Conciliacao!BF706+1,df_extratos!G:G,"CREDITO")
+SUMIFS(df_extratos!I:I,df_extratos!F:F,"&gt;="&amp;Conciliacao!BG706,df_extratos!F:F,"&lt;"&amp;Conciliacao!BG706+1,df_extratos!G:G,"CREDITO")
+SUMIFS(df_extratos!I:I,df_extratos!F:F,"&gt;="&amp;Conciliacao!BH706,df_extratos!F:F,"&lt;"&amp;Conciliacao!BH706+1,df_extratos!G:G,"CREDITO")</f>
        <v/>
      </c>
      <c r="I706" s="9">
        <f>H706-SUM(B706:G706)</f>
        <v/>
      </c>
      <c r="J706" s="4">
        <f>SUMIFS(df_blueme_sem_parcelamento!E:E,df_blueme_sem_parcelamento!H:H,Conciliacao!A706)*(-1)</f>
        <v/>
      </c>
      <c r="K706" s="4">
        <f>SUMIFS(df_blueme_com_parcelamento!J:J,df_blueme_com_parcelamento!M:M,Conciliacao!A706)*(-1)</f>
        <v/>
      </c>
      <c r="L706" s="4">
        <f>SUMIFS(df_mutuos!N:N,df_mutuos!B:B,Conciliacao!A706)*(-1)</f>
        <v/>
      </c>
      <c r="M706" s="8">
        <f>SUMIFS(df_bloqueios_judiciais!G:G,df_bloqueios_judiciais!D:D,Conciliacao!A706,df_bloqueios_judiciais!G:G,"&lt;0")</f>
        <v/>
      </c>
      <c r="N706" s="10">
        <f>SUMIFS(df_extratos!I:I,df_extratos!F:F,"&gt;="&amp;Conciliacao!BE706,df_extratos!F:F,"&lt;"&amp;Conciliacao!BE706+1,df_extratos!G:G,"DEBITO")
+SUMIFS(df_extratos!I:I,df_extratos!F:F,"&gt;="&amp;Conciliacao!A706, df_extratos!F:F,"&lt;"&amp;Conciliacao!A706+1, df_extratos!G:G,"DEBITO")
+SUMIFS(df_extratos!I:I,df_extratos!F:F,"&gt;="&amp;Conciliacao!BF706,df_extratos!F:F,"&lt;"&amp;Conciliacao!BF706+1,df_extratos!G:G,"DEBITO")
+SUMIFS(df_extratos!I:I,df_extratos!F:F,"&gt;="&amp;Conciliacao!BG706,df_extratos!F:F,"&lt;"&amp;Conciliacao!BG706+1,df_extratos!G:G,"DEBITO")
+SUMIFS(df_extratos!I:I,df_extratos!F:F,"&gt;="&amp;Conciliacao!BH706,df_extratos!F:F,"&lt;"&amp;Conciliacao!BH706+1,df_extratos!G:G,"DEBITO")</f>
        <v/>
      </c>
      <c r="O706" s="11">
        <f>N706-SUM(J706:M706)</f>
        <v/>
      </c>
      <c r="P706" s="25">
        <f>SUMIFS(df_ajustes_conciliaco!D:D,df_ajustes_conciliaco!C:C,Conciliacao!A706)</f>
        <v/>
      </c>
      <c r="Q706" s="22">
        <f>O706+I706-P706</f>
        <v/>
      </c>
    </row>
    <row r="707">
      <c r="A707" s="5">
        <f>A706+1</f>
        <v/>
      </c>
      <c r="B707" s="3">
        <f>-SUMIFS(df_extrato_zig!G:G,df_extrato_zig!E:E,Conciliacao!A707,df_extrato_zig!D:D,"Saque")-SUMIFS(df_extrato_zig!G:G,df_extrato_zig!E:E,Conciliacao!A707,df_extrato_zig!D:D,"Antecipação")</f>
        <v/>
      </c>
      <c r="C707" s="3">
        <f>SUMIFS(df_extrato_zig!E:E,df_extrato_zig!L:L,Conciliacao!A707,df_extrato_zig!F:F,"DINHEIRO")</f>
        <v/>
      </c>
      <c r="D707" s="3">
        <f>SUMIFS(view_parc_agrup!H:H,view_parc_agrup!G:G,Conciliacao!A707)</f>
        <v/>
      </c>
      <c r="E707" s="3">
        <f>SUMIFS(df_eventos!F:F,df_eventos!H:H,Conciliacao!A707)</f>
        <v/>
      </c>
      <c r="F707" s="3">
        <f>SUMIFS(df_mutuos!M:M,df_mutuos!B:B,Conciliacao!A707)</f>
        <v/>
      </c>
      <c r="G707" s="6">
        <f>SUMIFS(df_bloqueios_judiciais!G:G,df_bloqueios_judiciais!D:D,Conciliacao!A707,df_bloqueios_judiciais!G:G,"&gt;0")</f>
        <v/>
      </c>
      <c r="H707" s="7">
        <f>SUMIFS(df_extratos!I:I,df_extratos!F:F,"&gt;="&amp;Conciliacao!BE707,df_extratos!F:F,"&lt;"&amp;Conciliacao!BE707+1,df_extratos!G:G,"CREDITO")
+SUMIFS(df_extratos!I:I,df_extratos!F:F,"&gt;="&amp;Conciliacao!A707, df_extratos!F:F,"&lt;"&amp;Conciliacao!A707+1, df_extratos!G:G,"CREDITO")
+SUMIFS(df_extratos!I:I,df_extratos!F:F,"&gt;="&amp;Conciliacao!BF707,df_extratos!F:F,"&lt;"&amp;Conciliacao!BF707+1,df_extratos!G:G,"CREDITO")
+SUMIFS(df_extratos!I:I,df_extratos!F:F,"&gt;="&amp;Conciliacao!BG707,df_extratos!F:F,"&lt;"&amp;Conciliacao!BG707+1,df_extratos!G:G,"CREDITO")
+SUMIFS(df_extratos!I:I,df_extratos!F:F,"&gt;="&amp;Conciliacao!BH707,df_extratos!F:F,"&lt;"&amp;Conciliacao!BH707+1,df_extratos!G:G,"CREDITO")</f>
        <v/>
      </c>
      <c r="I707" s="9">
        <f>H707-SUM(B707:G707)</f>
        <v/>
      </c>
      <c r="J707" s="4">
        <f>SUMIFS(df_blueme_sem_parcelamento!E:E,df_blueme_sem_parcelamento!H:H,Conciliacao!A707)*(-1)</f>
        <v/>
      </c>
      <c r="K707" s="4">
        <f>SUMIFS(df_blueme_com_parcelamento!J:J,df_blueme_com_parcelamento!M:M,Conciliacao!A707)*(-1)</f>
        <v/>
      </c>
      <c r="L707" s="4">
        <f>SUMIFS(df_mutuos!N:N,df_mutuos!B:B,Conciliacao!A707)*(-1)</f>
        <v/>
      </c>
      <c r="M707" s="8">
        <f>SUMIFS(df_bloqueios_judiciais!G:G,df_bloqueios_judiciais!D:D,Conciliacao!A707,df_bloqueios_judiciais!G:G,"&lt;0")</f>
        <v/>
      </c>
      <c r="N707" s="10">
        <f>SUMIFS(df_extratos!I:I,df_extratos!F:F,"&gt;="&amp;Conciliacao!BE707,df_extratos!F:F,"&lt;"&amp;Conciliacao!BE707+1,df_extratos!G:G,"DEBITO")
+SUMIFS(df_extratos!I:I,df_extratos!F:F,"&gt;="&amp;Conciliacao!A707, df_extratos!F:F,"&lt;"&amp;Conciliacao!A707+1, df_extratos!G:G,"DEBITO")
+SUMIFS(df_extratos!I:I,df_extratos!F:F,"&gt;="&amp;Conciliacao!BF707,df_extratos!F:F,"&lt;"&amp;Conciliacao!BF707+1,df_extratos!G:G,"DEBITO")
+SUMIFS(df_extratos!I:I,df_extratos!F:F,"&gt;="&amp;Conciliacao!BG707,df_extratos!F:F,"&lt;"&amp;Conciliacao!BG707+1,df_extratos!G:G,"DEBITO")
+SUMIFS(df_extratos!I:I,df_extratos!F:F,"&gt;="&amp;Conciliacao!BH707,df_extratos!F:F,"&lt;"&amp;Conciliacao!BH707+1,df_extratos!G:G,"DEBITO")</f>
        <v/>
      </c>
      <c r="O707" s="11">
        <f>N707-SUM(J707:M707)</f>
        <v/>
      </c>
      <c r="P707" s="25">
        <f>SUMIFS(df_ajustes_conciliaco!D:D,df_ajustes_conciliaco!C:C,Conciliacao!A707)</f>
        <v/>
      </c>
      <c r="Q707" s="22">
        <f>O707+I707-P707</f>
        <v/>
      </c>
    </row>
    <row r="708">
      <c r="A708" s="5">
        <f>A707+1</f>
        <v/>
      </c>
      <c r="B708" s="3">
        <f>-SUMIFS(df_extrato_zig!G:G,df_extrato_zig!E:E,Conciliacao!A708,df_extrato_zig!D:D,"Saque")-SUMIFS(df_extrato_zig!G:G,df_extrato_zig!E:E,Conciliacao!A708,df_extrato_zig!D:D,"Antecipação")</f>
        <v/>
      </c>
      <c r="C708" s="3">
        <f>SUMIFS(df_extrato_zig!E:E,df_extrato_zig!L:L,Conciliacao!A708,df_extrato_zig!F:F,"DINHEIRO")</f>
        <v/>
      </c>
      <c r="D708" s="3">
        <f>SUMIFS(view_parc_agrup!H:H,view_parc_agrup!G:G,Conciliacao!A708)</f>
        <v/>
      </c>
      <c r="E708" s="3">
        <f>SUMIFS(df_eventos!F:F,df_eventos!H:H,Conciliacao!A708)</f>
        <v/>
      </c>
      <c r="F708" s="3">
        <f>SUMIFS(df_mutuos!M:M,df_mutuos!B:B,Conciliacao!A708)</f>
        <v/>
      </c>
      <c r="G708" s="6">
        <f>SUMIFS(df_bloqueios_judiciais!G:G,df_bloqueios_judiciais!D:D,Conciliacao!A708,df_bloqueios_judiciais!G:G,"&gt;0")</f>
        <v/>
      </c>
      <c r="H708" s="7">
        <f>SUMIFS(df_extratos!I:I,df_extratos!F:F,"&gt;="&amp;Conciliacao!BE708,df_extratos!F:F,"&lt;"&amp;Conciliacao!BE708+1,df_extratos!G:G,"CREDITO")
+SUMIFS(df_extratos!I:I,df_extratos!F:F,"&gt;="&amp;Conciliacao!A708, df_extratos!F:F,"&lt;"&amp;Conciliacao!A708+1, df_extratos!G:G,"CREDITO")
+SUMIFS(df_extratos!I:I,df_extratos!F:F,"&gt;="&amp;Conciliacao!BF708,df_extratos!F:F,"&lt;"&amp;Conciliacao!BF708+1,df_extratos!G:G,"CREDITO")
+SUMIFS(df_extratos!I:I,df_extratos!F:F,"&gt;="&amp;Conciliacao!BG708,df_extratos!F:F,"&lt;"&amp;Conciliacao!BG708+1,df_extratos!G:G,"CREDITO")
+SUMIFS(df_extratos!I:I,df_extratos!F:F,"&gt;="&amp;Conciliacao!BH708,df_extratos!F:F,"&lt;"&amp;Conciliacao!BH708+1,df_extratos!G:G,"CREDITO")</f>
        <v/>
      </c>
      <c r="I708" s="9">
        <f>H708-SUM(B708:G708)</f>
        <v/>
      </c>
      <c r="J708" s="4">
        <f>SUMIFS(df_blueme_sem_parcelamento!E:E,df_blueme_sem_parcelamento!H:H,Conciliacao!A708)*(-1)</f>
        <v/>
      </c>
      <c r="K708" s="4">
        <f>SUMIFS(df_blueme_com_parcelamento!J:J,df_blueme_com_parcelamento!M:M,Conciliacao!A708)*(-1)</f>
        <v/>
      </c>
      <c r="L708" s="4">
        <f>SUMIFS(df_mutuos!N:N,df_mutuos!B:B,Conciliacao!A708)*(-1)</f>
        <v/>
      </c>
      <c r="M708" s="8">
        <f>SUMIFS(df_bloqueios_judiciais!G:G,df_bloqueios_judiciais!D:D,Conciliacao!A708,df_bloqueios_judiciais!G:G,"&lt;0")</f>
        <v/>
      </c>
      <c r="N708" s="10">
        <f>SUMIFS(df_extratos!I:I,df_extratos!F:F,"&gt;="&amp;Conciliacao!BE708,df_extratos!F:F,"&lt;"&amp;Conciliacao!BE708+1,df_extratos!G:G,"DEBITO")
+SUMIFS(df_extratos!I:I,df_extratos!F:F,"&gt;="&amp;Conciliacao!A708, df_extratos!F:F,"&lt;"&amp;Conciliacao!A708+1, df_extratos!G:G,"DEBITO")
+SUMIFS(df_extratos!I:I,df_extratos!F:F,"&gt;="&amp;Conciliacao!BF708,df_extratos!F:F,"&lt;"&amp;Conciliacao!BF708+1,df_extratos!G:G,"DEBITO")
+SUMIFS(df_extratos!I:I,df_extratos!F:F,"&gt;="&amp;Conciliacao!BG708,df_extratos!F:F,"&lt;"&amp;Conciliacao!BG708+1,df_extratos!G:G,"DEBITO")
+SUMIFS(df_extratos!I:I,df_extratos!F:F,"&gt;="&amp;Conciliacao!BH708,df_extratos!F:F,"&lt;"&amp;Conciliacao!BH708+1,df_extratos!G:G,"DEBITO")</f>
        <v/>
      </c>
      <c r="O708" s="11">
        <f>N708-SUM(J708:M708)</f>
        <v/>
      </c>
      <c r="P708" s="25">
        <f>SUMIFS(df_ajustes_conciliaco!D:D,df_ajustes_conciliaco!C:C,Conciliacao!A708)</f>
        <v/>
      </c>
      <c r="Q708" s="22">
        <f>O708+I708-P708</f>
        <v/>
      </c>
    </row>
    <row r="709">
      <c r="A709" s="5">
        <f>A708+1</f>
        <v/>
      </c>
      <c r="B709" s="3">
        <f>-SUMIFS(df_extrato_zig!G:G,df_extrato_zig!E:E,Conciliacao!A709,df_extrato_zig!D:D,"Saque")-SUMIFS(df_extrato_zig!G:G,df_extrato_zig!E:E,Conciliacao!A709,df_extrato_zig!D:D,"Antecipação")</f>
        <v/>
      </c>
      <c r="C709" s="3">
        <f>SUMIFS(df_extrato_zig!E:E,df_extrato_zig!L:L,Conciliacao!A709,df_extrato_zig!F:F,"DINHEIRO")</f>
        <v/>
      </c>
      <c r="D709" s="3">
        <f>SUMIFS(view_parc_agrup!H:H,view_parc_agrup!G:G,Conciliacao!A709)</f>
        <v/>
      </c>
      <c r="E709" s="3">
        <f>SUMIFS(df_eventos!F:F,df_eventos!H:H,Conciliacao!A709)</f>
        <v/>
      </c>
      <c r="F709" s="3">
        <f>SUMIFS(df_mutuos!M:M,df_mutuos!B:B,Conciliacao!A709)</f>
        <v/>
      </c>
      <c r="G709" s="6">
        <f>SUMIFS(df_bloqueios_judiciais!G:G,df_bloqueios_judiciais!D:D,Conciliacao!A709,df_bloqueios_judiciais!G:G,"&gt;0")</f>
        <v/>
      </c>
      <c r="H709" s="7">
        <f>SUMIFS(df_extratos!I:I,df_extratos!F:F,"&gt;="&amp;Conciliacao!BE709,df_extratos!F:F,"&lt;"&amp;Conciliacao!BE709+1,df_extratos!G:G,"CREDITO")
+SUMIFS(df_extratos!I:I,df_extratos!F:F,"&gt;="&amp;Conciliacao!A709, df_extratos!F:F,"&lt;"&amp;Conciliacao!A709+1, df_extratos!G:G,"CREDITO")
+SUMIFS(df_extratos!I:I,df_extratos!F:F,"&gt;="&amp;Conciliacao!BF709,df_extratos!F:F,"&lt;"&amp;Conciliacao!BF709+1,df_extratos!G:G,"CREDITO")
+SUMIFS(df_extratos!I:I,df_extratos!F:F,"&gt;="&amp;Conciliacao!BG709,df_extratos!F:F,"&lt;"&amp;Conciliacao!BG709+1,df_extratos!G:G,"CREDITO")
+SUMIFS(df_extratos!I:I,df_extratos!F:F,"&gt;="&amp;Conciliacao!BH709,df_extratos!F:F,"&lt;"&amp;Conciliacao!BH709+1,df_extratos!G:G,"CREDITO")</f>
        <v/>
      </c>
      <c r="I709" s="9">
        <f>H709-SUM(B709:G709)</f>
        <v/>
      </c>
      <c r="J709" s="4">
        <f>SUMIFS(df_blueme_sem_parcelamento!E:E,df_blueme_sem_parcelamento!H:H,Conciliacao!A709)*(-1)</f>
        <v/>
      </c>
      <c r="K709" s="4">
        <f>SUMIFS(df_blueme_com_parcelamento!J:J,df_blueme_com_parcelamento!M:M,Conciliacao!A709)*(-1)</f>
        <v/>
      </c>
      <c r="L709" s="4">
        <f>SUMIFS(df_mutuos!N:N,df_mutuos!B:B,Conciliacao!A709)*(-1)</f>
        <v/>
      </c>
      <c r="M709" s="8">
        <f>SUMIFS(df_bloqueios_judiciais!G:G,df_bloqueios_judiciais!D:D,Conciliacao!A709,df_bloqueios_judiciais!G:G,"&lt;0")</f>
        <v/>
      </c>
      <c r="N709" s="10">
        <f>SUMIFS(df_extratos!I:I,df_extratos!F:F,"&gt;="&amp;Conciliacao!BE709,df_extratos!F:F,"&lt;"&amp;Conciliacao!BE709+1,df_extratos!G:G,"DEBITO")
+SUMIFS(df_extratos!I:I,df_extratos!F:F,"&gt;="&amp;Conciliacao!A709, df_extratos!F:F,"&lt;"&amp;Conciliacao!A709+1, df_extratos!G:G,"DEBITO")
+SUMIFS(df_extratos!I:I,df_extratos!F:F,"&gt;="&amp;Conciliacao!BF709,df_extratos!F:F,"&lt;"&amp;Conciliacao!BF709+1,df_extratos!G:G,"DEBITO")
+SUMIFS(df_extratos!I:I,df_extratos!F:F,"&gt;="&amp;Conciliacao!BG709,df_extratos!F:F,"&lt;"&amp;Conciliacao!BG709+1,df_extratos!G:G,"DEBITO")
+SUMIFS(df_extratos!I:I,df_extratos!F:F,"&gt;="&amp;Conciliacao!BH709,df_extratos!F:F,"&lt;"&amp;Conciliacao!BH709+1,df_extratos!G:G,"DEBITO")</f>
        <v/>
      </c>
      <c r="O709" s="11">
        <f>N709-SUM(J709:M709)</f>
        <v/>
      </c>
      <c r="P709" s="25">
        <f>SUMIFS(df_ajustes_conciliaco!D:D,df_ajustes_conciliaco!C:C,Conciliacao!A709)</f>
        <v/>
      </c>
      <c r="Q709" s="22">
        <f>O709+I709-P709</f>
        <v/>
      </c>
    </row>
    <row r="710">
      <c r="A710" s="5">
        <f>A709+1</f>
        <v/>
      </c>
      <c r="B710" s="3">
        <f>-SUMIFS(df_extrato_zig!G:G,df_extrato_zig!E:E,Conciliacao!A710,df_extrato_zig!D:D,"Saque")-SUMIFS(df_extrato_zig!G:G,df_extrato_zig!E:E,Conciliacao!A710,df_extrato_zig!D:D,"Antecipação")</f>
        <v/>
      </c>
      <c r="C710" s="3">
        <f>SUMIFS(df_extrato_zig!E:E,df_extrato_zig!L:L,Conciliacao!A710,df_extrato_zig!F:F,"DINHEIRO")</f>
        <v/>
      </c>
      <c r="D710" s="3">
        <f>SUMIFS(view_parc_agrup!H:H,view_parc_agrup!G:G,Conciliacao!A710)</f>
        <v/>
      </c>
      <c r="E710" s="3">
        <f>SUMIFS(df_eventos!F:F,df_eventos!H:H,Conciliacao!A710)</f>
        <v/>
      </c>
      <c r="F710" s="3">
        <f>SUMIFS(df_mutuos!M:M,df_mutuos!B:B,Conciliacao!A710)</f>
        <v/>
      </c>
      <c r="G710" s="6">
        <f>SUMIFS(df_bloqueios_judiciais!G:G,df_bloqueios_judiciais!D:D,Conciliacao!A710,df_bloqueios_judiciais!G:G,"&gt;0")</f>
        <v/>
      </c>
      <c r="H710" s="7">
        <f>SUMIFS(df_extratos!I:I,df_extratos!F:F,"&gt;="&amp;Conciliacao!BE710,df_extratos!F:F,"&lt;"&amp;Conciliacao!BE710+1,df_extratos!G:G,"CREDITO")
+SUMIFS(df_extratos!I:I,df_extratos!F:F,"&gt;="&amp;Conciliacao!A710, df_extratos!F:F,"&lt;"&amp;Conciliacao!A710+1, df_extratos!G:G,"CREDITO")
+SUMIFS(df_extratos!I:I,df_extratos!F:F,"&gt;="&amp;Conciliacao!BF710,df_extratos!F:F,"&lt;"&amp;Conciliacao!BF710+1,df_extratos!G:G,"CREDITO")
+SUMIFS(df_extratos!I:I,df_extratos!F:F,"&gt;="&amp;Conciliacao!BG710,df_extratos!F:F,"&lt;"&amp;Conciliacao!BG710+1,df_extratos!G:G,"CREDITO")
+SUMIFS(df_extratos!I:I,df_extratos!F:F,"&gt;="&amp;Conciliacao!BH710,df_extratos!F:F,"&lt;"&amp;Conciliacao!BH710+1,df_extratos!G:G,"CREDITO")</f>
        <v/>
      </c>
      <c r="I710" s="9">
        <f>H710-SUM(B710:G710)</f>
        <v/>
      </c>
      <c r="J710" s="4">
        <f>SUMIFS(df_blueme_sem_parcelamento!E:E,df_blueme_sem_parcelamento!H:H,Conciliacao!A710)*(-1)</f>
        <v/>
      </c>
      <c r="K710" s="4">
        <f>SUMIFS(df_blueme_com_parcelamento!J:J,df_blueme_com_parcelamento!M:M,Conciliacao!A710)*(-1)</f>
        <v/>
      </c>
      <c r="L710" s="4">
        <f>SUMIFS(df_mutuos!N:N,df_mutuos!B:B,Conciliacao!A710)*(-1)</f>
        <v/>
      </c>
      <c r="M710" s="8">
        <f>SUMIFS(df_bloqueios_judiciais!G:G,df_bloqueios_judiciais!D:D,Conciliacao!A710,df_bloqueios_judiciais!G:G,"&lt;0")</f>
        <v/>
      </c>
      <c r="N710" s="10">
        <f>SUMIFS(df_extratos!I:I,df_extratos!F:F,"&gt;="&amp;Conciliacao!BE710,df_extratos!F:F,"&lt;"&amp;Conciliacao!BE710+1,df_extratos!G:G,"DEBITO")
+SUMIFS(df_extratos!I:I,df_extratos!F:F,"&gt;="&amp;Conciliacao!A710, df_extratos!F:F,"&lt;"&amp;Conciliacao!A710+1, df_extratos!G:G,"DEBITO")
+SUMIFS(df_extratos!I:I,df_extratos!F:F,"&gt;="&amp;Conciliacao!BF710,df_extratos!F:F,"&lt;"&amp;Conciliacao!BF710+1,df_extratos!G:G,"DEBITO")
+SUMIFS(df_extratos!I:I,df_extratos!F:F,"&gt;="&amp;Conciliacao!BG710,df_extratos!F:F,"&lt;"&amp;Conciliacao!BG710+1,df_extratos!G:G,"DEBITO")
+SUMIFS(df_extratos!I:I,df_extratos!F:F,"&gt;="&amp;Conciliacao!BH710,df_extratos!F:F,"&lt;"&amp;Conciliacao!BH710+1,df_extratos!G:G,"DEBITO")</f>
        <v/>
      </c>
      <c r="O710" s="11">
        <f>N710-SUM(J710:M710)</f>
        <v/>
      </c>
      <c r="P710" s="25">
        <f>SUMIFS(df_ajustes_conciliaco!D:D,df_ajustes_conciliaco!C:C,Conciliacao!A710)</f>
        <v/>
      </c>
      <c r="Q710" s="22">
        <f>O710+I710-P710</f>
        <v/>
      </c>
    </row>
    <row r="711">
      <c r="A711" s="5">
        <f>A710+1</f>
        <v/>
      </c>
      <c r="B711" s="3">
        <f>-SUMIFS(df_extrato_zig!G:G,df_extrato_zig!E:E,Conciliacao!A711,df_extrato_zig!D:D,"Saque")-SUMIFS(df_extrato_zig!G:G,df_extrato_zig!E:E,Conciliacao!A711,df_extrato_zig!D:D,"Antecipação")</f>
        <v/>
      </c>
      <c r="C711" s="3">
        <f>SUMIFS(df_extrato_zig!E:E,df_extrato_zig!L:L,Conciliacao!A711,df_extrato_zig!F:F,"DINHEIRO")</f>
        <v/>
      </c>
      <c r="D711" s="3">
        <f>SUMIFS(view_parc_agrup!H:H,view_parc_agrup!G:G,Conciliacao!A711)</f>
        <v/>
      </c>
      <c r="E711" s="3">
        <f>SUMIFS(df_eventos!F:F,df_eventos!H:H,Conciliacao!A711)</f>
        <v/>
      </c>
      <c r="F711" s="3">
        <f>SUMIFS(df_mutuos!M:M,df_mutuos!B:B,Conciliacao!A711)</f>
        <v/>
      </c>
      <c r="G711" s="6">
        <f>SUMIFS(df_bloqueios_judiciais!G:G,df_bloqueios_judiciais!D:D,Conciliacao!A711,df_bloqueios_judiciais!G:G,"&gt;0")</f>
        <v/>
      </c>
      <c r="H711" s="7">
        <f>SUMIFS(df_extratos!I:I,df_extratos!F:F,"&gt;="&amp;Conciliacao!BE711,df_extratos!F:F,"&lt;"&amp;Conciliacao!BE711+1,df_extratos!G:G,"CREDITO")
+SUMIFS(df_extratos!I:I,df_extratos!F:F,"&gt;="&amp;Conciliacao!A711, df_extratos!F:F,"&lt;"&amp;Conciliacao!A711+1, df_extratos!G:G,"CREDITO")
+SUMIFS(df_extratos!I:I,df_extratos!F:F,"&gt;="&amp;Conciliacao!BF711,df_extratos!F:F,"&lt;"&amp;Conciliacao!BF711+1,df_extratos!G:G,"CREDITO")
+SUMIFS(df_extratos!I:I,df_extratos!F:F,"&gt;="&amp;Conciliacao!BG711,df_extratos!F:F,"&lt;"&amp;Conciliacao!BG711+1,df_extratos!G:G,"CREDITO")
+SUMIFS(df_extratos!I:I,df_extratos!F:F,"&gt;="&amp;Conciliacao!BH711,df_extratos!F:F,"&lt;"&amp;Conciliacao!BH711+1,df_extratos!G:G,"CREDITO")</f>
        <v/>
      </c>
      <c r="I711" s="9">
        <f>H711-SUM(B711:G711)</f>
        <v/>
      </c>
      <c r="J711" s="4">
        <f>SUMIFS(df_blueme_sem_parcelamento!E:E,df_blueme_sem_parcelamento!H:H,Conciliacao!A711)*(-1)</f>
        <v/>
      </c>
      <c r="K711" s="4">
        <f>SUMIFS(df_blueme_com_parcelamento!J:J,df_blueme_com_parcelamento!M:M,Conciliacao!A711)*(-1)</f>
        <v/>
      </c>
      <c r="L711" s="4">
        <f>SUMIFS(df_mutuos!N:N,df_mutuos!B:B,Conciliacao!A711)*(-1)</f>
        <v/>
      </c>
      <c r="M711" s="8">
        <f>SUMIFS(df_bloqueios_judiciais!G:G,df_bloqueios_judiciais!D:D,Conciliacao!A711,df_bloqueios_judiciais!G:G,"&lt;0")</f>
        <v/>
      </c>
      <c r="N711" s="10">
        <f>SUMIFS(df_extratos!I:I,df_extratos!F:F,"&gt;="&amp;Conciliacao!BE711,df_extratos!F:F,"&lt;"&amp;Conciliacao!BE711+1,df_extratos!G:G,"DEBITO")
+SUMIFS(df_extratos!I:I,df_extratos!F:F,"&gt;="&amp;Conciliacao!A711, df_extratos!F:F,"&lt;"&amp;Conciliacao!A711+1, df_extratos!G:G,"DEBITO")
+SUMIFS(df_extratos!I:I,df_extratos!F:F,"&gt;="&amp;Conciliacao!BF711,df_extratos!F:F,"&lt;"&amp;Conciliacao!BF711+1,df_extratos!G:G,"DEBITO")
+SUMIFS(df_extratos!I:I,df_extratos!F:F,"&gt;="&amp;Conciliacao!BG711,df_extratos!F:F,"&lt;"&amp;Conciliacao!BG711+1,df_extratos!G:G,"DEBITO")
+SUMIFS(df_extratos!I:I,df_extratos!F:F,"&gt;="&amp;Conciliacao!BH711,df_extratos!F:F,"&lt;"&amp;Conciliacao!BH711+1,df_extratos!G:G,"DEBITO")</f>
        <v/>
      </c>
      <c r="O711" s="11">
        <f>N711-SUM(J711:M711)</f>
        <v/>
      </c>
      <c r="P711" s="25">
        <f>SUMIFS(df_ajustes_conciliaco!D:D,df_ajustes_conciliaco!C:C,Conciliacao!A711)</f>
        <v/>
      </c>
      <c r="Q711" s="22">
        <f>O711+I711-P711</f>
        <v/>
      </c>
    </row>
    <row r="712">
      <c r="A712" s="5">
        <f>A711+1</f>
        <v/>
      </c>
      <c r="B712" s="3">
        <f>-SUMIFS(df_extrato_zig!G:G,df_extrato_zig!E:E,Conciliacao!A712,df_extrato_zig!D:D,"Saque")-SUMIFS(df_extrato_zig!G:G,df_extrato_zig!E:E,Conciliacao!A712,df_extrato_zig!D:D,"Antecipação")</f>
        <v/>
      </c>
      <c r="C712" s="3">
        <f>SUMIFS(df_extrato_zig!E:E,df_extrato_zig!L:L,Conciliacao!A712,df_extrato_zig!F:F,"DINHEIRO")</f>
        <v/>
      </c>
      <c r="D712" s="3">
        <f>SUMIFS(view_parc_agrup!H:H,view_parc_agrup!G:G,Conciliacao!A712)</f>
        <v/>
      </c>
      <c r="E712" s="3">
        <f>SUMIFS(df_eventos!F:F,df_eventos!H:H,Conciliacao!A712)</f>
        <v/>
      </c>
      <c r="F712" s="3">
        <f>SUMIFS(df_mutuos!M:M,df_mutuos!B:B,Conciliacao!A712)</f>
        <v/>
      </c>
      <c r="G712" s="6">
        <f>SUMIFS(df_bloqueios_judiciais!G:G,df_bloqueios_judiciais!D:D,Conciliacao!A712,df_bloqueios_judiciais!G:G,"&gt;0")</f>
        <v/>
      </c>
      <c r="H712" s="7">
        <f>SUMIFS(df_extratos!I:I,df_extratos!F:F,"&gt;="&amp;Conciliacao!BE712,df_extratos!F:F,"&lt;"&amp;Conciliacao!BE712+1,df_extratos!G:G,"CREDITO")
+SUMIFS(df_extratos!I:I,df_extratos!F:F,"&gt;="&amp;Conciliacao!A712, df_extratos!F:F,"&lt;"&amp;Conciliacao!A712+1, df_extratos!G:G,"CREDITO")
+SUMIFS(df_extratos!I:I,df_extratos!F:F,"&gt;="&amp;Conciliacao!BF712,df_extratos!F:F,"&lt;"&amp;Conciliacao!BF712+1,df_extratos!G:G,"CREDITO")
+SUMIFS(df_extratos!I:I,df_extratos!F:F,"&gt;="&amp;Conciliacao!BG712,df_extratos!F:F,"&lt;"&amp;Conciliacao!BG712+1,df_extratos!G:G,"CREDITO")
+SUMIFS(df_extratos!I:I,df_extratos!F:F,"&gt;="&amp;Conciliacao!BH712,df_extratos!F:F,"&lt;"&amp;Conciliacao!BH712+1,df_extratos!G:G,"CREDITO")</f>
        <v/>
      </c>
      <c r="I712" s="9">
        <f>H712-SUM(B712:G712)</f>
        <v/>
      </c>
      <c r="J712" s="4">
        <f>SUMIFS(df_blueme_sem_parcelamento!E:E,df_blueme_sem_parcelamento!H:H,Conciliacao!A712)*(-1)</f>
        <v/>
      </c>
      <c r="K712" s="4">
        <f>SUMIFS(df_blueme_com_parcelamento!J:J,df_blueme_com_parcelamento!M:M,Conciliacao!A712)*(-1)</f>
        <v/>
      </c>
      <c r="L712" s="4">
        <f>SUMIFS(df_mutuos!N:N,df_mutuos!B:B,Conciliacao!A712)*(-1)</f>
        <v/>
      </c>
      <c r="M712" s="8">
        <f>SUMIFS(df_bloqueios_judiciais!G:G,df_bloqueios_judiciais!D:D,Conciliacao!A712,df_bloqueios_judiciais!G:G,"&lt;0")</f>
        <v/>
      </c>
      <c r="N712" s="10">
        <f>SUMIFS(df_extratos!I:I,df_extratos!F:F,"&gt;="&amp;Conciliacao!BE712,df_extratos!F:F,"&lt;"&amp;Conciliacao!BE712+1,df_extratos!G:G,"DEBITO")
+SUMIFS(df_extratos!I:I,df_extratos!F:F,"&gt;="&amp;Conciliacao!A712, df_extratos!F:F,"&lt;"&amp;Conciliacao!A712+1, df_extratos!G:G,"DEBITO")
+SUMIFS(df_extratos!I:I,df_extratos!F:F,"&gt;="&amp;Conciliacao!BF712,df_extratos!F:F,"&lt;"&amp;Conciliacao!BF712+1,df_extratos!G:G,"DEBITO")
+SUMIFS(df_extratos!I:I,df_extratos!F:F,"&gt;="&amp;Conciliacao!BG712,df_extratos!F:F,"&lt;"&amp;Conciliacao!BG712+1,df_extratos!G:G,"DEBITO")
+SUMIFS(df_extratos!I:I,df_extratos!F:F,"&gt;="&amp;Conciliacao!BH712,df_extratos!F:F,"&lt;"&amp;Conciliacao!BH712+1,df_extratos!G:G,"DEBITO")</f>
        <v/>
      </c>
      <c r="O712" s="11">
        <f>N712-SUM(J712:M712)</f>
        <v/>
      </c>
      <c r="P712" s="25">
        <f>SUMIFS(df_ajustes_conciliaco!D:D,df_ajustes_conciliaco!C:C,Conciliacao!A712)</f>
        <v/>
      </c>
      <c r="Q712" s="22">
        <f>O712+I712-P712</f>
        <v/>
      </c>
    </row>
    <row r="713">
      <c r="A713" s="5">
        <f>A712+1</f>
        <v/>
      </c>
      <c r="B713" s="3">
        <f>-SUMIFS(df_extrato_zig!G:G,df_extrato_zig!E:E,Conciliacao!A713,df_extrato_zig!D:D,"Saque")-SUMIFS(df_extrato_zig!G:G,df_extrato_zig!E:E,Conciliacao!A713,df_extrato_zig!D:D,"Antecipação")</f>
        <v/>
      </c>
      <c r="C713" s="3">
        <f>SUMIFS(df_extrato_zig!E:E,df_extrato_zig!L:L,Conciliacao!A713,df_extrato_zig!F:F,"DINHEIRO")</f>
        <v/>
      </c>
      <c r="D713" s="3">
        <f>SUMIFS(view_parc_agrup!H:H,view_parc_agrup!G:G,Conciliacao!A713)</f>
        <v/>
      </c>
      <c r="E713" s="3">
        <f>SUMIFS(df_eventos!F:F,df_eventos!H:H,Conciliacao!A713)</f>
        <v/>
      </c>
      <c r="F713" s="3">
        <f>SUMIFS(df_mutuos!M:M,df_mutuos!B:B,Conciliacao!A713)</f>
        <v/>
      </c>
      <c r="G713" s="6">
        <f>SUMIFS(df_bloqueios_judiciais!G:G,df_bloqueios_judiciais!D:D,Conciliacao!A713,df_bloqueios_judiciais!G:G,"&gt;0")</f>
        <v/>
      </c>
      <c r="H713" s="7">
        <f>SUMIFS(df_extratos!I:I,df_extratos!F:F,"&gt;="&amp;Conciliacao!BE713,df_extratos!F:F,"&lt;"&amp;Conciliacao!BE713+1,df_extratos!G:G,"CREDITO")
+SUMIFS(df_extratos!I:I,df_extratos!F:F,"&gt;="&amp;Conciliacao!A713, df_extratos!F:F,"&lt;"&amp;Conciliacao!A713+1, df_extratos!G:G,"CREDITO")
+SUMIFS(df_extratos!I:I,df_extratos!F:F,"&gt;="&amp;Conciliacao!BF713,df_extratos!F:F,"&lt;"&amp;Conciliacao!BF713+1,df_extratos!G:G,"CREDITO")
+SUMIFS(df_extratos!I:I,df_extratos!F:F,"&gt;="&amp;Conciliacao!BG713,df_extratos!F:F,"&lt;"&amp;Conciliacao!BG713+1,df_extratos!G:G,"CREDITO")
+SUMIFS(df_extratos!I:I,df_extratos!F:F,"&gt;="&amp;Conciliacao!BH713,df_extratos!F:F,"&lt;"&amp;Conciliacao!BH713+1,df_extratos!G:G,"CREDITO")</f>
        <v/>
      </c>
      <c r="I713" s="9">
        <f>H713-SUM(B713:G713)</f>
        <v/>
      </c>
      <c r="J713" s="4">
        <f>SUMIFS(df_blueme_sem_parcelamento!E:E,df_blueme_sem_parcelamento!H:H,Conciliacao!A713)*(-1)</f>
        <v/>
      </c>
      <c r="K713" s="4">
        <f>SUMIFS(df_blueme_com_parcelamento!J:J,df_blueme_com_parcelamento!M:M,Conciliacao!A713)*(-1)</f>
        <v/>
      </c>
      <c r="L713" s="4">
        <f>SUMIFS(df_mutuos!N:N,df_mutuos!B:B,Conciliacao!A713)*(-1)</f>
        <v/>
      </c>
      <c r="M713" s="8">
        <f>SUMIFS(df_bloqueios_judiciais!G:G,df_bloqueios_judiciais!D:D,Conciliacao!A713,df_bloqueios_judiciais!G:G,"&lt;0")</f>
        <v/>
      </c>
      <c r="N713" s="10">
        <f>SUMIFS(df_extratos!I:I,df_extratos!F:F,"&gt;="&amp;Conciliacao!BE713,df_extratos!F:F,"&lt;"&amp;Conciliacao!BE713+1,df_extratos!G:G,"DEBITO")
+SUMIFS(df_extratos!I:I,df_extratos!F:F,"&gt;="&amp;Conciliacao!A713, df_extratos!F:F,"&lt;"&amp;Conciliacao!A713+1, df_extratos!G:G,"DEBITO")
+SUMIFS(df_extratos!I:I,df_extratos!F:F,"&gt;="&amp;Conciliacao!BF713,df_extratos!F:F,"&lt;"&amp;Conciliacao!BF713+1,df_extratos!G:G,"DEBITO")
+SUMIFS(df_extratos!I:I,df_extratos!F:F,"&gt;="&amp;Conciliacao!BG713,df_extratos!F:F,"&lt;"&amp;Conciliacao!BG713+1,df_extratos!G:G,"DEBITO")
+SUMIFS(df_extratos!I:I,df_extratos!F:F,"&gt;="&amp;Conciliacao!BH713,df_extratos!F:F,"&lt;"&amp;Conciliacao!BH713+1,df_extratos!G:G,"DEBITO")</f>
        <v/>
      </c>
      <c r="O713" s="11">
        <f>N713-SUM(J713:M713)</f>
        <v/>
      </c>
      <c r="P713" s="25">
        <f>SUMIFS(df_ajustes_conciliaco!D:D,df_ajustes_conciliaco!C:C,Conciliacao!A713)</f>
        <v/>
      </c>
      <c r="Q713" s="22">
        <f>O713+I713-P713</f>
        <v/>
      </c>
    </row>
    <row r="714">
      <c r="A714" s="5">
        <f>A713+1</f>
        <v/>
      </c>
      <c r="B714" s="3">
        <f>-SUMIFS(df_extrato_zig!G:G,df_extrato_zig!E:E,Conciliacao!A714,df_extrato_zig!D:D,"Saque")-SUMIFS(df_extrato_zig!G:G,df_extrato_zig!E:E,Conciliacao!A714,df_extrato_zig!D:D,"Antecipação")</f>
        <v/>
      </c>
      <c r="C714" s="3">
        <f>SUMIFS(df_extrato_zig!E:E,df_extrato_zig!L:L,Conciliacao!A714,df_extrato_zig!F:F,"DINHEIRO")</f>
        <v/>
      </c>
      <c r="D714" s="3">
        <f>SUMIFS(view_parc_agrup!H:H,view_parc_agrup!G:G,Conciliacao!A714)</f>
        <v/>
      </c>
      <c r="E714" s="3">
        <f>SUMIFS(df_eventos!F:F,df_eventos!H:H,Conciliacao!A714)</f>
        <v/>
      </c>
      <c r="F714" s="3">
        <f>SUMIFS(df_mutuos!M:M,df_mutuos!B:B,Conciliacao!A714)</f>
        <v/>
      </c>
      <c r="G714" s="6">
        <f>SUMIFS(df_bloqueios_judiciais!G:G,df_bloqueios_judiciais!D:D,Conciliacao!A714,df_bloqueios_judiciais!G:G,"&gt;0")</f>
        <v/>
      </c>
      <c r="H714" s="7">
        <f>SUMIFS(df_extratos!I:I,df_extratos!F:F,"&gt;="&amp;Conciliacao!BE714,df_extratos!F:F,"&lt;"&amp;Conciliacao!BE714+1,df_extratos!G:G,"CREDITO")
+SUMIFS(df_extratos!I:I,df_extratos!F:F,"&gt;="&amp;Conciliacao!A714, df_extratos!F:F,"&lt;"&amp;Conciliacao!A714+1, df_extratos!G:G,"CREDITO")
+SUMIFS(df_extratos!I:I,df_extratos!F:F,"&gt;="&amp;Conciliacao!BF714,df_extratos!F:F,"&lt;"&amp;Conciliacao!BF714+1,df_extratos!G:G,"CREDITO")
+SUMIFS(df_extratos!I:I,df_extratos!F:F,"&gt;="&amp;Conciliacao!BG714,df_extratos!F:F,"&lt;"&amp;Conciliacao!BG714+1,df_extratos!G:G,"CREDITO")
+SUMIFS(df_extratos!I:I,df_extratos!F:F,"&gt;="&amp;Conciliacao!BH714,df_extratos!F:F,"&lt;"&amp;Conciliacao!BH714+1,df_extratos!G:G,"CREDITO")</f>
        <v/>
      </c>
      <c r="I714" s="9">
        <f>H714-SUM(B714:G714)</f>
        <v/>
      </c>
      <c r="J714" s="4">
        <f>SUMIFS(df_blueme_sem_parcelamento!E:E,df_blueme_sem_parcelamento!H:H,Conciliacao!A714)*(-1)</f>
        <v/>
      </c>
      <c r="K714" s="4">
        <f>SUMIFS(df_blueme_com_parcelamento!J:J,df_blueme_com_parcelamento!M:M,Conciliacao!A714)*(-1)</f>
        <v/>
      </c>
      <c r="L714" s="4">
        <f>SUMIFS(df_mutuos!N:N,df_mutuos!B:B,Conciliacao!A714)*(-1)</f>
        <v/>
      </c>
      <c r="M714" s="8">
        <f>SUMIFS(df_bloqueios_judiciais!G:G,df_bloqueios_judiciais!D:D,Conciliacao!A714,df_bloqueios_judiciais!G:G,"&lt;0")</f>
        <v/>
      </c>
      <c r="N714" s="10">
        <f>SUMIFS(df_extratos!I:I,df_extratos!F:F,"&gt;="&amp;Conciliacao!BE714,df_extratos!F:F,"&lt;"&amp;Conciliacao!BE714+1,df_extratos!G:G,"DEBITO")
+SUMIFS(df_extratos!I:I,df_extratos!F:F,"&gt;="&amp;Conciliacao!A714, df_extratos!F:F,"&lt;"&amp;Conciliacao!A714+1, df_extratos!G:G,"DEBITO")
+SUMIFS(df_extratos!I:I,df_extratos!F:F,"&gt;="&amp;Conciliacao!BF714,df_extratos!F:F,"&lt;"&amp;Conciliacao!BF714+1,df_extratos!G:G,"DEBITO")
+SUMIFS(df_extratos!I:I,df_extratos!F:F,"&gt;="&amp;Conciliacao!BG714,df_extratos!F:F,"&lt;"&amp;Conciliacao!BG714+1,df_extratos!G:G,"DEBITO")
+SUMIFS(df_extratos!I:I,df_extratos!F:F,"&gt;="&amp;Conciliacao!BH714,df_extratos!F:F,"&lt;"&amp;Conciliacao!BH714+1,df_extratos!G:G,"DEBITO")</f>
        <v/>
      </c>
      <c r="O714" s="11">
        <f>N714-SUM(J714:M714)</f>
        <v/>
      </c>
      <c r="P714" s="25">
        <f>SUMIFS(df_ajustes_conciliaco!D:D,df_ajustes_conciliaco!C:C,Conciliacao!A714)</f>
        <v/>
      </c>
      <c r="Q714" s="22">
        <f>O714+I714-P714</f>
        <v/>
      </c>
    </row>
    <row r="715">
      <c r="A715" s="5">
        <f>A714+1</f>
        <v/>
      </c>
      <c r="B715" s="3">
        <f>-SUMIFS(df_extrato_zig!G:G,df_extrato_zig!E:E,Conciliacao!A715,df_extrato_zig!D:D,"Saque")-SUMIFS(df_extrato_zig!G:G,df_extrato_zig!E:E,Conciliacao!A715,df_extrato_zig!D:D,"Antecipação")</f>
        <v/>
      </c>
      <c r="C715" s="3">
        <f>SUMIFS(df_extrato_zig!E:E,df_extrato_zig!L:L,Conciliacao!A715,df_extrato_zig!F:F,"DINHEIRO")</f>
        <v/>
      </c>
      <c r="D715" s="3">
        <f>SUMIFS(view_parc_agrup!H:H,view_parc_agrup!G:G,Conciliacao!A715)</f>
        <v/>
      </c>
      <c r="E715" s="3">
        <f>SUMIFS(df_eventos!F:F,df_eventos!H:H,Conciliacao!A715)</f>
        <v/>
      </c>
      <c r="F715" s="3">
        <f>SUMIFS(df_mutuos!M:M,df_mutuos!B:B,Conciliacao!A715)</f>
        <v/>
      </c>
      <c r="G715" s="6">
        <f>SUMIFS(df_bloqueios_judiciais!G:G,df_bloqueios_judiciais!D:D,Conciliacao!A715,df_bloqueios_judiciais!G:G,"&gt;0")</f>
        <v/>
      </c>
      <c r="H715" s="7">
        <f>SUMIFS(df_extratos!I:I,df_extratos!F:F,"&gt;="&amp;Conciliacao!BE715,df_extratos!F:F,"&lt;"&amp;Conciliacao!BE715+1,df_extratos!G:G,"CREDITO")
+SUMIFS(df_extratos!I:I,df_extratos!F:F,"&gt;="&amp;Conciliacao!A715, df_extratos!F:F,"&lt;"&amp;Conciliacao!A715+1, df_extratos!G:G,"CREDITO")
+SUMIFS(df_extratos!I:I,df_extratos!F:F,"&gt;="&amp;Conciliacao!BF715,df_extratos!F:F,"&lt;"&amp;Conciliacao!BF715+1,df_extratos!G:G,"CREDITO")
+SUMIFS(df_extratos!I:I,df_extratos!F:F,"&gt;="&amp;Conciliacao!BG715,df_extratos!F:F,"&lt;"&amp;Conciliacao!BG715+1,df_extratos!G:G,"CREDITO")
+SUMIFS(df_extratos!I:I,df_extratos!F:F,"&gt;="&amp;Conciliacao!BH715,df_extratos!F:F,"&lt;"&amp;Conciliacao!BH715+1,df_extratos!G:G,"CREDITO")</f>
        <v/>
      </c>
      <c r="I715" s="9">
        <f>H715-SUM(B715:G715)</f>
        <v/>
      </c>
      <c r="J715" s="4">
        <f>SUMIFS(df_blueme_sem_parcelamento!E:E,df_blueme_sem_parcelamento!H:H,Conciliacao!A715)*(-1)</f>
        <v/>
      </c>
      <c r="K715" s="4">
        <f>SUMIFS(df_blueme_com_parcelamento!J:J,df_blueme_com_parcelamento!M:M,Conciliacao!A715)*(-1)</f>
        <v/>
      </c>
      <c r="L715" s="4">
        <f>SUMIFS(df_mutuos!N:N,df_mutuos!B:B,Conciliacao!A715)*(-1)</f>
        <v/>
      </c>
      <c r="M715" s="8">
        <f>SUMIFS(df_bloqueios_judiciais!G:G,df_bloqueios_judiciais!D:D,Conciliacao!A715,df_bloqueios_judiciais!G:G,"&lt;0")</f>
        <v/>
      </c>
      <c r="N715" s="10">
        <f>SUMIFS(df_extratos!I:I,df_extratos!F:F,"&gt;="&amp;Conciliacao!BE715,df_extratos!F:F,"&lt;"&amp;Conciliacao!BE715+1,df_extratos!G:G,"DEBITO")
+SUMIFS(df_extratos!I:I,df_extratos!F:F,"&gt;="&amp;Conciliacao!A715, df_extratos!F:F,"&lt;"&amp;Conciliacao!A715+1, df_extratos!G:G,"DEBITO")
+SUMIFS(df_extratos!I:I,df_extratos!F:F,"&gt;="&amp;Conciliacao!BF715,df_extratos!F:F,"&lt;"&amp;Conciliacao!BF715+1,df_extratos!G:G,"DEBITO")
+SUMIFS(df_extratos!I:I,df_extratos!F:F,"&gt;="&amp;Conciliacao!BG715,df_extratos!F:F,"&lt;"&amp;Conciliacao!BG715+1,df_extratos!G:G,"DEBITO")
+SUMIFS(df_extratos!I:I,df_extratos!F:F,"&gt;="&amp;Conciliacao!BH715,df_extratos!F:F,"&lt;"&amp;Conciliacao!BH715+1,df_extratos!G:G,"DEBITO")</f>
        <v/>
      </c>
      <c r="O715" s="11">
        <f>N715-SUM(J715:M715)</f>
        <v/>
      </c>
      <c r="P715" s="25">
        <f>SUMIFS(df_ajustes_conciliaco!D:D,df_ajustes_conciliaco!C:C,Conciliacao!A715)</f>
        <v/>
      </c>
      <c r="Q715" s="22">
        <f>O715+I715-P715</f>
        <v/>
      </c>
    </row>
    <row r="716">
      <c r="A716" s="5">
        <f>A715+1</f>
        <v/>
      </c>
      <c r="B716" s="3">
        <f>-SUMIFS(df_extrato_zig!G:G,df_extrato_zig!E:E,Conciliacao!A716,df_extrato_zig!D:D,"Saque")-SUMIFS(df_extrato_zig!G:G,df_extrato_zig!E:E,Conciliacao!A716,df_extrato_zig!D:D,"Antecipação")</f>
        <v/>
      </c>
      <c r="C716" s="3">
        <f>SUMIFS(df_extrato_zig!E:E,df_extrato_zig!L:L,Conciliacao!A716,df_extrato_zig!F:F,"DINHEIRO")</f>
        <v/>
      </c>
      <c r="D716" s="3">
        <f>SUMIFS(view_parc_agrup!H:H,view_parc_agrup!G:G,Conciliacao!A716)</f>
        <v/>
      </c>
      <c r="E716" s="3">
        <f>SUMIFS(df_eventos!F:F,df_eventos!H:H,Conciliacao!A716)</f>
        <v/>
      </c>
      <c r="F716" s="3">
        <f>SUMIFS(df_mutuos!M:M,df_mutuos!B:B,Conciliacao!A716)</f>
        <v/>
      </c>
      <c r="G716" s="6">
        <f>SUMIFS(df_bloqueios_judiciais!G:G,df_bloqueios_judiciais!D:D,Conciliacao!A716,df_bloqueios_judiciais!G:G,"&gt;0")</f>
        <v/>
      </c>
      <c r="H716" s="7">
        <f>SUMIFS(df_extratos!I:I,df_extratos!F:F,"&gt;="&amp;Conciliacao!BE716,df_extratos!F:F,"&lt;"&amp;Conciliacao!BE716+1,df_extratos!G:G,"CREDITO")
+SUMIFS(df_extratos!I:I,df_extratos!F:F,"&gt;="&amp;Conciliacao!A716, df_extratos!F:F,"&lt;"&amp;Conciliacao!A716+1, df_extratos!G:G,"CREDITO")
+SUMIFS(df_extratos!I:I,df_extratos!F:F,"&gt;="&amp;Conciliacao!BF716,df_extratos!F:F,"&lt;"&amp;Conciliacao!BF716+1,df_extratos!G:G,"CREDITO")
+SUMIFS(df_extratos!I:I,df_extratos!F:F,"&gt;="&amp;Conciliacao!BG716,df_extratos!F:F,"&lt;"&amp;Conciliacao!BG716+1,df_extratos!G:G,"CREDITO")
+SUMIFS(df_extratos!I:I,df_extratos!F:F,"&gt;="&amp;Conciliacao!BH716,df_extratos!F:F,"&lt;"&amp;Conciliacao!BH716+1,df_extratos!G:G,"CREDITO")</f>
        <v/>
      </c>
      <c r="I716" s="9">
        <f>H716-SUM(B716:G716)</f>
        <v/>
      </c>
      <c r="J716" s="4">
        <f>SUMIFS(df_blueme_sem_parcelamento!E:E,df_blueme_sem_parcelamento!H:H,Conciliacao!A716)*(-1)</f>
        <v/>
      </c>
      <c r="K716" s="4">
        <f>SUMIFS(df_blueme_com_parcelamento!J:J,df_blueme_com_parcelamento!M:M,Conciliacao!A716)*(-1)</f>
        <v/>
      </c>
      <c r="L716" s="4">
        <f>SUMIFS(df_mutuos!N:N,df_mutuos!B:B,Conciliacao!A716)*(-1)</f>
        <v/>
      </c>
      <c r="M716" s="8">
        <f>SUMIFS(df_bloqueios_judiciais!G:G,df_bloqueios_judiciais!D:D,Conciliacao!A716,df_bloqueios_judiciais!G:G,"&lt;0")</f>
        <v/>
      </c>
      <c r="N716" s="10">
        <f>SUMIFS(df_extratos!I:I,df_extratos!F:F,"&gt;="&amp;Conciliacao!BE716,df_extratos!F:F,"&lt;"&amp;Conciliacao!BE716+1,df_extratos!G:G,"DEBITO")
+SUMIFS(df_extratos!I:I,df_extratos!F:F,"&gt;="&amp;Conciliacao!A716, df_extratos!F:F,"&lt;"&amp;Conciliacao!A716+1, df_extratos!G:G,"DEBITO")
+SUMIFS(df_extratos!I:I,df_extratos!F:F,"&gt;="&amp;Conciliacao!BF716,df_extratos!F:F,"&lt;"&amp;Conciliacao!BF716+1,df_extratos!G:G,"DEBITO")
+SUMIFS(df_extratos!I:I,df_extratos!F:F,"&gt;="&amp;Conciliacao!BG716,df_extratos!F:F,"&lt;"&amp;Conciliacao!BG716+1,df_extratos!G:G,"DEBITO")
+SUMIFS(df_extratos!I:I,df_extratos!F:F,"&gt;="&amp;Conciliacao!BH716,df_extratos!F:F,"&lt;"&amp;Conciliacao!BH716+1,df_extratos!G:G,"DEBITO")</f>
        <v/>
      </c>
      <c r="O716" s="11">
        <f>N716-SUM(J716:M716)</f>
        <v/>
      </c>
      <c r="P716" s="25">
        <f>SUMIFS(df_ajustes_conciliaco!D:D,df_ajustes_conciliaco!C:C,Conciliacao!A716)</f>
        <v/>
      </c>
      <c r="Q716" s="22">
        <f>O716+I716-P716</f>
        <v/>
      </c>
    </row>
    <row r="717">
      <c r="A717" s="5">
        <f>A716+1</f>
        <v/>
      </c>
      <c r="B717" s="3">
        <f>-SUMIFS(df_extrato_zig!G:G,df_extrato_zig!E:E,Conciliacao!A717,df_extrato_zig!D:D,"Saque")-SUMIFS(df_extrato_zig!G:G,df_extrato_zig!E:E,Conciliacao!A717,df_extrato_zig!D:D,"Antecipação")</f>
        <v/>
      </c>
      <c r="C717" s="3">
        <f>SUMIFS(df_extrato_zig!E:E,df_extrato_zig!L:L,Conciliacao!A717,df_extrato_zig!F:F,"DINHEIRO")</f>
        <v/>
      </c>
      <c r="D717" s="3">
        <f>SUMIFS(view_parc_agrup!H:H,view_parc_agrup!G:G,Conciliacao!A717)</f>
        <v/>
      </c>
      <c r="E717" s="3">
        <f>SUMIFS(df_eventos!F:F,df_eventos!H:H,Conciliacao!A717)</f>
        <v/>
      </c>
      <c r="F717" s="3">
        <f>SUMIFS(df_mutuos!M:M,df_mutuos!B:B,Conciliacao!A717)</f>
        <v/>
      </c>
      <c r="G717" s="6">
        <f>SUMIFS(df_bloqueios_judiciais!G:G,df_bloqueios_judiciais!D:D,Conciliacao!A717,df_bloqueios_judiciais!G:G,"&gt;0")</f>
        <v/>
      </c>
      <c r="H717" s="7">
        <f>SUMIFS(df_extratos!I:I,df_extratos!F:F,"&gt;="&amp;Conciliacao!BE717,df_extratos!F:F,"&lt;"&amp;Conciliacao!BE717+1,df_extratos!G:G,"CREDITO")
+SUMIFS(df_extratos!I:I,df_extratos!F:F,"&gt;="&amp;Conciliacao!A717, df_extratos!F:F,"&lt;"&amp;Conciliacao!A717+1, df_extratos!G:G,"CREDITO")
+SUMIFS(df_extratos!I:I,df_extratos!F:F,"&gt;="&amp;Conciliacao!BF717,df_extratos!F:F,"&lt;"&amp;Conciliacao!BF717+1,df_extratos!G:G,"CREDITO")
+SUMIFS(df_extratos!I:I,df_extratos!F:F,"&gt;="&amp;Conciliacao!BG717,df_extratos!F:F,"&lt;"&amp;Conciliacao!BG717+1,df_extratos!G:G,"CREDITO")
+SUMIFS(df_extratos!I:I,df_extratos!F:F,"&gt;="&amp;Conciliacao!BH717,df_extratos!F:F,"&lt;"&amp;Conciliacao!BH717+1,df_extratos!G:G,"CREDITO")</f>
        <v/>
      </c>
      <c r="I717" s="9">
        <f>H717-SUM(B717:G717)</f>
        <v/>
      </c>
      <c r="J717" s="4">
        <f>SUMIFS(df_blueme_sem_parcelamento!E:E,df_blueme_sem_parcelamento!H:H,Conciliacao!A717)*(-1)</f>
        <v/>
      </c>
      <c r="K717" s="4">
        <f>SUMIFS(df_blueme_com_parcelamento!J:J,df_blueme_com_parcelamento!M:M,Conciliacao!A717)*(-1)</f>
        <v/>
      </c>
      <c r="L717" s="4">
        <f>SUMIFS(df_mutuos!N:N,df_mutuos!B:B,Conciliacao!A717)*(-1)</f>
        <v/>
      </c>
      <c r="M717" s="8">
        <f>SUMIFS(df_bloqueios_judiciais!G:G,df_bloqueios_judiciais!D:D,Conciliacao!A717,df_bloqueios_judiciais!G:G,"&lt;0")</f>
        <v/>
      </c>
      <c r="N717" s="10">
        <f>SUMIFS(df_extratos!I:I,df_extratos!F:F,"&gt;="&amp;Conciliacao!BE717,df_extratos!F:F,"&lt;"&amp;Conciliacao!BE717+1,df_extratos!G:G,"DEBITO")
+SUMIFS(df_extratos!I:I,df_extratos!F:F,"&gt;="&amp;Conciliacao!A717, df_extratos!F:F,"&lt;"&amp;Conciliacao!A717+1, df_extratos!G:G,"DEBITO")
+SUMIFS(df_extratos!I:I,df_extratos!F:F,"&gt;="&amp;Conciliacao!BF717,df_extratos!F:F,"&lt;"&amp;Conciliacao!BF717+1,df_extratos!G:G,"DEBITO")
+SUMIFS(df_extratos!I:I,df_extratos!F:F,"&gt;="&amp;Conciliacao!BG717,df_extratos!F:F,"&lt;"&amp;Conciliacao!BG717+1,df_extratos!G:G,"DEBITO")
+SUMIFS(df_extratos!I:I,df_extratos!F:F,"&gt;="&amp;Conciliacao!BH717,df_extratos!F:F,"&lt;"&amp;Conciliacao!BH717+1,df_extratos!G:G,"DEBITO")</f>
        <v/>
      </c>
      <c r="O717" s="11">
        <f>N717-SUM(J717:M717)</f>
        <v/>
      </c>
      <c r="P717" s="25">
        <f>SUMIFS(df_ajustes_conciliaco!D:D,df_ajustes_conciliaco!C:C,Conciliacao!A717)</f>
        <v/>
      </c>
      <c r="Q717" s="22">
        <f>O717+I717-P717</f>
        <v/>
      </c>
    </row>
    <row r="718">
      <c r="A718" s="5">
        <f>A717+1</f>
        <v/>
      </c>
      <c r="B718" s="3">
        <f>-SUMIFS(df_extrato_zig!G:G,df_extrato_zig!E:E,Conciliacao!A718,df_extrato_zig!D:D,"Saque")-SUMIFS(df_extrato_zig!G:G,df_extrato_zig!E:E,Conciliacao!A718,df_extrato_zig!D:D,"Antecipação")</f>
        <v/>
      </c>
      <c r="C718" s="3">
        <f>SUMIFS(df_extrato_zig!E:E,df_extrato_zig!L:L,Conciliacao!A718,df_extrato_zig!F:F,"DINHEIRO")</f>
        <v/>
      </c>
      <c r="D718" s="3">
        <f>SUMIFS(view_parc_agrup!H:H,view_parc_agrup!G:G,Conciliacao!A718)</f>
        <v/>
      </c>
      <c r="E718" s="3">
        <f>SUMIFS(df_eventos!F:F,df_eventos!H:H,Conciliacao!A718)</f>
        <v/>
      </c>
      <c r="F718" s="3">
        <f>SUMIFS(df_mutuos!M:M,df_mutuos!B:B,Conciliacao!A718)</f>
        <v/>
      </c>
      <c r="G718" s="6">
        <f>SUMIFS(df_bloqueios_judiciais!G:G,df_bloqueios_judiciais!D:D,Conciliacao!A718,df_bloqueios_judiciais!G:G,"&gt;0")</f>
        <v/>
      </c>
      <c r="H718" s="7">
        <f>SUMIFS(df_extratos!I:I,df_extratos!F:F,"&gt;="&amp;Conciliacao!BE718,df_extratos!F:F,"&lt;"&amp;Conciliacao!BE718+1,df_extratos!G:G,"CREDITO")
+SUMIFS(df_extratos!I:I,df_extratos!F:F,"&gt;="&amp;Conciliacao!A718, df_extratos!F:F,"&lt;"&amp;Conciliacao!A718+1, df_extratos!G:G,"CREDITO")
+SUMIFS(df_extratos!I:I,df_extratos!F:F,"&gt;="&amp;Conciliacao!BF718,df_extratos!F:F,"&lt;"&amp;Conciliacao!BF718+1,df_extratos!G:G,"CREDITO")
+SUMIFS(df_extratos!I:I,df_extratos!F:F,"&gt;="&amp;Conciliacao!BG718,df_extratos!F:F,"&lt;"&amp;Conciliacao!BG718+1,df_extratos!G:G,"CREDITO")
+SUMIFS(df_extratos!I:I,df_extratos!F:F,"&gt;="&amp;Conciliacao!BH718,df_extratos!F:F,"&lt;"&amp;Conciliacao!BH718+1,df_extratos!G:G,"CREDITO")</f>
        <v/>
      </c>
      <c r="I718" s="9">
        <f>H718-SUM(B718:G718)</f>
        <v/>
      </c>
      <c r="J718" s="4">
        <f>SUMIFS(df_blueme_sem_parcelamento!E:E,df_blueme_sem_parcelamento!H:H,Conciliacao!A718)*(-1)</f>
        <v/>
      </c>
      <c r="K718" s="4">
        <f>SUMIFS(df_blueme_com_parcelamento!J:J,df_blueme_com_parcelamento!M:M,Conciliacao!A718)*(-1)</f>
        <v/>
      </c>
      <c r="L718" s="4">
        <f>SUMIFS(df_mutuos!N:N,df_mutuos!B:B,Conciliacao!A718)*(-1)</f>
        <v/>
      </c>
      <c r="M718" s="8">
        <f>SUMIFS(df_bloqueios_judiciais!G:G,df_bloqueios_judiciais!D:D,Conciliacao!A718,df_bloqueios_judiciais!G:G,"&lt;0")</f>
        <v/>
      </c>
      <c r="N718" s="10">
        <f>SUMIFS(df_extratos!I:I,df_extratos!F:F,"&gt;="&amp;Conciliacao!BE718,df_extratos!F:F,"&lt;"&amp;Conciliacao!BE718+1,df_extratos!G:G,"DEBITO")
+SUMIFS(df_extratos!I:I,df_extratos!F:F,"&gt;="&amp;Conciliacao!A718, df_extratos!F:F,"&lt;"&amp;Conciliacao!A718+1, df_extratos!G:G,"DEBITO")
+SUMIFS(df_extratos!I:I,df_extratos!F:F,"&gt;="&amp;Conciliacao!BF718,df_extratos!F:F,"&lt;"&amp;Conciliacao!BF718+1,df_extratos!G:G,"DEBITO")
+SUMIFS(df_extratos!I:I,df_extratos!F:F,"&gt;="&amp;Conciliacao!BG718,df_extratos!F:F,"&lt;"&amp;Conciliacao!BG718+1,df_extratos!G:G,"DEBITO")
+SUMIFS(df_extratos!I:I,df_extratos!F:F,"&gt;="&amp;Conciliacao!BH718,df_extratos!F:F,"&lt;"&amp;Conciliacao!BH718+1,df_extratos!G:G,"DEBITO")</f>
        <v/>
      </c>
      <c r="O718" s="11">
        <f>N718-SUM(J718:M718)</f>
        <v/>
      </c>
      <c r="P718" s="25">
        <f>SUMIFS(df_ajustes_conciliaco!D:D,df_ajustes_conciliaco!C:C,Conciliacao!A718)</f>
        <v/>
      </c>
      <c r="Q718" s="22">
        <f>O718+I718-P718</f>
        <v/>
      </c>
    </row>
    <row r="719">
      <c r="A719" s="5">
        <f>A718+1</f>
        <v/>
      </c>
      <c r="B719" s="3">
        <f>-SUMIFS(df_extrato_zig!G:G,df_extrato_zig!E:E,Conciliacao!A719,df_extrato_zig!D:D,"Saque")-SUMIFS(df_extrato_zig!G:G,df_extrato_zig!E:E,Conciliacao!A719,df_extrato_zig!D:D,"Antecipação")</f>
        <v/>
      </c>
      <c r="C719" s="3">
        <f>SUMIFS(df_extrato_zig!E:E,df_extrato_zig!L:L,Conciliacao!A719,df_extrato_zig!F:F,"DINHEIRO")</f>
        <v/>
      </c>
      <c r="D719" s="3">
        <f>SUMIFS(view_parc_agrup!H:H,view_parc_agrup!G:G,Conciliacao!A719)</f>
        <v/>
      </c>
      <c r="E719" s="3">
        <f>SUMIFS(df_eventos!F:F,df_eventos!H:H,Conciliacao!A719)</f>
        <v/>
      </c>
      <c r="F719" s="3">
        <f>SUMIFS(df_mutuos!M:M,df_mutuos!B:B,Conciliacao!A719)</f>
        <v/>
      </c>
      <c r="G719" s="6">
        <f>SUMIFS(df_bloqueios_judiciais!G:G,df_bloqueios_judiciais!D:D,Conciliacao!A719,df_bloqueios_judiciais!G:G,"&gt;0")</f>
        <v/>
      </c>
      <c r="H719" s="7">
        <f>SUMIFS(df_extratos!I:I,df_extratos!F:F,"&gt;="&amp;Conciliacao!BE719,df_extratos!F:F,"&lt;"&amp;Conciliacao!BE719+1,df_extratos!G:G,"CREDITO")
+SUMIFS(df_extratos!I:I,df_extratos!F:F,"&gt;="&amp;Conciliacao!A719, df_extratos!F:F,"&lt;"&amp;Conciliacao!A719+1, df_extratos!G:G,"CREDITO")
+SUMIFS(df_extratos!I:I,df_extratos!F:F,"&gt;="&amp;Conciliacao!BF719,df_extratos!F:F,"&lt;"&amp;Conciliacao!BF719+1,df_extratos!G:G,"CREDITO")
+SUMIFS(df_extratos!I:I,df_extratos!F:F,"&gt;="&amp;Conciliacao!BG719,df_extratos!F:F,"&lt;"&amp;Conciliacao!BG719+1,df_extratos!G:G,"CREDITO")
+SUMIFS(df_extratos!I:I,df_extratos!F:F,"&gt;="&amp;Conciliacao!BH719,df_extratos!F:F,"&lt;"&amp;Conciliacao!BH719+1,df_extratos!G:G,"CREDITO")</f>
        <v/>
      </c>
      <c r="I719" s="9">
        <f>H719-SUM(B719:G719)</f>
        <v/>
      </c>
      <c r="J719" s="4">
        <f>SUMIFS(df_blueme_sem_parcelamento!E:E,df_blueme_sem_parcelamento!H:H,Conciliacao!A719)*(-1)</f>
        <v/>
      </c>
      <c r="K719" s="4">
        <f>SUMIFS(df_blueme_com_parcelamento!J:J,df_blueme_com_parcelamento!M:M,Conciliacao!A719)*(-1)</f>
        <v/>
      </c>
      <c r="L719" s="4">
        <f>SUMIFS(df_mutuos!N:N,df_mutuos!B:B,Conciliacao!A719)*(-1)</f>
        <v/>
      </c>
      <c r="M719" s="8">
        <f>SUMIFS(df_bloqueios_judiciais!G:G,df_bloqueios_judiciais!D:D,Conciliacao!A719,df_bloqueios_judiciais!G:G,"&lt;0")</f>
        <v/>
      </c>
      <c r="N719" s="10">
        <f>SUMIFS(df_extratos!I:I,df_extratos!F:F,"&gt;="&amp;Conciliacao!BE719,df_extratos!F:F,"&lt;"&amp;Conciliacao!BE719+1,df_extratos!G:G,"DEBITO")
+SUMIFS(df_extratos!I:I,df_extratos!F:F,"&gt;="&amp;Conciliacao!A719, df_extratos!F:F,"&lt;"&amp;Conciliacao!A719+1, df_extratos!G:G,"DEBITO")
+SUMIFS(df_extratos!I:I,df_extratos!F:F,"&gt;="&amp;Conciliacao!BF719,df_extratos!F:F,"&lt;"&amp;Conciliacao!BF719+1,df_extratos!G:G,"DEBITO")
+SUMIFS(df_extratos!I:I,df_extratos!F:F,"&gt;="&amp;Conciliacao!BG719,df_extratos!F:F,"&lt;"&amp;Conciliacao!BG719+1,df_extratos!G:G,"DEBITO")
+SUMIFS(df_extratos!I:I,df_extratos!F:F,"&gt;="&amp;Conciliacao!BH719,df_extratos!F:F,"&lt;"&amp;Conciliacao!BH719+1,df_extratos!G:G,"DEBITO")</f>
        <v/>
      </c>
      <c r="O719" s="11">
        <f>N719-SUM(J719:M719)</f>
        <v/>
      </c>
      <c r="P719" s="25">
        <f>SUMIFS(df_ajustes_conciliaco!D:D,df_ajustes_conciliaco!C:C,Conciliacao!A719)</f>
        <v/>
      </c>
      <c r="Q719" s="22">
        <f>O719+I719-P719</f>
        <v/>
      </c>
    </row>
    <row r="720">
      <c r="A720" s="5">
        <f>A719+1</f>
        <v/>
      </c>
      <c r="B720" s="3">
        <f>-SUMIFS(df_extrato_zig!G:G,df_extrato_zig!E:E,Conciliacao!A720,df_extrato_zig!D:D,"Saque")-SUMIFS(df_extrato_zig!G:G,df_extrato_zig!E:E,Conciliacao!A720,df_extrato_zig!D:D,"Antecipação")</f>
        <v/>
      </c>
      <c r="C720" s="3">
        <f>SUMIFS(df_extrato_zig!E:E,df_extrato_zig!L:L,Conciliacao!A720,df_extrato_zig!F:F,"DINHEIRO")</f>
        <v/>
      </c>
      <c r="D720" s="3">
        <f>SUMIFS(view_parc_agrup!H:H,view_parc_agrup!G:G,Conciliacao!A720)</f>
        <v/>
      </c>
      <c r="E720" s="3">
        <f>SUMIFS(df_eventos!F:F,df_eventos!H:H,Conciliacao!A720)</f>
        <v/>
      </c>
      <c r="F720" s="3">
        <f>SUMIFS(df_mutuos!M:M,df_mutuos!B:B,Conciliacao!A720)</f>
        <v/>
      </c>
      <c r="G720" s="6">
        <f>SUMIFS(df_bloqueios_judiciais!G:G,df_bloqueios_judiciais!D:D,Conciliacao!A720,df_bloqueios_judiciais!G:G,"&gt;0")</f>
        <v/>
      </c>
      <c r="H720" s="7">
        <f>SUMIFS(df_extratos!I:I,df_extratos!F:F,"&gt;="&amp;Conciliacao!BE720,df_extratos!F:F,"&lt;"&amp;Conciliacao!BE720+1,df_extratos!G:G,"CREDITO")
+SUMIFS(df_extratos!I:I,df_extratos!F:F,"&gt;="&amp;Conciliacao!A720, df_extratos!F:F,"&lt;"&amp;Conciliacao!A720+1, df_extratos!G:G,"CREDITO")
+SUMIFS(df_extratos!I:I,df_extratos!F:F,"&gt;="&amp;Conciliacao!BF720,df_extratos!F:F,"&lt;"&amp;Conciliacao!BF720+1,df_extratos!G:G,"CREDITO")
+SUMIFS(df_extratos!I:I,df_extratos!F:F,"&gt;="&amp;Conciliacao!BG720,df_extratos!F:F,"&lt;"&amp;Conciliacao!BG720+1,df_extratos!G:G,"CREDITO")
+SUMIFS(df_extratos!I:I,df_extratos!F:F,"&gt;="&amp;Conciliacao!BH720,df_extratos!F:F,"&lt;"&amp;Conciliacao!BH720+1,df_extratos!G:G,"CREDITO")</f>
        <v/>
      </c>
      <c r="I720" s="9">
        <f>H720-SUM(B720:G720)</f>
        <v/>
      </c>
      <c r="J720" s="4">
        <f>SUMIFS(df_blueme_sem_parcelamento!E:E,df_blueme_sem_parcelamento!H:H,Conciliacao!A720)*(-1)</f>
        <v/>
      </c>
      <c r="K720" s="4">
        <f>SUMIFS(df_blueme_com_parcelamento!J:J,df_blueme_com_parcelamento!M:M,Conciliacao!A720)*(-1)</f>
        <v/>
      </c>
      <c r="L720" s="4">
        <f>SUMIFS(df_mutuos!N:N,df_mutuos!B:B,Conciliacao!A720)*(-1)</f>
        <v/>
      </c>
      <c r="M720" s="8">
        <f>SUMIFS(df_bloqueios_judiciais!G:G,df_bloqueios_judiciais!D:D,Conciliacao!A720,df_bloqueios_judiciais!G:G,"&lt;0")</f>
        <v/>
      </c>
      <c r="N720" s="10">
        <f>SUMIFS(df_extratos!I:I,df_extratos!F:F,"&gt;="&amp;Conciliacao!BE720,df_extratos!F:F,"&lt;"&amp;Conciliacao!BE720+1,df_extratos!G:G,"DEBITO")
+SUMIFS(df_extratos!I:I,df_extratos!F:F,"&gt;="&amp;Conciliacao!A720, df_extratos!F:F,"&lt;"&amp;Conciliacao!A720+1, df_extratos!G:G,"DEBITO")
+SUMIFS(df_extratos!I:I,df_extratos!F:F,"&gt;="&amp;Conciliacao!BF720,df_extratos!F:F,"&lt;"&amp;Conciliacao!BF720+1,df_extratos!G:G,"DEBITO")
+SUMIFS(df_extratos!I:I,df_extratos!F:F,"&gt;="&amp;Conciliacao!BG720,df_extratos!F:F,"&lt;"&amp;Conciliacao!BG720+1,df_extratos!G:G,"DEBITO")
+SUMIFS(df_extratos!I:I,df_extratos!F:F,"&gt;="&amp;Conciliacao!BH720,df_extratos!F:F,"&lt;"&amp;Conciliacao!BH720+1,df_extratos!G:G,"DEBITO")</f>
        <v/>
      </c>
      <c r="O720" s="11">
        <f>N720-SUM(J720:M720)</f>
        <v/>
      </c>
      <c r="P720" s="25">
        <f>SUMIFS(df_ajustes_conciliaco!D:D,df_ajustes_conciliaco!C:C,Conciliacao!A720)</f>
        <v/>
      </c>
      <c r="Q720" s="22">
        <f>O720+I720-P720</f>
        <v/>
      </c>
    </row>
    <row r="721">
      <c r="A721" s="5">
        <f>A720+1</f>
        <v/>
      </c>
      <c r="B721" s="3">
        <f>-SUMIFS(df_extrato_zig!G:G,df_extrato_zig!E:E,Conciliacao!A721,df_extrato_zig!D:D,"Saque")-SUMIFS(df_extrato_zig!G:G,df_extrato_zig!E:E,Conciliacao!A721,df_extrato_zig!D:D,"Antecipação")</f>
        <v/>
      </c>
      <c r="C721" s="3">
        <f>SUMIFS(df_extrato_zig!E:E,df_extrato_zig!L:L,Conciliacao!A721,df_extrato_zig!F:F,"DINHEIRO")</f>
        <v/>
      </c>
      <c r="D721" s="3">
        <f>SUMIFS(view_parc_agrup!H:H,view_parc_agrup!G:G,Conciliacao!A721)</f>
        <v/>
      </c>
      <c r="E721" s="3">
        <f>SUMIFS(df_eventos!F:F,df_eventos!H:H,Conciliacao!A721)</f>
        <v/>
      </c>
      <c r="F721" s="3">
        <f>SUMIFS(df_mutuos!M:M,df_mutuos!B:B,Conciliacao!A721)</f>
        <v/>
      </c>
      <c r="G721" s="6">
        <f>SUMIFS(df_bloqueios_judiciais!G:G,df_bloqueios_judiciais!D:D,Conciliacao!A721,df_bloqueios_judiciais!G:G,"&gt;0")</f>
        <v/>
      </c>
      <c r="H721" s="7">
        <f>SUMIFS(df_extratos!I:I,df_extratos!F:F,"&gt;="&amp;Conciliacao!BE721,df_extratos!F:F,"&lt;"&amp;Conciliacao!BE721+1,df_extratos!G:G,"CREDITO")
+SUMIFS(df_extratos!I:I,df_extratos!F:F,"&gt;="&amp;Conciliacao!A721, df_extratos!F:F,"&lt;"&amp;Conciliacao!A721+1, df_extratos!G:G,"CREDITO")
+SUMIFS(df_extratos!I:I,df_extratos!F:F,"&gt;="&amp;Conciliacao!BF721,df_extratos!F:F,"&lt;"&amp;Conciliacao!BF721+1,df_extratos!G:G,"CREDITO")
+SUMIFS(df_extratos!I:I,df_extratos!F:F,"&gt;="&amp;Conciliacao!BG721,df_extratos!F:F,"&lt;"&amp;Conciliacao!BG721+1,df_extratos!G:G,"CREDITO")
+SUMIFS(df_extratos!I:I,df_extratos!F:F,"&gt;="&amp;Conciliacao!BH721,df_extratos!F:F,"&lt;"&amp;Conciliacao!BH721+1,df_extratos!G:G,"CREDITO")</f>
        <v/>
      </c>
      <c r="I721" s="9">
        <f>H721-SUM(B721:G721)</f>
        <v/>
      </c>
      <c r="J721" s="4">
        <f>SUMIFS(df_blueme_sem_parcelamento!E:E,df_blueme_sem_parcelamento!H:H,Conciliacao!A721)*(-1)</f>
        <v/>
      </c>
      <c r="K721" s="4">
        <f>SUMIFS(df_blueme_com_parcelamento!J:J,df_blueme_com_parcelamento!M:M,Conciliacao!A721)*(-1)</f>
        <v/>
      </c>
      <c r="L721" s="4">
        <f>SUMIFS(df_mutuos!N:N,df_mutuos!B:B,Conciliacao!A721)*(-1)</f>
        <v/>
      </c>
      <c r="M721" s="8">
        <f>SUMIFS(df_bloqueios_judiciais!G:G,df_bloqueios_judiciais!D:D,Conciliacao!A721,df_bloqueios_judiciais!G:G,"&lt;0")</f>
        <v/>
      </c>
      <c r="N721" s="10">
        <f>SUMIFS(df_extratos!I:I,df_extratos!F:F,"&gt;="&amp;Conciliacao!BE721,df_extratos!F:F,"&lt;"&amp;Conciliacao!BE721+1,df_extratos!G:G,"DEBITO")
+SUMIFS(df_extratos!I:I,df_extratos!F:F,"&gt;="&amp;Conciliacao!A721, df_extratos!F:F,"&lt;"&amp;Conciliacao!A721+1, df_extratos!G:G,"DEBITO")
+SUMIFS(df_extratos!I:I,df_extratos!F:F,"&gt;="&amp;Conciliacao!BF721,df_extratos!F:F,"&lt;"&amp;Conciliacao!BF721+1,df_extratos!G:G,"DEBITO")
+SUMIFS(df_extratos!I:I,df_extratos!F:F,"&gt;="&amp;Conciliacao!BG721,df_extratos!F:F,"&lt;"&amp;Conciliacao!BG721+1,df_extratos!G:G,"DEBITO")
+SUMIFS(df_extratos!I:I,df_extratos!F:F,"&gt;="&amp;Conciliacao!BH721,df_extratos!F:F,"&lt;"&amp;Conciliacao!BH721+1,df_extratos!G:G,"DEBITO")</f>
        <v/>
      </c>
      <c r="O721" s="11">
        <f>N721-SUM(J721:M721)</f>
        <v/>
      </c>
      <c r="P721" s="25">
        <f>SUMIFS(df_ajustes_conciliaco!D:D,df_ajustes_conciliaco!C:C,Conciliacao!A721)</f>
        <v/>
      </c>
      <c r="Q721" s="22">
        <f>O721+I721-P721</f>
        <v/>
      </c>
    </row>
    <row r="722">
      <c r="A722" s="5">
        <f>A721+1</f>
        <v/>
      </c>
      <c r="B722" s="3">
        <f>-SUMIFS(df_extrato_zig!G:G,df_extrato_zig!E:E,Conciliacao!A722,df_extrato_zig!D:D,"Saque")-SUMIFS(df_extrato_zig!G:G,df_extrato_zig!E:E,Conciliacao!A722,df_extrato_zig!D:D,"Antecipação")</f>
        <v/>
      </c>
      <c r="C722" s="3">
        <f>SUMIFS(df_extrato_zig!E:E,df_extrato_zig!L:L,Conciliacao!A722,df_extrato_zig!F:F,"DINHEIRO")</f>
        <v/>
      </c>
      <c r="D722" s="3">
        <f>SUMIFS(view_parc_agrup!H:H,view_parc_agrup!G:G,Conciliacao!A722)</f>
        <v/>
      </c>
      <c r="E722" s="3">
        <f>SUMIFS(df_eventos!F:F,df_eventos!H:H,Conciliacao!A722)</f>
        <v/>
      </c>
      <c r="F722" s="3">
        <f>SUMIFS(df_mutuos!M:M,df_mutuos!B:B,Conciliacao!A722)</f>
        <v/>
      </c>
      <c r="G722" s="6">
        <f>SUMIFS(df_bloqueios_judiciais!G:G,df_bloqueios_judiciais!D:D,Conciliacao!A722,df_bloqueios_judiciais!G:G,"&gt;0")</f>
        <v/>
      </c>
      <c r="H722" s="7">
        <f>SUMIFS(df_extratos!I:I,df_extratos!F:F,"&gt;="&amp;Conciliacao!BE722,df_extratos!F:F,"&lt;"&amp;Conciliacao!BE722+1,df_extratos!G:G,"CREDITO")
+SUMIFS(df_extratos!I:I,df_extratos!F:F,"&gt;="&amp;Conciliacao!A722, df_extratos!F:F,"&lt;"&amp;Conciliacao!A722+1, df_extratos!G:G,"CREDITO")
+SUMIFS(df_extratos!I:I,df_extratos!F:F,"&gt;="&amp;Conciliacao!BF722,df_extratos!F:F,"&lt;"&amp;Conciliacao!BF722+1,df_extratos!G:G,"CREDITO")
+SUMIFS(df_extratos!I:I,df_extratos!F:F,"&gt;="&amp;Conciliacao!BG722,df_extratos!F:F,"&lt;"&amp;Conciliacao!BG722+1,df_extratos!G:G,"CREDITO")
+SUMIFS(df_extratos!I:I,df_extratos!F:F,"&gt;="&amp;Conciliacao!BH722,df_extratos!F:F,"&lt;"&amp;Conciliacao!BH722+1,df_extratos!G:G,"CREDITO")</f>
        <v/>
      </c>
      <c r="I722" s="9">
        <f>H722-SUM(B722:G722)</f>
        <v/>
      </c>
      <c r="J722" s="4">
        <f>SUMIFS(df_blueme_sem_parcelamento!E:E,df_blueme_sem_parcelamento!H:H,Conciliacao!A722)*(-1)</f>
        <v/>
      </c>
      <c r="K722" s="4">
        <f>SUMIFS(df_blueme_com_parcelamento!J:J,df_blueme_com_parcelamento!M:M,Conciliacao!A722)*(-1)</f>
        <v/>
      </c>
      <c r="L722" s="4">
        <f>SUMIFS(df_mutuos!N:N,df_mutuos!B:B,Conciliacao!A722)*(-1)</f>
        <v/>
      </c>
      <c r="M722" s="8">
        <f>SUMIFS(df_bloqueios_judiciais!G:G,df_bloqueios_judiciais!D:D,Conciliacao!A722,df_bloqueios_judiciais!G:G,"&lt;0")</f>
        <v/>
      </c>
      <c r="N722" s="10">
        <f>SUMIFS(df_extratos!I:I,df_extratos!F:F,"&gt;="&amp;Conciliacao!BE722,df_extratos!F:F,"&lt;"&amp;Conciliacao!BE722+1,df_extratos!G:G,"DEBITO")
+SUMIFS(df_extratos!I:I,df_extratos!F:F,"&gt;="&amp;Conciliacao!A722, df_extratos!F:F,"&lt;"&amp;Conciliacao!A722+1, df_extratos!G:G,"DEBITO")
+SUMIFS(df_extratos!I:I,df_extratos!F:F,"&gt;="&amp;Conciliacao!BF722,df_extratos!F:F,"&lt;"&amp;Conciliacao!BF722+1,df_extratos!G:G,"DEBITO")
+SUMIFS(df_extratos!I:I,df_extratos!F:F,"&gt;="&amp;Conciliacao!BG722,df_extratos!F:F,"&lt;"&amp;Conciliacao!BG722+1,df_extratos!G:G,"DEBITO")
+SUMIFS(df_extratos!I:I,df_extratos!F:F,"&gt;="&amp;Conciliacao!BH722,df_extratos!F:F,"&lt;"&amp;Conciliacao!BH722+1,df_extratos!G:G,"DEBITO")</f>
        <v/>
      </c>
      <c r="O722" s="11">
        <f>N722-SUM(J722:M722)</f>
        <v/>
      </c>
      <c r="P722" s="25">
        <f>SUMIFS(df_ajustes_conciliaco!D:D,df_ajustes_conciliaco!C:C,Conciliacao!A722)</f>
        <v/>
      </c>
      <c r="Q722" s="22">
        <f>O722+I722-P722</f>
        <v/>
      </c>
    </row>
    <row r="723">
      <c r="A723" s="5">
        <f>A722+1</f>
        <v/>
      </c>
      <c r="B723" s="3">
        <f>-SUMIFS(df_extrato_zig!G:G,df_extrato_zig!E:E,Conciliacao!A723,df_extrato_zig!D:D,"Saque")-SUMIFS(df_extrato_zig!G:G,df_extrato_zig!E:E,Conciliacao!A723,df_extrato_zig!D:D,"Antecipação")</f>
        <v/>
      </c>
      <c r="C723" s="3">
        <f>SUMIFS(df_extrato_zig!E:E,df_extrato_zig!L:L,Conciliacao!A723,df_extrato_zig!F:F,"DINHEIRO")</f>
        <v/>
      </c>
      <c r="D723" s="3">
        <f>SUMIFS(view_parc_agrup!H:H,view_parc_agrup!G:G,Conciliacao!A723)</f>
        <v/>
      </c>
      <c r="E723" s="3">
        <f>SUMIFS(df_eventos!F:F,df_eventos!H:H,Conciliacao!A723)</f>
        <v/>
      </c>
      <c r="F723" s="3">
        <f>SUMIFS(df_mutuos!M:M,df_mutuos!B:B,Conciliacao!A723)</f>
        <v/>
      </c>
      <c r="G723" s="6">
        <f>SUMIFS(df_bloqueios_judiciais!G:G,df_bloqueios_judiciais!D:D,Conciliacao!A723,df_bloqueios_judiciais!G:G,"&gt;0")</f>
        <v/>
      </c>
      <c r="H723" s="7">
        <f>SUMIFS(df_extratos!I:I,df_extratos!F:F,"&gt;="&amp;Conciliacao!BE723,df_extratos!F:F,"&lt;"&amp;Conciliacao!BE723+1,df_extratos!G:G,"CREDITO")
+SUMIFS(df_extratos!I:I,df_extratos!F:F,"&gt;="&amp;Conciliacao!A723, df_extratos!F:F,"&lt;"&amp;Conciliacao!A723+1, df_extratos!G:G,"CREDITO")
+SUMIFS(df_extratos!I:I,df_extratos!F:F,"&gt;="&amp;Conciliacao!BF723,df_extratos!F:F,"&lt;"&amp;Conciliacao!BF723+1,df_extratos!G:G,"CREDITO")
+SUMIFS(df_extratos!I:I,df_extratos!F:F,"&gt;="&amp;Conciliacao!BG723,df_extratos!F:F,"&lt;"&amp;Conciliacao!BG723+1,df_extratos!G:G,"CREDITO")
+SUMIFS(df_extratos!I:I,df_extratos!F:F,"&gt;="&amp;Conciliacao!BH723,df_extratos!F:F,"&lt;"&amp;Conciliacao!BH723+1,df_extratos!G:G,"CREDITO")</f>
        <v/>
      </c>
      <c r="I723" s="9">
        <f>H723-SUM(B723:G723)</f>
        <v/>
      </c>
      <c r="J723" s="4">
        <f>SUMIFS(df_blueme_sem_parcelamento!E:E,df_blueme_sem_parcelamento!H:H,Conciliacao!A723)*(-1)</f>
        <v/>
      </c>
      <c r="K723" s="4">
        <f>SUMIFS(df_blueme_com_parcelamento!J:J,df_blueme_com_parcelamento!M:M,Conciliacao!A723)*(-1)</f>
        <v/>
      </c>
      <c r="L723" s="4">
        <f>SUMIFS(df_mutuos!N:N,df_mutuos!B:B,Conciliacao!A723)*(-1)</f>
        <v/>
      </c>
      <c r="M723" s="8">
        <f>SUMIFS(df_bloqueios_judiciais!G:G,df_bloqueios_judiciais!D:D,Conciliacao!A723,df_bloqueios_judiciais!G:G,"&lt;0")</f>
        <v/>
      </c>
      <c r="N723" s="10">
        <f>SUMIFS(df_extratos!I:I,df_extratos!F:F,"&gt;="&amp;Conciliacao!BE723,df_extratos!F:F,"&lt;"&amp;Conciliacao!BE723+1,df_extratos!G:G,"DEBITO")
+SUMIFS(df_extratos!I:I,df_extratos!F:F,"&gt;="&amp;Conciliacao!A723, df_extratos!F:F,"&lt;"&amp;Conciliacao!A723+1, df_extratos!G:G,"DEBITO")
+SUMIFS(df_extratos!I:I,df_extratos!F:F,"&gt;="&amp;Conciliacao!BF723,df_extratos!F:F,"&lt;"&amp;Conciliacao!BF723+1,df_extratos!G:G,"DEBITO")
+SUMIFS(df_extratos!I:I,df_extratos!F:F,"&gt;="&amp;Conciliacao!BG723,df_extratos!F:F,"&lt;"&amp;Conciliacao!BG723+1,df_extratos!G:G,"DEBITO")
+SUMIFS(df_extratos!I:I,df_extratos!F:F,"&gt;="&amp;Conciliacao!BH723,df_extratos!F:F,"&lt;"&amp;Conciliacao!BH723+1,df_extratos!G:G,"DEBITO")</f>
        <v/>
      </c>
      <c r="O723" s="11">
        <f>N723-SUM(J723:M723)</f>
        <v/>
      </c>
      <c r="P723" s="25">
        <f>SUMIFS(df_ajustes_conciliaco!D:D,df_ajustes_conciliaco!C:C,Conciliacao!A723)</f>
        <v/>
      </c>
      <c r="Q723" s="22">
        <f>O723+I723-P723</f>
        <v/>
      </c>
    </row>
    <row r="724">
      <c r="A724" s="5">
        <f>A723+1</f>
        <v/>
      </c>
      <c r="B724" s="3">
        <f>-SUMIFS(df_extrato_zig!G:G,df_extrato_zig!E:E,Conciliacao!A724,df_extrato_zig!D:D,"Saque")-SUMIFS(df_extrato_zig!G:G,df_extrato_zig!E:E,Conciliacao!A724,df_extrato_zig!D:D,"Antecipação")</f>
        <v/>
      </c>
      <c r="C724" s="3">
        <f>SUMIFS(df_extrato_zig!E:E,df_extrato_zig!L:L,Conciliacao!A724,df_extrato_zig!F:F,"DINHEIRO")</f>
        <v/>
      </c>
      <c r="D724" s="3">
        <f>SUMIFS(view_parc_agrup!H:H,view_parc_agrup!G:G,Conciliacao!A724)</f>
        <v/>
      </c>
      <c r="E724" s="3">
        <f>SUMIFS(df_eventos!F:F,df_eventos!H:H,Conciliacao!A724)</f>
        <v/>
      </c>
      <c r="F724" s="3">
        <f>SUMIFS(df_mutuos!M:M,df_mutuos!B:B,Conciliacao!A724)</f>
        <v/>
      </c>
      <c r="G724" s="6">
        <f>SUMIFS(df_bloqueios_judiciais!G:G,df_bloqueios_judiciais!D:D,Conciliacao!A724,df_bloqueios_judiciais!G:G,"&gt;0")</f>
        <v/>
      </c>
      <c r="H724" s="7">
        <f>SUMIFS(df_extratos!I:I,df_extratos!F:F,"&gt;="&amp;Conciliacao!BE724,df_extratos!F:F,"&lt;"&amp;Conciliacao!BE724+1,df_extratos!G:G,"CREDITO")
+SUMIFS(df_extratos!I:I,df_extratos!F:F,"&gt;="&amp;Conciliacao!A724, df_extratos!F:F,"&lt;"&amp;Conciliacao!A724+1, df_extratos!G:G,"CREDITO")
+SUMIFS(df_extratos!I:I,df_extratos!F:F,"&gt;="&amp;Conciliacao!BF724,df_extratos!F:F,"&lt;"&amp;Conciliacao!BF724+1,df_extratos!G:G,"CREDITO")
+SUMIFS(df_extratos!I:I,df_extratos!F:F,"&gt;="&amp;Conciliacao!BG724,df_extratos!F:F,"&lt;"&amp;Conciliacao!BG724+1,df_extratos!G:G,"CREDITO")
+SUMIFS(df_extratos!I:I,df_extratos!F:F,"&gt;="&amp;Conciliacao!BH724,df_extratos!F:F,"&lt;"&amp;Conciliacao!BH724+1,df_extratos!G:G,"CREDITO")</f>
        <v/>
      </c>
      <c r="I724" s="9">
        <f>H724-SUM(B724:G724)</f>
        <v/>
      </c>
      <c r="J724" s="4">
        <f>SUMIFS(df_blueme_sem_parcelamento!E:E,df_blueme_sem_parcelamento!H:H,Conciliacao!A724)*(-1)</f>
        <v/>
      </c>
      <c r="K724" s="4">
        <f>SUMIFS(df_blueme_com_parcelamento!J:J,df_blueme_com_parcelamento!M:M,Conciliacao!A724)*(-1)</f>
        <v/>
      </c>
      <c r="L724" s="4">
        <f>SUMIFS(df_mutuos!N:N,df_mutuos!B:B,Conciliacao!A724)*(-1)</f>
        <v/>
      </c>
      <c r="M724" s="8">
        <f>SUMIFS(df_bloqueios_judiciais!G:G,df_bloqueios_judiciais!D:D,Conciliacao!A724,df_bloqueios_judiciais!G:G,"&lt;0")</f>
        <v/>
      </c>
      <c r="N724" s="10">
        <f>SUMIFS(df_extratos!I:I,df_extratos!F:F,"&gt;="&amp;Conciliacao!BE724,df_extratos!F:F,"&lt;"&amp;Conciliacao!BE724+1,df_extratos!G:G,"DEBITO")
+SUMIFS(df_extratos!I:I,df_extratos!F:F,"&gt;="&amp;Conciliacao!A724, df_extratos!F:F,"&lt;"&amp;Conciliacao!A724+1, df_extratos!G:G,"DEBITO")
+SUMIFS(df_extratos!I:I,df_extratos!F:F,"&gt;="&amp;Conciliacao!BF724,df_extratos!F:F,"&lt;"&amp;Conciliacao!BF724+1,df_extratos!G:G,"DEBITO")
+SUMIFS(df_extratos!I:I,df_extratos!F:F,"&gt;="&amp;Conciliacao!BG724,df_extratos!F:F,"&lt;"&amp;Conciliacao!BG724+1,df_extratos!G:G,"DEBITO")
+SUMIFS(df_extratos!I:I,df_extratos!F:F,"&gt;="&amp;Conciliacao!BH724,df_extratos!F:F,"&lt;"&amp;Conciliacao!BH724+1,df_extratos!G:G,"DEBITO")</f>
        <v/>
      </c>
      <c r="O724" s="11">
        <f>N724-SUM(J724:M724)</f>
        <v/>
      </c>
      <c r="P724" s="25">
        <f>SUMIFS(df_ajustes_conciliaco!D:D,df_ajustes_conciliaco!C:C,Conciliacao!A724)</f>
        <v/>
      </c>
      <c r="Q724" s="22">
        <f>O724+I724-P724</f>
        <v/>
      </c>
    </row>
    <row r="725">
      <c r="A725" s="5">
        <f>A724+1</f>
        <v/>
      </c>
      <c r="B725" s="3">
        <f>-SUMIFS(df_extrato_zig!G:G,df_extrato_zig!E:E,Conciliacao!A725,df_extrato_zig!D:D,"Saque")-SUMIFS(df_extrato_zig!G:G,df_extrato_zig!E:E,Conciliacao!A725,df_extrato_zig!D:D,"Antecipação")</f>
        <v/>
      </c>
      <c r="C725" s="3">
        <f>SUMIFS(df_extrato_zig!E:E,df_extrato_zig!L:L,Conciliacao!A725,df_extrato_zig!F:F,"DINHEIRO")</f>
        <v/>
      </c>
      <c r="D725" s="3">
        <f>SUMIFS(view_parc_agrup!H:H,view_parc_agrup!G:G,Conciliacao!A725)</f>
        <v/>
      </c>
      <c r="E725" s="3">
        <f>SUMIFS(df_eventos!F:F,df_eventos!H:H,Conciliacao!A725)</f>
        <v/>
      </c>
      <c r="F725" s="3">
        <f>SUMIFS(df_mutuos!M:M,df_mutuos!B:B,Conciliacao!A725)</f>
        <v/>
      </c>
      <c r="G725" s="6">
        <f>SUMIFS(df_bloqueios_judiciais!G:G,df_bloqueios_judiciais!D:D,Conciliacao!A725,df_bloqueios_judiciais!G:G,"&gt;0")</f>
        <v/>
      </c>
      <c r="H725" s="7">
        <f>SUMIFS(df_extratos!I:I,df_extratos!F:F,"&gt;="&amp;Conciliacao!BE725,df_extratos!F:F,"&lt;"&amp;Conciliacao!BE725+1,df_extratos!G:G,"CREDITO")
+SUMIFS(df_extratos!I:I,df_extratos!F:F,"&gt;="&amp;Conciliacao!A725, df_extratos!F:F,"&lt;"&amp;Conciliacao!A725+1, df_extratos!G:G,"CREDITO")
+SUMIFS(df_extratos!I:I,df_extratos!F:F,"&gt;="&amp;Conciliacao!BF725,df_extratos!F:F,"&lt;"&amp;Conciliacao!BF725+1,df_extratos!G:G,"CREDITO")
+SUMIFS(df_extratos!I:I,df_extratos!F:F,"&gt;="&amp;Conciliacao!BG725,df_extratos!F:F,"&lt;"&amp;Conciliacao!BG725+1,df_extratos!G:G,"CREDITO")
+SUMIFS(df_extratos!I:I,df_extratos!F:F,"&gt;="&amp;Conciliacao!BH725,df_extratos!F:F,"&lt;"&amp;Conciliacao!BH725+1,df_extratos!G:G,"CREDITO")</f>
        <v/>
      </c>
      <c r="I725" s="9">
        <f>H725-SUM(B725:G725)</f>
        <v/>
      </c>
      <c r="J725" s="4">
        <f>SUMIFS(df_blueme_sem_parcelamento!E:E,df_blueme_sem_parcelamento!H:H,Conciliacao!A725)*(-1)</f>
        <v/>
      </c>
      <c r="K725" s="4">
        <f>SUMIFS(df_blueme_com_parcelamento!J:J,df_blueme_com_parcelamento!M:M,Conciliacao!A725)*(-1)</f>
        <v/>
      </c>
      <c r="L725" s="4">
        <f>SUMIFS(df_mutuos!N:N,df_mutuos!B:B,Conciliacao!A725)*(-1)</f>
        <v/>
      </c>
      <c r="M725" s="8">
        <f>SUMIFS(df_bloqueios_judiciais!G:G,df_bloqueios_judiciais!D:D,Conciliacao!A725,df_bloqueios_judiciais!G:G,"&lt;0")</f>
        <v/>
      </c>
      <c r="N725" s="10">
        <f>SUMIFS(df_extratos!I:I,df_extratos!F:F,"&gt;="&amp;Conciliacao!BE725,df_extratos!F:F,"&lt;"&amp;Conciliacao!BE725+1,df_extratos!G:G,"DEBITO")
+SUMIFS(df_extratos!I:I,df_extratos!F:F,"&gt;="&amp;Conciliacao!A725, df_extratos!F:F,"&lt;"&amp;Conciliacao!A725+1, df_extratos!G:G,"DEBITO")
+SUMIFS(df_extratos!I:I,df_extratos!F:F,"&gt;="&amp;Conciliacao!BF725,df_extratos!F:F,"&lt;"&amp;Conciliacao!BF725+1,df_extratos!G:G,"DEBITO")
+SUMIFS(df_extratos!I:I,df_extratos!F:F,"&gt;="&amp;Conciliacao!BG725,df_extratos!F:F,"&lt;"&amp;Conciliacao!BG725+1,df_extratos!G:G,"DEBITO")
+SUMIFS(df_extratos!I:I,df_extratos!F:F,"&gt;="&amp;Conciliacao!BH725,df_extratos!F:F,"&lt;"&amp;Conciliacao!BH725+1,df_extratos!G:G,"DEBITO")</f>
        <v/>
      </c>
      <c r="O725" s="11">
        <f>N725-SUM(J725:M725)</f>
        <v/>
      </c>
      <c r="P725" s="25">
        <f>SUMIFS(df_ajustes_conciliaco!D:D,df_ajustes_conciliaco!C:C,Conciliacao!A725)</f>
        <v/>
      </c>
      <c r="Q725" s="22">
        <f>O725+I725-P725</f>
        <v/>
      </c>
    </row>
    <row r="726">
      <c r="A726" s="5">
        <f>A725+1</f>
        <v/>
      </c>
      <c r="B726" s="3">
        <f>-SUMIFS(df_extrato_zig!G:G,df_extrato_zig!E:E,Conciliacao!A726,df_extrato_zig!D:D,"Saque")-SUMIFS(df_extrato_zig!G:G,df_extrato_zig!E:E,Conciliacao!A726,df_extrato_zig!D:D,"Antecipação")</f>
        <v/>
      </c>
      <c r="C726" s="3">
        <f>SUMIFS(df_extrato_zig!E:E,df_extrato_zig!L:L,Conciliacao!A726,df_extrato_zig!F:F,"DINHEIRO")</f>
        <v/>
      </c>
      <c r="D726" s="3">
        <f>SUMIFS(view_parc_agrup!H:H,view_parc_agrup!G:G,Conciliacao!A726)</f>
        <v/>
      </c>
      <c r="E726" s="3">
        <f>SUMIFS(df_eventos!F:F,df_eventos!H:H,Conciliacao!A726)</f>
        <v/>
      </c>
      <c r="F726" s="3">
        <f>SUMIFS(df_mutuos!M:M,df_mutuos!B:B,Conciliacao!A726)</f>
        <v/>
      </c>
      <c r="G726" s="6">
        <f>SUMIFS(df_bloqueios_judiciais!G:G,df_bloqueios_judiciais!D:D,Conciliacao!A726,df_bloqueios_judiciais!G:G,"&gt;0")</f>
        <v/>
      </c>
      <c r="H726" s="7">
        <f>SUMIFS(df_extratos!I:I,df_extratos!F:F,"&gt;="&amp;Conciliacao!BE726,df_extratos!F:F,"&lt;"&amp;Conciliacao!BE726+1,df_extratos!G:G,"CREDITO")
+SUMIFS(df_extratos!I:I,df_extratos!F:F,"&gt;="&amp;Conciliacao!A726, df_extratos!F:F,"&lt;"&amp;Conciliacao!A726+1, df_extratos!G:G,"CREDITO")
+SUMIFS(df_extratos!I:I,df_extratos!F:F,"&gt;="&amp;Conciliacao!BF726,df_extratos!F:F,"&lt;"&amp;Conciliacao!BF726+1,df_extratos!G:G,"CREDITO")
+SUMIFS(df_extratos!I:I,df_extratos!F:F,"&gt;="&amp;Conciliacao!BG726,df_extratos!F:F,"&lt;"&amp;Conciliacao!BG726+1,df_extratos!G:G,"CREDITO")
+SUMIFS(df_extratos!I:I,df_extratos!F:F,"&gt;="&amp;Conciliacao!BH726,df_extratos!F:F,"&lt;"&amp;Conciliacao!BH726+1,df_extratos!G:G,"CREDITO")</f>
        <v/>
      </c>
      <c r="I726" s="9">
        <f>H726-SUM(B726:G726)</f>
        <v/>
      </c>
      <c r="J726" s="4">
        <f>SUMIFS(df_blueme_sem_parcelamento!E:E,df_blueme_sem_parcelamento!H:H,Conciliacao!A726)*(-1)</f>
        <v/>
      </c>
      <c r="K726" s="4">
        <f>SUMIFS(df_blueme_com_parcelamento!J:J,df_blueme_com_parcelamento!M:M,Conciliacao!A726)*(-1)</f>
        <v/>
      </c>
      <c r="L726" s="4">
        <f>SUMIFS(df_mutuos!N:N,df_mutuos!B:B,Conciliacao!A726)*(-1)</f>
        <v/>
      </c>
      <c r="M726" s="8">
        <f>SUMIFS(df_bloqueios_judiciais!G:G,df_bloqueios_judiciais!D:D,Conciliacao!A726,df_bloqueios_judiciais!G:G,"&lt;0")</f>
        <v/>
      </c>
      <c r="N726" s="10">
        <f>SUMIFS(df_extratos!I:I,df_extratos!F:F,"&gt;="&amp;Conciliacao!BE726,df_extratos!F:F,"&lt;"&amp;Conciliacao!BE726+1,df_extratos!G:G,"DEBITO")
+SUMIFS(df_extratos!I:I,df_extratos!F:F,"&gt;="&amp;Conciliacao!A726, df_extratos!F:F,"&lt;"&amp;Conciliacao!A726+1, df_extratos!G:G,"DEBITO")
+SUMIFS(df_extratos!I:I,df_extratos!F:F,"&gt;="&amp;Conciliacao!BF726,df_extratos!F:F,"&lt;"&amp;Conciliacao!BF726+1,df_extratos!G:G,"DEBITO")
+SUMIFS(df_extratos!I:I,df_extratos!F:F,"&gt;="&amp;Conciliacao!BG726,df_extratos!F:F,"&lt;"&amp;Conciliacao!BG726+1,df_extratos!G:G,"DEBITO")
+SUMIFS(df_extratos!I:I,df_extratos!F:F,"&gt;="&amp;Conciliacao!BH726,df_extratos!F:F,"&lt;"&amp;Conciliacao!BH726+1,df_extratos!G:G,"DEBITO")</f>
        <v/>
      </c>
      <c r="O726" s="11">
        <f>N726-SUM(J726:M726)</f>
        <v/>
      </c>
      <c r="P726" s="25">
        <f>SUMIFS(df_ajustes_conciliaco!D:D,df_ajustes_conciliaco!C:C,Conciliacao!A726)</f>
        <v/>
      </c>
      <c r="Q726" s="22">
        <f>O726+I726-P726</f>
        <v/>
      </c>
    </row>
    <row r="727">
      <c r="A727" s="5">
        <f>A726+1</f>
        <v/>
      </c>
      <c r="B727" s="3">
        <f>-SUMIFS(df_extrato_zig!G:G,df_extrato_zig!E:E,Conciliacao!A727,df_extrato_zig!D:D,"Saque")-SUMIFS(df_extrato_zig!G:G,df_extrato_zig!E:E,Conciliacao!A727,df_extrato_zig!D:D,"Antecipação")</f>
        <v/>
      </c>
      <c r="C727" s="3">
        <f>SUMIFS(df_extrato_zig!E:E,df_extrato_zig!L:L,Conciliacao!A727,df_extrato_zig!F:F,"DINHEIRO")</f>
        <v/>
      </c>
      <c r="D727" s="3">
        <f>SUMIFS(view_parc_agrup!H:H,view_parc_agrup!G:G,Conciliacao!A727)</f>
        <v/>
      </c>
      <c r="E727" s="3">
        <f>SUMIFS(df_eventos!F:F,df_eventos!H:H,Conciliacao!A727)</f>
        <v/>
      </c>
      <c r="F727" s="3">
        <f>SUMIFS(df_mutuos!M:M,df_mutuos!B:B,Conciliacao!A727)</f>
        <v/>
      </c>
      <c r="G727" s="6">
        <f>SUMIFS(df_bloqueios_judiciais!G:G,df_bloqueios_judiciais!D:D,Conciliacao!A727,df_bloqueios_judiciais!G:G,"&gt;0")</f>
        <v/>
      </c>
      <c r="H727" s="7">
        <f>SUMIFS(df_extratos!I:I,df_extratos!F:F,"&gt;="&amp;Conciliacao!BE727,df_extratos!F:F,"&lt;"&amp;Conciliacao!BE727+1,df_extratos!G:G,"CREDITO")
+SUMIFS(df_extratos!I:I,df_extratos!F:F,"&gt;="&amp;Conciliacao!A727, df_extratos!F:F,"&lt;"&amp;Conciliacao!A727+1, df_extratos!G:G,"CREDITO")
+SUMIFS(df_extratos!I:I,df_extratos!F:F,"&gt;="&amp;Conciliacao!BF727,df_extratos!F:F,"&lt;"&amp;Conciliacao!BF727+1,df_extratos!G:G,"CREDITO")
+SUMIFS(df_extratos!I:I,df_extratos!F:F,"&gt;="&amp;Conciliacao!BG727,df_extratos!F:F,"&lt;"&amp;Conciliacao!BG727+1,df_extratos!G:G,"CREDITO")
+SUMIFS(df_extratos!I:I,df_extratos!F:F,"&gt;="&amp;Conciliacao!BH727,df_extratos!F:F,"&lt;"&amp;Conciliacao!BH727+1,df_extratos!G:G,"CREDITO")</f>
        <v/>
      </c>
      <c r="I727" s="9">
        <f>H727-SUM(B727:G727)</f>
        <v/>
      </c>
      <c r="J727" s="4">
        <f>SUMIFS(df_blueme_sem_parcelamento!E:E,df_blueme_sem_parcelamento!H:H,Conciliacao!A727)*(-1)</f>
        <v/>
      </c>
      <c r="K727" s="4">
        <f>SUMIFS(df_blueme_com_parcelamento!J:J,df_blueme_com_parcelamento!M:M,Conciliacao!A727)*(-1)</f>
        <v/>
      </c>
      <c r="L727" s="4">
        <f>SUMIFS(df_mutuos!N:N,df_mutuos!B:B,Conciliacao!A727)*(-1)</f>
        <v/>
      </c>
      <c r="M727" s="8">
        <f>SUMIFS(df_bloqueios_judiciais!G:G,df_bloqueios_judiciais!D:D,Conciliacao!A727,df_bloqueios_judiciais!G:G,"&lt;0")</f>
        <v/>
      </c>
      <c r="N727" s="10">
        <f>SUMIFS(df_extratos!I:I,df_extratos!F:F,"&gt;="&amp;Conciliacao!BE727,df_extratos!F:F,"&lt;"&amp;Conciliacao!BE727+1,df_extratos!G:G,"DEBITO")
+SUMIFS(df_extratos!I:I,df_extratos!F:F,"&gt;="&amp;Conciliacao!A727, df_extratos!F:F,"&lt;"&amp;Conciliacao!A727+1, df_extratos!G:G,"DEBITO")
+SUMIFS(df_extratos!I:I,df_extratos!F:F,"&gt;="&amp;Conciliacao!BF727,df_extratos!F:F,"&lt;"&amp;Conciliacao!BF727+1,df_extratos!G:G,"DEBITO")
+SUMIFS(df_extratos!I:I,df_extratos!F:F,"&gt;="&amp;Conciliacao!BG727,df_extratos!F:F,"&lt;"&amp;Conciliacao!BG727+1,df_extratos!G:G,"DEBITO")
+SUMIFS(df_extratos!I:I,df_extratos!F:F,"&gt;="&amp;Conciliacao!BH727,df_extratos!F:F,"&lt;"&amp;Conciliacao!BH727+1,df_extratos!G:G,"DEBITO")</f>
        <v/>
      </c>
      <c r="O727" s="11">
        <f>N727-SUM(J727:M727)</f>
        <v/>
      </c>
      <c r="P727" s="25">
        <f>SUMIFS(df_ajustes_conciliaco!D:D,df_ajustes_conciliaco!C:C,Conciliacao!A727)</f>
        <v/>
      </c>
      <c r="Q727" s="22">
        <f>O727+I727-P727</f>
        <v/>
      </c>
    </row>
    <row r="728">
      <c r="A728" s="5">
        <f>A727+1</f>
        <v/>
      </c>
      <c r="B728" s="3">
        <f>-SUMIFS(df_extrato_zig!G:G,df_extrato_zig!E:E,Conciliacao!A728,df_extrato_zig!D:D,"Saque")-SUMIFS(df_extrato_zig!G:G,df_extrato_zig!E:E,Conciliacao!A728,df_extrato_zig!D:D,"Antecipação")</f>
        <v/>
      </c>
      <c r="C728" s="3">
        <f>SUMIFS(df_extrato_zig!E:E,df_extrato_zig!L:L,Conciliacao!A728,df_extrato_zig!F:F,"DINHEIRO")</f>
        <v/>
      </c>
      <c r="D728" s="3">
        <f>SUMIFS(view_parc_agrup!H:H,view_parc_agrup!G:G,Conciliacao!A728)</f>
        <v/>
      </c>
      <c r="E728" s="3">
        <f>SUMIFS(df_eventos!F:F,df_eventos!H:H,Conciliacao!A728)</f>
        <v/>
      </c>
      <c r="F728" s="3">
        <f>SUMIFS(df_mutuos!M:M,df_mutuos!B:B,Conciliacao!A728)</f>
        <v/>
      </c>
      <c r="G728" s="6">
        <f>SUMIFS(df_bloqueios_judiciais!G:G,df_bloqueios_judiciais!D:D,Conciliacao!A728,df_bloqueios_judiciais!G:G,"&gt;0")</f>
        <v/>
      </c>
      <c r="H728" s="7">
        <f>SUMIFS(df_extratos!I:I,df_extratos!F:F,"&gt;="&amp;Conciliacao!BE728,df_extratos!F:F,"&lt;"&amp;Conciliacao!BE728+1,df_extratos!G:G,"CREDITO")
+SUMIFS(df_extratos!I:I,df_extratos!F:F,"&gt;="&amp;Conciliacao!A728, df_extratos!F:F,"&lt;"&amp;Conciliacao!A728+1, df_extratos!G:G,"CREDITO")
+SUMIFS(df_extratos!I:I,df_extratos!F:F,"&gt;="&amp;Conciliacao!BF728,df_extratos!F:F,"&lt;"&amp;Conciliacao!BF728+1,df_extratos!G:G,"CREDITO")
+SUMIFS(df_extratos!I:I,df_extratos!F:F,"&gt;="&amp;Conciliacao!BG728,df_extratos!F:F,"&lt;"&amp;Conciliacao!BG728+1,df_extratos!G:G,"CREDITO")
+SUMIFS(df_extratos!I:I,df_extratos!F:F,"&gt;="&amp;Conciliacao!BH728,df_extratos!F:F,"&lt;"&amp;Conciliacao!BH728+1,df_extratos!G:G,"CREDITO")</f>
        <v/>
      </c>
      <c r="I728" s="9">
        <f>H728-SUM(B728:G728)</f>
        <v/>
      </c>
      <c r="J728" s="4">
        <f>SUMIFS(df_blueme_sem_parcelamento!E:E,df_blueme_sem_parcelamento!H:H,Conciliacao!A728)*(-1)</f>
        <v/>
      </c>
      <c r="K728" s="4">
        <f>SUMIFS(df_blueme_com_parcelamento!J:J,df_blueme_com_parcelamento!M:M,Conciliacao!A728)*(-1)</f>
        <v/>
      </c>
      <c r="L728" s="4">
        <f>SUMIFS(df_mutuos!N:N,df_mutuos!B:B,Conciliacao!A728)*(-1)</f>
        <v/>
      </c>
      <c r="M728" s="8">
        <f>SUMIFS(df_bloqueios_judiciais!G:G,df_bloqueios_judiciais!D:D,Conciliacao!A728,df_bloqueios_judiciais!G:G,"&lt;0")</f>
        <v/>
      </c>
      <c r="N728" s="10">
        <f>SUMIFS(df_extratos!I:I,df_extratos!F:F,"&gt;="&amp;Conciliacao!BE728,df_extratos!F:F,"&lt;"&amp;Conciliacao!BE728+1,df_extratos!G:G,"DEBITO")
+SUMIFS(df_extratos!I:I,df_extratos!F:F,"&gt;="&amp;Conciliacao!A728, df_extratos!F:F,"&lt;"&amp;Conciliacao!A728+1, df_extratos!G:G,"DEBITO")
+SUMIFS(df_extratos!I:I,df_extratos!F:F,"&gt;="&amp;Conciliacao!BF728,df_extratos!F:F,"&lt;"&amp;Conciliacao!BF728+1,df_extratos!G:G,"DEBITO")
+SUMIFS(df_extratos!I:I,df_extratos!F:F,"&gt;="&amp;Conciliacao!BG728,df_extratos!F:F,"&lt;"&amp;Conciliacao!BG728+1,df_extratos!G:G,"DEBITO")
+SUMIFS(df_extratos!I:I,df_extratos!F:F,"&gt;="&amp;Conciliacao!BH728,df_extratos!F:F,"&lt;"&amp;Conciliacao!BH728+1,df_extratos!G:G,"DEBITO")</f>
        <v/>
      </c>
      <c r="O728" s="11">
        <f>N728-SUM(J728:M728)</f>
        <v/>
      </c>
      <c r="P728" s="25">
        <f>SUMIFS(df_ajustes_conciliaco!D:D,df_ajustes_conciliaco!C:C,Conciliacao!A728)</f>
        <v/>
      </c>
      <c r="Q728" s="22">
        <f>O728+I728-P728</f>
        <v/>
      </c>
    </row>
    <row r="729">
      <c r="A729" s="5">
        <f>A728+1</f>
        <v/>
      </c>
      <c r="B729" s="3">
        <f>-SUMIFS(df_extrato_zig!G:G,df_extrato_zig!E:E,Conciliacao!A729,df_extrato_zig!D:D,"Saque")-SUMIFS(df_extrato_zig!G:G,df_extrato_zig!E:E,Conciliacao!A729,df_extrato_zig!D:D,"Antecipação")</f>
        <v/>
      </c>
      <c r="C729" s="3">
        <f>SUMIFS(df_extrato_zig!E:E,df_extrato_zig!L:L,Conciliacao!A729,df_extrato_zig!F:F,"DINHEIRO")</f>
        <v/>
      </c>
      <c r="D729" s="3">
        <f>SUMIFS(view_parc_agrup!H:H,view_parc_agrup!G:G,Conciliacao!A729)</f>
        <v/>
      </c>
      <c r="E729" s="3">
        <f>SUMIFS(df_eventos!F:F,df_eventos!H:H,Conciliacao!A729)</f>
        <v/>
      </c>
      <c r="F729" s="3">
        <f>SUMIFS(df_mutuos!M:M,df_mutuos!B:B,Conciliacao!A729)</f>
        <v/>
      </c>
      <c r="G729" s="6">
        <f>SUMIFS(df_bloqueios_judiciais!G:G,df_bloqueios_judiciais!D:D,Conciliacao!A729,df_bloqueios_judiciais!G:G,"&gt;0")</f>
        <v/>
      </c>
      <c r="H729" s="7">
        <f>SUMIFS(df_extratos!I:I,df_extratos!F:F,"&gt;="&amp;Conciliacao!BE729,df_extratos!F:F,"&lt;"&amp;Conciliacao!BE729+1,df_extratos!G:G,"CREDITO")
+SUMIFS(df_extratos!I:I,df_extratos!F:F,"&gt;="&amp;Conciliacao!A729, df_extratos!F:F,"&lt;"&amp;Conciliacao!A729+1, df_extratos!G:G,"CREDITO")
+SUMIFS(df_extratos!I:I,df_extratos!F:F,"&gt;="&amp;Conciliacao!BF729,df_extratos!F:F,"&lt;"&amp;Conciliacao!BF729+1,df_extratos!G:G,"CREDITO")
+SUMIFS(df_extratos!I:I,df_extratos!F:F,"&gt;="&amp;Conciliacao!BG729,df_extratos!F:F,"&lt;"&amp;Conciliacao!BG729+1,df_extratos!G:G,"CREDITO")
+SUMIFS(df_extratos!I:I,df_extratos!F:F,"&gt;="&amp;Conciliacao!BH729,df_extratos!F:F,"&lt;"&amp;Conciliacao!BH729+1,df_extratos!G:G,"CREDITO")</f>
        <v/>
      </c>
      <c r="I729" s="9">
        <f>H729-SUM(B729:G729)</f>
        <v/>
      </c>
      <c r="J729" s="4">
        <f>SUMIFS(df_blueme_sem_parcelamento!E:E,df_blueme_sem_parcelamento!H:H,Conciliacao!A729)*(-1)</f>
        <v/>
      </c>
      <c r="K729" s="4">
        <f>SUMIFS(df_blueme_com_parcelamento!J:J,df_blueme_com_parcelamento!M:M,Conciliacao!A729)*(-1)</f>
        <v/>
      </c>
      <c r="L729" s="4">
        <f>SUMIFS(df_mutuos!N:N,df_mutuos!B:B,Conciliacao!A729)*(-1)</f>
        <v/>
      </c>
      <c r="M729" s="8">
        <f>SUMIFS(df_bloqueios_judiciais!G:G,df_bloqueios_judiciais!D:D,Conciliacao!A729,df_bloqueios_judiciais!G:G,"&lt;0")</f>
        <v/>
      </c>
      <c r="N729" s="10">
        <f>SUMIFS(df_extratos!I:I,df_extratos!F:F,"&gt;="&amp;Conciliacao!BE729,df_extratos!F:F,"&lt;"&amp;Conciliacao!BE729+1,df_extratos!G:G,"DEBITO")
+SUMIFS(df_extratos!I:I,df_extratos!F:F,"&gt;="&amp;Conciliacao!A729, df_extratos!F:F,"&lt;"&amp;Conciliacao!A729+1, df_extratos!G:G,"DEBITO")
+SUMIFS(df_extratos!I:I,df_extratos!F:F,"&gt;="&amp;Conciliacao!BF729,df_extratos!F:F,"&lt;"&amp;Conciliacao!BF729+1,df_extratos!G:G,"DEBITO")
+SUMIFS(df_extratos!I:I,df_extratos!F:F,"&gt;="&amp;Conciliacao!BG729,df_extratos!F:F,"&lt;"&amp;Conciliacao!BG729+1,df_extratos!G:G,"DEBITO")
+SUMIFS(df_extratos!I:I,df_extratos!F:F,"&gt;="&amp;Conciliacao!BH729,df_extratos!F:F,"&lt;"&amp;Conciliacao!BH729+1,df_extratos!G:G,"DEBITO")</f>
        <v/>
      </c>
      <c r="O729" s="11">
        <f>N729-SUM(J729:M729)</f>
        <v/>
      </c>
      <c r="P729" s="25">
        <f>SUMIFS(df_ajustes_conciliaco!D:D,df_ajustes_conciliaco!C:C,Conciliacao!A729)</f>
        <v/>
      </c>
      <c r="Q729" s="22">
        <f>O729+I729-P729</f>
        <v/>
      </c>
    </row>
    <row r="730">
      <c r="A730" s="5">
        <f>A729+1</f>
        <v/>
      </c>
      <c r="B730" s="3">
        <f>-SUMIFS(df_extrato_zig!G:G,df_extrato_zig!E:E,Conciliacao!A730,df_extrato_zig!D:D,"Saque")-SUMIFS(df_extrato_zig!G:G,df_extrato_zig!E:E,Conciliacao!A730,df_extrato_zig!D:D,"Antecipação")</f>
        <v/>
      </c>
      <c r="C730" s="3">
        <f>SUMIFS(df_extrato_zig!E:E,df_extrato_zig!L:L,Conciliacao!A730,df_extrato_zig!F:F,"DINHEIRO")</f>
        <v/>
      </c>
      <c r="D730" s="3">
        <f>SUMIFS(view_parc_agrup!H:H,view_parc_agrup!G:G,Conciliacao!A730)</f>
        <v/>
      </c>
      <c r="E730" s="3">
        <f>SUMIFS(df_eventos!F:F,df_eventos!H:H,Conciliacao!A730)</f>
        <v/>
      </c>
      <c r="F730" s="3">
        <f>SUMIFS(df_mutuos!M:M,df_mutuos!B:B,Conciliacao!A730)</f>
        <v/>
      </c>
      <c r="G730" s="6">
        <f>SUMIFS(df_bloqueios_judiciais!G:G,df_bloqueios_judiciais!D:D,Conciliacao!A730,df_bloqueios_judiciais!G:G,"&gt;0")</f>
        <v/>
      </c>
      <c r="H730" s="7">
        <f>SUMIFS(df_extratos!I:I,df_extratos!F:F,"&gt;="&amp;Conciliacao!BE730,df_extratos!F:F,"&lt;"&amp;Conciliacao!BE730+1,df_extratos!G:G,"CREDITO")
+SUMIFS(df_extratos!I:I,df_extratos!F:F,"&gt;="&amp;Conciliacao!A730, df_extratos!F:F,"&lt;"&amp;Conciliacao!A730+1, df_extratos!G:G,"CREDITO")
+SUMIFS(df_extratos!I:I,df_extratos!F:F,"&gt;="&amp;Conciliacao!BF730,df_extratos!F:F,"&lt;"&amp;Conciliacao!BF730+1,df_extratos!G:G,"CREDITO")
+SUMIFS(df_extratos!I:I,df_extratos!F:F,"&gt;="&amp;Conciliacao!BG730,df_extratos!F:F,"&lt;"&amp;Conciliacao!BG730+1,df_extratos!G:G,"CREDITO")
+SUMIFS(df_extratos!I:I,df_extratos!F:F,"&gt;="&amp;Conciliacao!BH730,df_extratos!F:F,"&lt;"&amp;Conciliacao!BH730+1,df_extratos!G:G,"CREDITO")</f>
        <v/>
      </c>
      <c r="I730" s="9">
        <f>H730-SUM(B730:G730)</f>
        <v/>
      </c>
      <c r="J730" s="4">
        <f>SUMIFS(df_blueme_sem_parcelamento!E:E,df_blueme_sem_parcelamento!H:H,Conciliacao!A730)*(-1)</f>
        <v/>
      </c>
      <c r="K730" s="4">
        <f>SUMIFS(df_blueme_com_parcelamento!J:J,df_blueme_com_parcelamento!M:M,Conciliacao!A730)*(-1)</f>
        <v/>
      </c>
      <c r="L730" s="4">
        <f>SUMIFS(df_mutuos!N:N,df_mutuos!B:B,Conciliacao!A730)*(-1)</f>
        <v/>
      </c>
      <c r="M730" s="8">
        <f>SUMIFS(df_bloqueios_judiciais!G:G,df_bloqueios_judiciais!D:D,Conciliacao!A730,df_bloqueios_judiciais!G:G,"&lt;0")</f>
        <v/>
      </c>
      <c r="N730" s="10">
        <f>SUMIFS(df_extratos!I:I,df_extratos!F:F,"&gt;="&amp;Conciliacao!BE730,df_extratos!F:F,"&lt;"&amp;Conciliacao!BE730+1,df_extratos!G:G,"DEBITO")
+SUMIFS(df_extratos!I:I,df_extratos!F:F,"&gt;="&amp;Conciliacao!A730, df_extratos!F:F,"&lt;"&amp;Conciliacao!A730+1, df_extratos!G:G,"DEBITO")
+SUMIFS(df_extratos!I:I,df_extratos!F:F,"&gt;="&amp;Conciliacao!BF730,df_extratos!F:F,"&lt;"&amp;Conciliacao!BF730+1,df_extratos!G:G,"DEBITO")
+SUMIFS(df_extratos!I:I,df_extratos!F:F,"&gt;="&amp;Conciliacao!BG730,df_extratos!F:F,"&lt;"&amp;Conciliacao!BG730+1,df_extratos!G:G,"DEBITO")
+SUMIFS(df_extratos!I:I,df_extratos!F:F,"&gt;="&amp;Conciliacao!BH730,df_extratos!F:F,"&lt;"&amp;Conciliacao!BH730+1,df_extratos!G:G,"DEBITO")</f>
        <v/>
      </c>
      <c r="O730" s="11">
        <f>N730-SUM(J730:M730)</f>
        <v/>
      </c>
      <c r="P730" s="25">
        <f>SUMIFS(df_ajustes_conciliaco!D:D,df_ajustes_conciliaco!C:C,Conciliacao!A730)</f>
        <v/>
      </c>
      <c r="Q730" s="22">
        <f>O730+I730-P730</f>
        <v/>
      </c>
    </row>
    <row r="731">
      <c r="A731" s="5">
        <f>A730+1</f>
        <v/>
      </c>
      <c r="B731" s="3">
        <f>-SUMIFS(df_extrato_zig!G:G,df_extrato_zig!E:E,Conciliacao!A731,df_extrato_zig!D:D,"Saque")-SUMIFS(df_extrato_zig!G:G,df_extrato_zig!E:E,Conciliacao!A731,df_extrato_zig!D:D,"Antecipação")</f>
        <v/>
      </c>
      <c r="C731" s="3">
        <f>SUMIFS(df_extrato_zig!E:E,df_extrato_zig!L:L,Conciliacao!A731,df_extrato_zig!F:F,"DINHEIRO")</f>
        <v/>
      </c>
      <c r="D731" s="3">
        <f>SUMIFS(view_parc_agrup!H:H,view_parc_agrup!G:G,Conciliacao!A731)</f>
        <v/>
      </c>
      <c r="E731" s="3">
        <f>SUMIFS(df_eventos!F:F,df_eventos!H:H,Conciliacao!A731)</f>
        <v/>
      </c>
      <c r="F731" s="3">
        <f>SUMIFS(df_mutuos!M:M,df_mutuos!B:B,Conciliacao!A731)</f>
        <v/>
      </c>
      <c r="G731" s="6">
        <f>SUMIFS(df_bloqueios_judiciais!G:G,df_bloqueios_judiciais!D:D,Conciliacao!A731,df_bloqueios_judiciais!G:G,"&gt;0")</f>
        <v/>
      </c>
      <c r="H731" s="7">
        <f>SUMIFS(df_extratos!I:I,df_extratos!F:F,"&gt;="&amp;Conciliacao!BE731,df_extratos!F:F,"&lt;"&amp;Conciliacao!BE731+1,df_extratos!G:G,"CREDITO")
+SUMIFS(df_extratos!I:I,df_extratos!F:F,"&gt;="&amp;Conciliacao!A731, df_extratos!F:F,"&lt;"&amp;Conciliacao!A731+1, df_extratos!G:G,"CREDITO")
+SUMIFS(df_extratos!I:I,df_extratos!F:F,"&gt;="&amp;Conciliacao!BF731,df_extratos!F:F,"&lt;"&amp;Conciliacao!BF731+1,df_extratos!G:G,"CREDITO")
+SUMIFS(df_extratos!I:I,df_extratos!F:F,"&gt;="&amp;Conciliacao!BG731,df_extratos!F:F,"&lt;"&amp;Conciliacao!BG731+1,df_extratos!G:G,"CREDITO")
+SUMIFS(df_extratos!I:I,df_extratos!F:F,"&gt;="&amp;Conciliacao!BH731,df_extratos!F:F,"&lt;"&amp;Conciliacao!BH731+1,df_extratos!G:G,"CREDITO")</f>
        <v/>
      </c>
      <c r="I731" s="9">
        <f>H731-SUM(B731:G731)</f>
        <v/>
      </c>
      <c r="J731" s="4">
        <f>SUMIFS(df_blueme_sem_parcelamento!E:E,df_blueme_sem_parcelamento!H:H,Conciliacao!A731)*(-1)</f>
        <v/>
      </c>
      <c r="K731" s="4">
        <f>SUMIFS(df_blueme_com_parcelamento!J:J,df_blueme_com_parcelamento!M:M,Conciliacao!A731)*(-1)</f>
        <v/>
      </c>
      <c r="L731" s="4">
        <f>SUMIFS(df_mutuos!N:N,df_mutuos!B:B,Conciliacao!A731)*(-1)</f>
        <v/>
      </c>
      <c r="M731" s="8">
        <f>SUMIFS(df_bloqueios_judiciais!G:G,df_bloqueios_judiciais!D:D,Conciliacao!A731,df_bloqueios_judiciais!G:G,"&lt;0")</f>
        <v/>
      </c>
      <c r="N731" s="10">
        <f>SUMIFS(df_extratos!I:I,df_extratos!F:F,"&gt;="&amp;Conciliacao!BE731,df_extratos!F:F,"&lt;"&amp;Conciliacao!BE731+1,df_extratos!G:G,"DEBITO")
+SUMIFS(df_extratos!I:I,df_extratos!F:F,"&gt;="&amp;Conciliacao!A731, df_extratos!F:F,"&lt;"&amp;Conciliacao!A731+1, df_extratos!G:G,"DEBITO")
+SUMIFS(df_extratos!I:I,df_extratos!F:F,"&gt;="&amp;Conciliacao!BF731,df_extratos!F:F,"&lt;"&amp;Conciliacao!BF731+1,df_extratos!G:G,"DEBITO")
+SUMIFS(df_extratos!I:I,df_extratos!F:F,"&gt;="&amp;Conciliacao!BG731,df_extratos!F:F,"&lt;"&amp;Conciliacao!BG731+1,df_extratos!G:G,"DEBITO")
+SUMIFS(df_extratos!I:I,df_extratos!F:F,"&gt;="&amp;Conciliacao!BH731,df_extratos!F:F,"&lt;"&amp;Conciliacao!BH731+1,df_extratos!G:G,"DEBITO")</f>
        <v/>
      </c>
      <c r="O731" s="11">
        <f>N731-SUM(J731:M731)</f>
        <v/>
      </c>
      <c r="P731" s="25">
        <f>SUMIFS(df_ajustes_conciliaco!D:D,df_ajustes_conciliaco!C:C,Conciliacao!A731)</f>
        <v/>
      </c>
      <c r="Q731" s="22">
        <f>O731+I731-P731</f>
        <v/>
      </c>
    </row>
  </sheetData>
  <autoFilter ref="A1:Q731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</t>
        </is>
      </c>
      <c r="B1" t="inlineStr">
        <is>
          <t>ID_Casa</t>
        </is>
      </c>
      <c r="C1" t="inlineStr">
        <is>
          <t>Casa</t>
        </is>
      </c>
      <c r="D1" t="inlineStr">
        <is>
          <t>Descricao</t>
        </is>
      </c>
      <c r="E1" t="inlineStr">
        <is>
          <t>Data_Liquidacao</t>
        </is>
      </c>
      <c r="F1" t="inlineStr">
        <is>
          <t>Data_Transacao</t>
        </is>
      </c>
      <c r="G1" t="inlineStr">
        <is>
          <t>Valor</t>
        </is>
      </c>
    </row>
    <row r="2">
      <c r="A2" t="n">
        <v>49727</v>
      </c>
      <c r="B2" t="n">
        <v>148</v>
      </c>
      <c r="C2" t="inlineStr">
        <is>
          <t>Bar Brahma - Granja</t>
        </is>
      </c>
      <c r="D2" t="inlineStr">
        <is>
          <t>Saque</t>
        </is>
      </c>
      <c r="E2" s="27" t="n">
        <v>46055</v>
      </c>
      <c r="F2" s="27" t="n">
        <v>46055</v>
      </c>
      <c r="G2" t="n">
        <v>-102565</v>
      </c>
    </row>
    <row r="3">
      <c r="A3" t="n">
        <v>49726</v>
      </c>
      <c r="B3" t="n">
        <v>148</v>
      </c>
      <c r="C3" t="inlineStr">
        <is>
          <t>Bar Brahma - Granja</t>
        </is>
      </c>
      <c r="D3" t="inlineStr">
        <is>
          <t>Saldo Inicial</t>
        </is>
      </c>
      <c r="E3" s="27" t="n">
        <v>46055</v>
      </c>
      <c r="F3" s="27" t="n">
        <v>46055</v>
      </c>
      <c r="G3" t="n">
        <v>-3311284.37</v>
      </c>
    </row>
    <row r="4">
      <c r="A4" t="n">
        <v>49689</v>
      </c>
      <c r="B4" t="n">
        <v>148</v>
      </c>
      <c r="C4" t="inlineStr">
        <is>
          <t>Bar Brahma - Granja</t>
        </is>
      </c>
      <c r="D4" t="inlineStr">
        <is>
          <t>Saldo Inicial</t>
        </is>
      </c>
      <c r="E4" s="27" t="n">
        <v>46054</v>
      </c>
      <c r="F4" s="27" t="n">
        <v>46054</v>
      </c>
      <c r="G4" t="n">
        <v>-3311284.37</v>
      </c>
    </row>
    <row r="5">
      <c r="A5" t="n">
        <v>49666</v>
      </c>
      <c r="B5" t="n">
        <v>148</v>
      </c>
      <c r="C5" t="inlineStr">
        <is>
          <t>Bar Brahma - Granja</t>
        </is>
      </c>
      <c r="D5" t="inlineStr">
        <is>
          <t>Saldo Inicial</t>
        </is>
      </c>
      <c r="E5" s="27" t="n">
        <v>46053</v>
      </c>
      <c r="F5" s="27" t="n">
        <v>46053</v>
      </c>
      <c r="G5" t="n">
        <v>-3311284.37</v>
      </c>
    </row>
    <row r="6">
      <c r="A6" t="n">
        <v>49646</v>
      </c>
      <c r="B6" t="n">
        <v>148</v>
      </c>
      <c r="C6" t="inlineStr">
        <is>
          <t>Bar Brahma - Granja</t>
        </is>
      </c>
      <c r="D6" t="inlineStr">
        <is>
          <t>Saldo Inicial</t>
        </is>
      </c>
      <c r="E6" s="27" t="n">
        <v>46052</v>
      </c>
      <c r="F6" s="27" t="n">
        <v>46052</v>
      </c>
      <c r="G6" t="n">
        <v>-3301657.37</v>
      </c>
    </row>
    <row r="7">
      <c r="A7" t="n">
        <v>49647</v>
      </c>
      <c r="B7" t="n">
        <v>148</v>
      </c>
      <c r="C7" t="inlineStr">
        <is>
          <t>Bar Brahma - Granja</t>
        </is>
      </c>
      <c r="D7" t="inlineStr">
        <is>
          <t>Saque</t>
        </is>
      </c>
      <c r="E7" s="27" t="n">
        <v>46052</v>
      </c>
      <c r="F7" s="27" t="n">
        <v>46052</v>
      </c>
      <c r="G7" t="n">
        <v>-9627</v>
      </c>
    </row>
    <row r="8">
      <c r="A8" t="n">
        <v>49614</v>
      </c>
      <c r="B8" t="n">
        <v>148</v>
      </c>
      <c r="C8" t="inlineStr">
        <is>
          <t>Bar Brahma - Granja</t>
        </is>
      </c>
      <c r="D8" t="inlineStr">
        <is>
          <t>Saldo Inicial</t>
        </is>
      </c>
      <c r="E8" s="27" t="n">
        <v>46051</v>
      </c>
      <c r="F8" s="27" t="n">
        <v>46051</v>
      </c>
      <c r="G8" t="n">
        <v>-3293344.37</v>
      </c>
    </row>
    <row r="9">
      <c r="A9" t="n">
        <v>49615</v>
      </c>
      <c r="B9" t="n">
        <v>148</v>
      </c>
      <c r="C9" t="inlineStr">
        <is>
          <t>Bar Brahma - Granja</t>
        </is>
      </c>
      <c r="D9" t="inlineStr">
        <is>
          <t>Saque</t>
        </is>
      </c>
      <c r="E9" s="27" t="n">
        <v>46051</v>
      </c>
      <c r="F9" s="27" t="n">
        <v>46051</v>
      </c>
      <c r="G9" t="n">
        <v>-8313</v>
      </c>
    </row>
    <row r="10">
      <c r="A10" t="n">
        <v>49583</v>
      </c>
      <c r="B10" t="n">
        <v>148</v>
      </c>
      <c r="C10" t="inlineStr">
        <is>
          <t>Bar Brahma - Granja</t>
        </is>
      </c>
      <c r="D10" t="inlineStr">
        <is>
          <t>Saque</t>
        </is>
      </c>
      <c r="E10" s="27" t="n">
        <v>46050</v>
      </c>
      <c r="F10" s="27" t="n">
        <v>46050</v>
      </c>
      <c r="G10" t="n">
        <v>-5319</v>
      </c>
    </row>
    <row r="11">
      <c r="A11" t="n">
        <v>49582</v>
      </c>
      <c r="B11" t="n">
        <v>148</v>
      </c>
      <c r="C11" t="inlineStr">
        <is>
          <t>Bar Brahma - Granja</t>
        </is>
      </c>
      <c r="D11" t="inlineStr">
        <is>
          <t>Saldo Inicial</t>
        </is>
      </c>
      <c r="E11" s="27" t="n">
        <v>46050</v>
      </c>
      <c r="F11" s="27" t="n">
        <v>46050</v>
      </c>
      <c r="G11" t="n">
        <v>-3288025.37</v>
      </c>
    </row>
    <row r="12">
      <c r="A12" t="n">
        <v>49545</v>
      </c>
      <c r="B12" t="n">
        <v>148</v>
      </c>
      <c r="C12" t="inlineStr">
        <is>
          <t>Bar Brahma - Granja</t>
        </is>
      </c>
      <c r="D12" t="inlineStr">
        <is>
          <t>Saque</t>
        </is>
      </c>
      <c r="E12" s="27" t="n">
        <v>46049</v>
      </c>
      <c r="F12" s="27" t="n">
        <v>46049</v>
      </c>
      <c r="G12" t="n">
        <v>-3889</v>
      </c>
    </row>
    <row r="13">
      <c r="A13" t="n">
        <v>49544</v>
      </c>
      <c r="B13" t="n">
        <v>148</v>
      </c>
      <c r="C13" t="inlineStr">
        <is>
          <t>Bar Brahma - Granja</t>
        </is>
      </c>
      <c r="D13" t="inlineStr">
        <is>
          <t>Saldo Inicial</t>
        </is>
      </c>
      <c r="E13" s="27" t="n">
        <v>46049</v>
      </c>
      <c r="F13" s="27" t="n">
        <v>46049</v>
      </c>
      <c r="G13" t="n">
        <v>-3284136.37</v>
      </c>
    </row>
    <row r="14">
      <c r="A14" t="n">
        <v>49511</v>
      </c>
      <c r="B14" t="n">
        <v>148</v>
      </c>
      <c r="C14" t="inlineStr">
        <is>
          <t>Bar Brahma - Granja</t>
        </is>
      </c>
      <c r="D14" t="inlineStr">
        <is>
          <t>Saldo Inicial</t>
        </is>
      </c>
      <c r="E14" s="27" t="n">
        <v>46048</v>
      </c>
      <c r="F14" s="27" t="n">
        <v>46048</v>
      </c>
      <c r="G14" t="n">
        <v>-3170871.37</v>
      </c>
    </row>
    <row r="15">
      <c r="A15" t="n">
        <v>49512</v>
      </c>
      <c r="B15" t="n">
        <v>148</v>
      </c>
      <c r="C15" t="inlineStr">
        <is>
          <t>Bar Brahma - Granja</t>
        </is>
      </c>
      <c r="D15" t="inlineStr">
        <is>
          <t>Saque</t>
        </is>
      </c>
      <c r="E15" s="27" t="n">
        <v>46048</v>
      </c>
      <c r="F15" s="27" t="n">
        <v>46048</v>
      </c>
      <c r="G15" t="n">
        <v>-113265</v>
      </c>
    </row>
    <row r="16">
      <c r="A16" t="n">
        <v>49475</v>
      </c>
      <c r="B16" t="n">
        <v>148</v>
      </c>
      <c r="C16" t="inlineStr">
        <is>
          <t>Bar Brahma - Granja</t>
        </is>
      </c>
      <c r="D16" t="inlineStr">
        <is>
          <t>Saldo Inicial</t>
        </is>
      </c>
      <c r="E16" s="27" t="n">
        <v>46047</v>
      </c>
      <c r="F16" s="27" t="n">
        <v>46047</v>
      </c>
      <c r="G16" t="n">
        <v>-3170871.37</v>
      </c>
    </row>
    <row r="17">
      <c r="A17" t="n">
        <v>49452</v>
      </c>
      <c r="B17" t="n">
        <v>148</v>
      </c>
      <c r="C17" t="inlineStr">
        <is>
          <t>Bar Brahma - Granja</t>
        </is>
      </c>
      <c r="D17" t="inlineStr">
        <is>
          <t>Saldo Inicial</t>
        </is>
      </c>
      <c r="E17" s="27" t="n">
        <v>46046</v>
      </c>
      <c r="F17" s="27" t="n">
        <v>46046</v>
      </c>
      <c r="G17" t="n">
        <v>-3170871.37</v>
      </c>
    </row>
    <row r="18">
      <c r="A18" t="n">
        <v>49425</v>
      </c>
      <c r="B18" t="n">
        <v>148</v>
      </c>
      <c r="C18" t="inlineStr">
        <is>
          <t>Bar Brahma - Granja</t>
        </is>
      </c>
      <c r="D18" t="inlineStr">
        <is>
          <t>Saldo Inicial</t>
        </is>
      </c>
      <c r="E18" s="27" t="n">
        <v>46045</v>
      </c>
      <c r="F18" s="27" t="n">
        <v>46045</v>
      </c>
      <c r="G18" t="n">
        <v>-3156047.37</v>
      </c>
    </row>
    <row r="19">
      <c r="A19" t="n">
        <v>49426</v>
      </c>
      <c r="B19" t="n">
        <v>148</v>
      </c>
      <c r="C19" t="inlineStr">
        <is>
          <t>Bar Brahma - Granja</t>
        </is>
      </c>
      <c r="D19" t="inlineStr">
        <is>
          <t>Saque</t>
        </is>
      </c>
      <c r="E19" s="27" t="n">
        <v>46045</v>
      </c>
      <c r="F19" s="27" t="n">
        <v>46045</v>
      </c>
      <c r="G19" t="n">
        <v>-14824</v>
      </c>
    </row>
    <row r="20">
      <c r="A20" t="n">
        <v>49393</v>
      </c>
      <c r="B20" t="n">
        <v>148</v>
      </c>
      <c r="C20" t="inlineStr">
        <is>
          <t>Bar Brahma - Granja</t>
        </is>
      </c>
      <c r="D20" t="inlineStr">
        <is>
          <t>Saldo Inicial</t>
        </is>
      </c>
      <c r="E20" s="27" t="n">
        <v>46044</v>
      </c>
      <c r="F20" s="27" t="n">
        <v>46044</v>
      </c>
      <c r="G20" t="n">
        <v>-3147854.37</v>
      </c>
    </row>
    <row r="21">
      <c r="A21" t="n">
        <v>49394</v>
      </c>
      <c r="B21" t="n">
        <v>148</v>
      </c>
      <c r="C21" t="inlineStr">
        <is>
          <t>Bar Brahma - Granja</t>
        </is>
      </c>
      <c r="D21" t="inlineStr">
        <is>
          <t>Saque</t>
        </is>
      </c>
      <c r="E21" s="27" t="n">
        <v>46044</v>
      </c>
      <c r="F21" s="27" t="n">
        <v>46044</v>
      </c>
      <c r="G21" t="n">
        <v>-8193</v>
      </c>
    </row>
    <row r="22">
      <c r="A22" t="n">
        <v>49362</v>
      </c>
      <c r="B22" t="n">
        <v>148</v>
      </c>
      <c r="C22" t="inlineStr">
        <is>
          <t>Bar Brahma - Granja</t>
        </is>
      </c>
      <c r="D22" t="inlineStr">
        <is>
          <t>Saque</t>
        </is>
      </c>
      <c r="E22" s="27" t="n">
        <v>46043</v>
      </c>
      <c r="F22" s="27" t="n">
        <v>46043</v>
      </c>
      <c r="G22" t="n">
        <v>-5959.43</v>
      </c>
    </row>
    <row r="23">
      <c r="A23" t="n">
        <v>49361</v>
      </c>
      <c r="B23" t="n">
        <v>148</v>
      </c>
      <c r="C23" t="inlineStr">
        <is>
          <t>Bar Brahma - Granja</t>
        </is>
      </c>
      <c r="D23" t="inlineStr">
        <is>
          <t>Saldo Inicial</t>
        </is>
      </c>
      <c r="E23" s="27" t="n">
        <v>46043</v>
      </c>
      <c r="F23" s="27" t="n">
        <v>46043</v>
      </c>
      <c r="G23" t="n">
        <v>-3141894.94</v>
      </c>
    </row>
    <row r="24">
      <c r="A24" t="n">
        <v>49326</v>
      </c>
      <c r="B24" t="n">
        <v>148</v>
      </c>
      <c r="C24" t="inlineStr">
        <is>
          <t>Bar Brahma - Granja</t>
        </is>
      </c>
      <c r="D24" t="inlineStr">
        <is>
          <t>Saldo Inicial</t>
        </is>
      </c>
      <c r="E24" s="27" t="n">
        <v>46042</v>
      </c>
      <c r="F24" s="27" t="n">
        <v>46042</v>
      </c>
      <c r="G24" t="n">
        <v>-3141894.94</v>
      </c>
    </row>
    <row r="25">
      <c r="A25" t="n">
        <v>49287</v>
      </c>
      <c r="B25" t="n">
        <v>148</v>
      </c>
      <c r="C25" t="inlineStr">
        <is>
          <t>Bar Brahma - Granja</t>
        </is>
      </c>
      <c r="D25" t="inlineStr">
        <is>
          <t>Saldo Inicial</t>
        </is>
      </c>
      <c r="E25" s="27" t="n">
        <v>46041</v>
      </c>
      <c r="F25" s="27" t="n">
        <v>46041</v>
      </c>
      <c r="G25" t="n">
        <v>-3043301.94</v>
      </c>
    </row>
    <row r="26">
      <c r="A26" t="n">
        <v>49288</v>
      </c>
      <c r="B26" t="n">
        <v>148</v>
      </c>
      <c r="C26" t="inlineStr">
        <is>
          <t>Bar Brahma - Granja</t>
        </is>
      </c>
      <c r="D26" t="inlineStr">
        <is>
          <t>Saque</t>
        </is>
      </c>
      <c r="E26" s="27" t="n">
        <v>46041</v>
      </c>
      <c r="F26" s="27" t="n">
        <v>46041</v>
      </c>
      <c r="G26" t="n">
        <v>-98593</v>
      </c>
    </row>
    <row r="27">
      <c r="A27" t="n">
        <v>49250</v>
      </c>
      <c r="B27" t="n">
        <v>148</v>
      </c>
      <c r="C27" t="inlineStr">
        <is>
          <t>Bar Brahma - Granja</t>
        </is>
      </c>
      <c r="D27" t="inlineStr">
        <is>
          <t>Saldo Inicial</t>
        </is>
      </c>
      <c r="E27" s="27" t="n">
        <v>46040</v>
      </c>
      <c r="F27" s="27" t="n">
        <v>46040</v>
      </c>
      <c r="G27" t="n">
        <v>-3043301.94</v>
      </c>
    </row>
    <row r="28">
      <c r="A28" t="n">
        <v>49228</v>
      </c>
      <c r="B28" t="n">
        <v>148</v>
      </c>
      <c r="C28" t="inlineStr">
        <is>
          <t>Bar Brahma - Granja</t>
        </is>
      </c>
      <c r="D28" t="inlineStr">
        <is>
          <t>Saldo Inicial</t>
        </is>
      </c>
      <c r="E28" s="27" t="n">
        <v>46039</v>
      </c>
      <c r="F28" s="27" t="n">
        <v>46039</v>
      </c>
      <c r="G28" t="n">
        <v>-3043301.94</v>
      </c>
    </row>
    <row r="29">
      <c r="A29" t="n">
        <v>49207</v>
      </c>
      <c r="B29" t="n">
        <v>148</v>
      </c>
      <c r="C29" t="inlineStr">
        <is>
          <t>Bar Brahma - Granja</t>
        </is>
      </c>
      <c r="D29" t="inlineStr">
        <is>
          <t>Saque</t>
        </is>
      </c>
      <c r="E29" s="27" t="n">
        <v>46038</v>
      </c>
      <c r="F29" s="27" t="n">
        <v>46038</v>
      </c>
      <c r="G29" t="n">
        <v>-12043.92</v>
      </c>
    </row>
    <row r="30">
      <c r="A30" t="n">
        <v>49206</v>
      </c>
      <c r="B30" t="n">
        <v>148</v>
      </c>
      <c r="C30" t="inlineStr">
        <is>
          <t>Bar Brahma - Granja</t>
        </is>
      </c>
      <c r="D30" t="inlineStr">
        <is>
          <t>Saldo Inicial</t>
        </is>
      </c>
      <c r="E30" s="27" t="n">
        <v>46038</v>
      </c>
      <c r="F30" s="27" t="n">
        <v>46038</v>
      </c>
      <c r="G30" t="n">
        <v>-3031258.02</v>
      </c>
    </row>
    <row r="31">
      <c r="A31" t="n">
        <v>49177</v>
      </c>
      <c r="B31" t="n">
        <v>148</v>
      </c>
      <c r="C31" t="inlineStr">
        <is>
          <t>Bar Brahma - Granja</t>
        </is>
      </c>
      <c r="D31" t="inlineStr">
        <is>
          <t>Saque</t>
        </is>
      </c>
      <c r="E31" s="27" t="n">
        <v>46037</v>
      </c>
      <c r="F31" s="27" t="n">
        <v>46037</v>
      </c>
      <c r="G31" t="n">
        <v>-8888.01</v>
      </c>
    </row>
    <row r="32">
      <c r="A32" t="n">
        <v>49176</v>
      </c>
      <c r="B32" t="n">
        <v>148</v>
      </c>
      <c r="C32" t="inlineStr">
        <is>
          <t>Bar Brahma - Granja</t>
        </is>
      </c>
      <c r="D32" t="inlineStr">
        <is>
          <t>Saldo Inicial</t>
        </is>
      </c>
      <c r="E32" s="27" t="n">
        <v>46037</v>
      </c>
      <c r="F32" s="27" t="n">
        <v>46037</v>
      </c>
      <c r="G32" t="n">
        <v>-3022370.01</v>
      </c>
    </row>
    <row r="33">
      <c r="A33" t="n">
        <v>49147</v>
      </c>
      <c r="B33" t="n">
        <v>148</v>
      </c>
      <c r="C33" t="inlineStr">
        <is>
          <t>Bar Brahma - Granja</t>
        </is>
      </c>
      <c r="D33" t="inlineStr">
        <is>
          <t>Saque</t>
        </is>
      </c>
      <c r="E33" s="27" t="n">
        <v>46036</v>
      </c>
      <c r="F33" s="27" t="n">
        <v>46036</v>
      </c>
      <c r="G33" t="n">
        <v>-4193.73</v>
      </c>
    </row>
    <row r="34">
      <c r="A34" t="n">
        <v>49146</v>
      </c>
      <c r="B34" t="n">
        <v>148</v>
      </c>
      <c r="C34" t="inlineStr">
        <is>
          <t>Bar Brahma - Granja</t>
        </is>
      </c>
      <c r="D34" t="inlineStr">
        <is>
          <t>Saldo Inicial</t>
        </is>
      </c>
      <c r="E34" s="27" t="n">
        <v>46036</v>
      </c>
      <c r="F34" s="27" t="n">
        <v>46036</v>
      </c>
      <c r="G34" t="n">
        <v>-3018176.28</v>
      </c>
    </row>
    <row r="35">
      <c r="A35" t="n">
        <v>49117</v>
      </c>
      <c r="B35" t="n">
        <v>148</v>
      </c>
      <c r="C35" t="inlineStr">
        <is>
          <t>Bar Brahma - Granja</t>
        </is>
      </c>
      <c r="D35" t="inlineStr">
        <is>
          <t>Saldo Inicial</t>
        </is>
      </c>
      <c r="E35" s="27" t="n">
        <v>46035</v>
      </c>
      <c r="F35" s="27" t="n">
        <v>46035</v>
      </c>
      <c r="G35" t="n">
        <v>-3012911.33</v>
      </c>
    </row>
    <row r="36">
      <c r="A36" t="n">
        <v>49118</v>
      </c>
      <c r="B36" t="n">
        <v>148</v>
      </c>
      <c r="C36" t="inlineStr">
        <is>
          <t>Bar Brahma - Granja</t>
        </is>
      </c>
      <c r="D36" t="inlineStr">
        <is>
          <t>Saque</t>
        </is>
      </c>
      <c r="E36" s="27" t="n">
        <v>46035</v>
      </c>
      <c r="F36" s="27" t="n">
        <v>46035</v>
      </c>
      <c r="G36" t="n">
        <v>-5264.95</v>
      </c>
    </row>
    <row r="37">
      <c r="A37" t="n">
        <v>49083</v>
      </c>
      <c r="B37" t="n">
        <v>148</v>
      </c>
      <c r="C37" t="inlineStr">
        <is>
          <t>Bar Brahma - Granja</t>
        </is>
      </c>
      <c r="D37" t="inlineStr">
        <is>
          <t>Saque</t>
        </is>
      </c>
      <c r="E37" s="27" t="n">
        <v>46034</v>
      </c>
      <c r="F37" s="27" t="n">
        <v>46034</v>
      </c>
      <c r="G37" t="n">
        <v>-98005.73</v>
      </c>
    </row>
    <row r="38">
      <c r="A38" t="n">
        <v>49082</v>
      </c>
      <c r="B38" t="n">
        <v>148</v>
      </c>
      <c r="C38" t="inlineStr">
        <is>
          <t>Bar Brahma - Granja</t>
        </is>
      </c>
      <c r="D38" t="inlineStr">
        <is>
          <t>Saldo Inicial</t>
        </is>
      </c>
      <c r="E38" s="27" t="n">
        <v>46034</v>
      </c>
      <c r="F38" s="27" t="n">
        <v>46034</v>
      </c>
      <c r="G38" t="n">
        <v>-2914905.6</v>
      </c>
    </row>
    <row r="39">
      <c r="A39" t="n">
        <v>49050</v>
      </c>
      <c r="B39" t="n">
        <v>148</v>
      </c>
      <c r="C39" t="inlineStr">
        <is>
          <t>Bar Brahma - Granja</t>
        </is>
      </c>
      <c r="D39" t="inlineStr">
        <is>
          <t>Saldo Inicial</t>
        </is>
      </c>
      <c r="E39" s="27" t="n">
        <v>46033</v>
      </c>
      <c r="F39" s="27" t="n">
        <v>46033</v>
      </c>
      <c r="G39" t="n">
        <v>-2914905.6</v>
      </c>
    </row>
    <row r="40">
      <c r="A40" t="n">
        <v>49028</v>
      </c>
      <c r="B40" t="n">
        <v>148</v>
      </c>
      <c r="C40" t="inlineStr">
        <is>
          <t>Bar Brahma - Granja</t>
        </is>
      </c>
      <c r="D40" t="inlineStr">
        <is>
          <t>Saldo Inicial</t>
        </is>
      </c>
      <c r="E40" s="27" t="n">
        <v>46032</v>
      </c>
      <c r="F40" s="27" t="n">
        <v>46032</v>
      </c>
      <c r="G40" t="n">
        <v>-2914905.6</v>
      </c>
    </row>
    <row r="41">
      <c r="A41" t="n">
        <v>49003</v>
      </c>
      <c r="B41" t="n">
        <v>148</v>
      </c>
      <c r="C41" t="inlineStr">
        <is>
          <t>Bar Brahma - Granja</t>
        </is>
      </c>
      <c r="D41" t="inlineStr">
        <is>
          <t>Saque</t>
        </is>
      </c>
      <c r="E41" s="27" t="n">
        <v>46031</v>
      </c>
      <c r="F41" s="27" t="n">
        <v>46031</v>
      </c>
      <c r="G41" t="n">
        <v>-10948.92</v>
      </c>
    </row>
    <row r="42">
      <c r="A42" t="n">
        <v>49002</v>
      </c>
      <c r="B42" t="n">
        <v>148</v>
      </c>
      <c r="C42" t="inlineStr">
        <is>
          <t>Bar Brahma - Granja</t>
        </is>
      </c>
      <c r="D42" t="inlineStr">
        <is>
          <t>Saldo Inicial</t>
        </is>
      </c>
      <c r="E42" s="27" t="n">
        <v>46031</v>
      </c>
      <c r="F42" s="27" t="n">
        <v>46031</v>
      </c>
      <c r="G42" t="n">
        <v>-2903956.68</v>
      </c>
    </row>
    <row r="43">
      <c r="A43" t="n">
        <v>48973</v>
      </c>
      <c r="B43" t="n">
        <v>148</v>
      </c>
      <c r="C43" t="inlineStr">
        <is>
          <t>Bar Brahma - Granja</t>
        </is>
      </c>
      <c r="D43" t="inlineStr">
        <is>
          <t>Saque</t>
        </is>
      </c>
      <c r="E43" s="27" t="n">
        <v>46030</v>
      </c>
      <c r="F43" s="27" t="n">
        <v>46030</v>
      </c>
      <c r="G43" t="n">
        <v>-7218.75</v>
      </c>
    </row>
    <row r="44">
      <c r="A44" t="n">
        <v>48972</v>
      </c>
      <c r="B44" t="n">
        <v>148</v>
      </c>
      <c r="C44" t="inlineStr">
        <is>
          <t>Bar Brahma - Granja</t>
        </is>
      </c>
      <c r="D44" t="inlineStr">
        <is>
          <t>Saldo Inicial</t>
        </is>
      </c>
      <c r="E44" s="27" t="n">
        <v>46030</v>
      </c>
      <c r="F44" s="27" t="n">
        <v>46030</v>
      </c>
      <c r="G44" t="n">
        <v>-2896737.93</v>
      </c>
    </row>
    <row r="45">
      <c r="A45" t="n">
        <v>48942</v>
      </c>
      <c r="B45" t="n">
        <v>148</v>
      </c>
      <c r="C45" t="inlineStr">
        <is>
          <t>Bar Brahma - Granja</t>
        </is>
      </c>
      <c r="D45" t="inlineStr">
        <is>
          <t>Saldo Inicial</t>
        </is>
      </c>
      <c r="E45" s="27" t="n">
        <v>46029</v>
      </c>
      <c r="F45" s="27" t="n">
        <v>46029</v>
      </c>
      <c r="G45" t="n">
        <v>-2891635.46</v>
      </c>
    </row>
    <row r="46">
      <c r="A46" t="n">
        <v>48943</v>
      </c>
      <c r="B46" t="n">
        <v>148</v>
      </c>
      <c r="C46" t="inlineStr">
        <is>
          <t>Bar Brahma - Granja</t>
        </is>
      </c>
      <c r="D46" t="inlineStr">
        <is>
          <t>Saque</t>
        </is>
      </c>
      <c r="E46" s="27" t="n">
        <v>46029</v>
      </c>
      <c r="F46" s="27" t="n">
        <v>46029</v>
      </c>
      <c r="G46" t="n">
        <v>-5102.47</v>
      </c>
    </row>
    <row r="47">
      <c r="A47" t="n">
        <v>48907</v>
      </c>
      <c r="B47" t="n">
        <v>148</v>
      </c>
      <c r="C47" t="inlineStr">
        <is>
          <t>Bar Brahma - Granja</t>
        </is>
      </c>
      <c r="D47" t="inlineStr">
        <is>
          <t>Saque</t>
        </is>
      </c>
      <c r="E47" s="27" t="n">
        <v>46028</v>
      </c>
      <c r="F47" s="27" t="n">
        <v>46028</v>
      </c>
      <c r="G47" t="n">
        <v>-4107</v>
      </c>
    </row>
    <row r="48">
      <c r="A48" t="n">
        <v>48906</v>
      </c>
      <c r="B48" t="n">
        <v>148</v>
      </c>
      <c r="C48" t="inlineStr">
        <is>
          <t>Bar Brahma - Granja</t>
        </is>
      </c>
      <c r="D48" t="inlineStr">
        <is>
          <t>Saldo Inicial</t>
        </is>
      </c>
      <c r="E48" s="27" t="n">
        <v>46028</v>
      </c>
      <c r="F48" s="27" t="n">
        <v>46028</v>
      </c>
      <c r="G48" t="n">
        <v>-2887528.46</v>
      </c>
    </row>
    <row r="49">
      <c r="A49" t="n">
        <v>48875</v>
      </c>
      <c r="B49" t="n">
        <v>148</v>
      </c>
      <c r="C49" t="inlineStr">
        <is>
          <t>Bar Brahma - Granja</t>
        </is>
      </c>
      <c r="D49" t="inlineStr">
        <is>
          <t>Saldo Inicial</t>
        </is>
      </c>
      <c r="E49" s="27" t="n">
        <v>46027</v>
      </c>
      <c r="F49" s="27" t="n">
        <v>46027</v>
      </c>
      <c r="G49" t="n">
        <v>-2814055.46</v>
      </c>
    </row>
    <row r="50">
      <c r="A50" t="n">
        <v>48876</v>
      </c>
      <c r="B50" t="n">
        <v>148</v>
      </c>
      <c r="C50" t="inlineStr">
        <is>
          <t>Bar Brahma - Granja</t>
        </is>
      </c>
      <c r="D50" t="inlineStr">
        <is>
          <t>Saque</t>
        </is>
      </c>
      <c r="E50" s="27" t="n">
        <v>46027</v>
      </c>
      <c r="F50" s="27" t="n">
        <v>46027</v>
      </c>
      <c r="G50" t="n">
        <v>-73473</v>
      </c>
    </row>
    <row r="51">
      <c r="A51" t="n">
        <v>48837</v>
      </c>
      <c r="B51" t="n">
        <v>148</v>
      </c>
      <c r="C51" t="inlineStr">
        <is>
          <t>Bar Brahma - Granja</t>
        </is>
      </c>
      <c r="D51" t="inlineStr">
        <is>
          <t>Saldo Inicial</t>
        </is>
      </c>
      <c r="E51" s="27" t="n">
        <v>46026</v>
      </c>
      <c r="F51" s="27" t="n">
        <v>46026</v>
      </c>
      <c r="G51" t="n">
        <v>-2814055.46</v>
      </c>
    </row>
    <row r="52">
      <c r="A52" t="n">
        <v>48816</v>
      </c>
      <c r="B52" t="n">
        <v>148</v>
      </c>
      <c r="C52" t="inlineStr">
        <is>
          <t>Bar Brahma - Granja</t>
        </is>
      </c>
      <c r="D52" t="inlineStr">
        <is>
          <t>Saldo Inicial</t>
        </is>
      </c>
      <c r="E52" s="27" t="n">
        <v>46025</v>
      </c>
      <c r="F52" s="27" t="n">
        <v>46025</v>
      </c>
      <c r="G52" t="n">
        <v>-2814055.46</v>
      </c>
    </row>
    <row r="53">
      <c r="A53" t="n">
        <v>48792</v>
      </c>
      <c r="B53" t="n">
        <v>148</v>
      </c>
      <c r="C53" t="inlineStr">
        <is>
          <t>Bar Brahma - Granja</t>
        </is>
      </c>
      <c r="D53" t="inlineStr">
        <is>
          <t>Saque</t>
        </is>
      </c>
      <c r="E53" s="27" t="n">
        <v>46024</v>
      </c>
      <c r="F53" s="27" t="n">
        <v>46024</v>
      </c>
      <c r="G53" t="n">
        <v>-20408.4</v>
      </c>
    </row>
    <row r="54">
      <c r="A54" t="n">
        <v>48791</v>
      </c>
      <c r="B54" t="n">
        <v>148</v>
      </c>
      <c r="C54" t="inlineStr">
        <is>
          <t>Bar Brahma - Granja</t>
        </is>
      </c>
      <c r="D54" t="inlineStr">
        <is>
          <t>Saldo Inicial</t>
        </is>
      </c>
      <c r="E54" s="27" t="n">
        <v>46024</v>
      </c>
      <c r="F54" s="27" t="n">
        <v>46024</v>
      </c>
      <c r="G54" t="n">
        <v>-2793647.06</v>
      </c>
    </row>
    <row r="55">
      <c r="A55" t="n">
        <v>48765</v>
      </c>
      <c r="B55" t="n">
        <v>148</v>
      </c>
      <c r="C55" t="inlineStr">
        <is>
          <t>Bar Brahma - Granja</t>
        </is>
      </c>
      <c r="D55" t="inlineStr">
        <is>
          <t>Saldo Inicial</t>
        </is>
      </c>
      <c r="E55" s="27" t="n">
        <v>46023</v>
      </c>
      <c r="F55" s="27" t="n">
        <v>46023</v>
      </c>
      <c r="G55" t="n">
        <v>-2793647.06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Data_Venda</t>
        </is>
      </c>
      <c r="D1" t="inlineStr">
        <is>
          <t>Valor</t>
        </is>
      </c>
      <c r="E1" t="inlineStr">
        <is>
          <t>Tipo_Pagamento</t>
        </is>
      </c>
    </row>
    <row r="2">
      <c r="A2" t="n">
        <v>148</v>
      </c>
      <c r="B2" t="inlineStr">
        <is>
          <t>Bar Brahma - Granja</t>
        </is>
      </c>
      <c r="C2" s="27" t="n">
        <v>46055</v>
      </c>
      <c r="D2" t="n">
        <v>184.68</v>
      </c>
      <c r="E2" t="inlineStr">
        <is>
          <t>VOUCHER</t>
        </is>
      </c>
    </row>
    <row r="3">
      <c r="A3" t="n">
        <v>148</v>
      </c>
      <c r="B3" t="inlineStr">
        <is>
          <t>Bar Brahma - Granja</t>
        </is>
      </c>
      <c r="C3" s="27" t="n">
        <v>46055</v>
      </c>
      <c r="D3" t="n">
        <v>0</v>
      </c>
      <c r="E3" t="inlineStr">
        <is>
          <t>MBWAY</t>
        </is>
      </c>
    </row>
    <row r="4">
      <c r="A4" t="n">
        <v>148</v>
      </c>
      <c r="B4" t="inlineStr">
        <is>
          <t>Bar Brahma - Granja</t>
        </is>
      </c>
      <c r="C4" s="27" t="n">
        <v>46055</v>
      </c>
      <c r="D4" t="n">
        <v>0</v>
      </c>
      <c r="E4" t="inlineStr">
        <is>
          <t>VOUCHER INTEGRADO</t>
        </is>
      </c>
    </row>
    <row r="5">
      <c r="A5" t="n">
        <v>148</v>
      </c>
      <c r="B5" t="inlineStr">
        <is>
          <t>Bar Brahma - Granja</t>
        </is>
      </c>
      <c r="C5" s="27" t="n">
        <v>46055</v>
      </c>
      <c r="D5" t="n">
        <v>0</v>
      </c>
      <c r="E5" t="inlineStr">
        <is>
          <t>RECARGAS DEVOLVIDAS</t>
        </is>
      </c>
    </row>
    <row r="6">
      <c r="A6" t="n">
        <v>148</v>
      </c>
      <c r="B6" t="inlineStr">
        <is>
          <t>Bar Brahma - Granja</t>
        </is>
      </c>
      <c r="C6" s="27" t="n">
        <v>46055</v>
      </c>
      <c r="D6" t="n">
        <v>0</v>
      </c>
      <c r="E6" t="inlineStr">
        <is>
          <t>NOTAS MANUAIS + SERVIÇO</t>
        </is>
      </c>
    </row>
    <row r="7">
      <c r="A7" t="n">
        <v>148</v>
      </c>
      <c r="B7" t="inlineStr">
        <is>
          <t>Bar Brahma - Granja</t>
        </is>
      </c>
      <c r="C7" s="27" t="n">
        <v>46055</v>
      </c>
      <c r="D7" t="n">
        <v>0</v>
      </c>
      <c r="E7" t="inlineStr">
        <is>
          <t>AME</t>
        </is>
      </c>
    </row>
    <row r="8">
      <c r="A8" t="n">
        <v>148</v>
      </c>
      <c r="B8" t="inlineStr">
        <is>
          <t>Bar Brahma - Granja</t>
        </is>
      </c>
      <c r="C8" s="27" t="n">
        <v>46055</v>
      </c>
      <c r="D8" t="n">
        <v>0</v>
      </c>
      <c r="E8" t="inlineStr">
        <is>
          <t>OUTROS</t>
        </is>
      </c>
    </row>
    <row r="9">
      <c r="A9" t="n">
        <v>148</v>
      </c>
      <c r="B9" t="inlineStr">
        <is>
          <t>Bar Brahma - Granja</t>
        </is>
      </c>
      <c r="C9" s="27" t="n">
        <v>46055</v>
      </c>
      <c r="D9" t="n">
        <v>0</v>
      </c>
      <c r="E9" t="inlineStr">
        <is>
          <t>ANTECIPADO</t>
        </is>
      </c>
    </row>
    <row r="10">
      <c r="A10" t="n">
        <v>148</v>
      </c>
      <c r="B10" t="inlineStr">
        <is>
          <t>Bar Brahma - Granja</t>
        </is>
      </c>
      <c r="C10" s="27" t="n">
        <v>46055</v>
      </c>
      <c r="D10" t="n">
        <v>0</v>
      </c>
      <c r="E10" t="inlineStr">
        <is>
          <t>BÔNUS</t>
        </is>
      </c>
    </row>
    <row r="11">
      <c r="A11" t="n">
        <v>148</v>
      </c>
      <c r="B11" t="inlineStr">
        <is>
          <t>Bar Brahma - Granja</t>
        </is>
      </c>
      <c r="C11" s="27" t="n">
        <v>46055</v>
      </c>
      <c r="D11" t="n">
        <v>1267.16</v>
      </c>
      <c r="E11" t="inlineStr">
        <is>
          <t>DÉBITO</t>
        </is>
      </c>
    </row>
    <row r="12">
      <c r="A12" t="n">
        <v>148</v>
      </c>
      <c r="B12" t="inlineStr">
        <is>
          <t>Bar Brahma - Granja</t>
        </is>
      </c>
      <c r="C12" s="27" t="n">
        <v>46055</v>
      </c>
      <c r="D12" t="n">
        <v>1435.13</v>
      </c>
      <c r="E12" t="inlineStr">
        <is>
          <t>CRÉDITO</t>
        </is>
      </c>
    </row>
    <row r="13">
      <c r="A13" t="n">
        <v>148</v>
      </c>
      <c r="B13" t="inlineStr">
        <is>
          <t>Bar Brahma - Granja</t>
        </is>
      </c>
      <c r="C13" s="27" t="n">
        <v>46055</v>
      </c>
      <c r="D13" t="n">
        <v>0</v>
      </c>
      <c r="E13" t="inlineStr">
        <is>
          <t>ANTECIPADO</t>
        </is>
      </c>
    </row>
    <row r="14">
      <c r="A14" t="n">
        <v>148</v>
      </c>
      <c r="B14" t="inlineStr">
        <is>
          <t>Bar Brahma - Granja</t>
        </is>
      </c>
      <c r="C14" s="27" t="n">
        <v>46055</v>
      </c>
      <c r="D14" t="n">
        <v>0</v>
      </c>
      <c r="E14" t="inlineStr">
        <is>
          <t>UBER</t>
        </is>
      </c>
    </row>
    <row r="15">
      <c r="A15" t="n">
        <v>148</v>
      </c>
      <c r="B15" t="inlineStr">
        <is>
          <t>Bar Brahma - Granja</t>
        </is>
      </c>
      <c r="C15" s="27" t="n">
        <v>46055</v>
      </c>
      <c r="D15" t="n">
        <v>0</v>
      </c>
      <c r="E15" t="inlineStr">
        <is>
          <t>RAPPI</t>
        </is>
      </c>
    </row>
    <row r="16">
      <c r="A16" t="n">
        <v>148</v>
      </c>
      <c r="B16" t="inlineStr">
        <is>
          <t>Bar Brahma - Granja</t>
        </is>
      </c>
      <c r="C16" s="27" t="n">
        <v>46055</v>
      </c>
      <c r="D16" t="n">
        <v>160.31</v>
      </c>
      <c r="E16" t="inlineStr">
        <is>
          <t>PIX</t>
        </is>
      </c>
    </row>
    <row r="17">
      <c r="A17" t="n">
        <v>148</v>
      </c>
      <c r="B17" t="inlineStr">
        <is>
          <t>Bar Brahma - Granja</t>
        </is>
      </c>
      <c r="C17" s="27" t="n">
        <v>46055</v>
      </c>
      <c r="D17" t="n">
        <v>0</v>
      </c>
      <c r="E17" t="inlineStr">
        <is>
          <t>IFOOD</t>
        </is>
      </c>
    </row>
    <row r="18">
      <c r="A18" t="n">
        <v>148</v>
      </c>
      <c r="B18" t="inlineStr">
        <is>
          <t>Bar Brahma - Granja</t>
        </is>
      </c>
      <c r="C18" s="27" t="n">
        <v>46055</v>
      </c>
      <c r="D18" t="n">
        <v>0</v>
      </c>
      <c r="E18" t="inlineStr">
        <is>
          <t>DELIVERY ONLINE</t>
        </is>
      </c>
    </row>
    <row r="19">
      <c r="A19" t="n">
        <v>148</v>
      </c>
      <c r="B19" t="inlineStr">
        <is>
          <t>Bar Brahma - Granja</t>
        </is>
      </c>
      <c r="C19" s="27" t="n">
        <v>46055</v>
      </c>
      <c r="D19" t="n">
        <v>0</v>
      </c>
      <c r="E19" t="inlineStr">
        <is>
          <t>APP</t>
        </is>
      </c>
    </row>
    <row r="20">
      <c r="A20" t="n">
        <v>148</v>
      </c>
      <c r="B20" t="inlineStr">
        <is>
          <t>Bar Brahma - Granja</t>
        </is>
      </c>
      <c r="C20" s="27" t="n">
        <v>46055</v>
      </c>
      <c r="D20" t="n">
        <v>0</v>
      </c>
      <c r="E20" t="inlineStr">
        <is>
          <t>DINHEIRO</t>
        </is>
      </c>
    </row>
    <row r="21">
      <c r="A21" t="n">
        <v>148</v>
      </c>
      <c r="B21" t="inlineStr">
        <is>
          <t>Bar Brahma - Granja</t>
        </is>
      </c>
      <c r="C21" s="27" t="n">
        <v>46054</v>
      </c>
      <c r="D21" t="n">
        <v>1021.35</v>
      </c>
      <c r="E21" t="inlineStr">
        <is>
          <t>DINHEIRO</t>
        </is>
      </c>
    </row>
    <row r="22">
      <c r="A22" t="n">
        <v>148</v>
      </c>
      <c r="B22" t="inlineStr">
        <is>
          <t>Bar Brahma - Granja</t>
        </is>
      </c>
      <c r="C22" s="27" t="n">
        <v>46054</v>
      </c>
      <c r="D22" t="n">
        <v>7540.82</v>
      </c>
      <c r="E22" t="inlineStr">
        <is>
          <t>CRÉDITO</t>
        </is>
      </c>
    </row>
    <row r="23">
      <c r="A23" t="n">
        <v>148</v>
      </c>
      <c r="B23" t="inlineStr">
        <is>
          <t>Bar Brahma - Granja</t>
        </is>
      </c>
      <c r="C23" s="27" t="n">
        <v>46054</v>
      </c>
      <c r="D23" t="n">
        <v>0</v>
      </c>
      <c r="E23" t="inlineStr">
        <is>
          <t>MBWAY</t>
        </is>
      </c>
    </row>
    <row r="24">
      <c r="A24" t="n">
        <v>148</v>
      </c>
      <c r="B24" t="inlineStr">
        <is>
          <t>Bar Brahma - Granja</t>
        </is>
      </c>
      <c r="C24" s="27" t="n">
        <v>46054</v>
      </c>
      <c r="D24" t="n">
        <v>0</v>
      </c>
      <c r="E24" t="inlineStr">
        <is>
          <t>VOUCHER INTEGRADO</t>
        </is>
      </c>
    </row>
    <row r="25">
      <c r="A25" t="n">
        <v>148</v>
      </c>
      <c r="B25" t="inlineStr">
        <is>
          <t>Bar Brahma - Granja</t>
        </is>
      </c>
      <c r="C25" s="27" t="n">
        <v>46054</v>
      </c>
      <c r="D25" t="n">
        <v>0</v>
      </c>
      <c r="E25" t="inlineStr">
        <is>
          <t>RECARGAS DEVOLVIDAS</t>
        </is>
      </c>
    </row>
    <row r="26">
      <c r="A26" t="n">
        <v>148</v>
      </c>
      <c r="B26" t="inlineStr">
        <is>
          <t>Bar Brahma - Granja</t>
        </is>
      </c>
      <c r="C26" s="27" t="n">
        <v>46054</v>
      </c>
      <c r="D26" t="n">
        <v>0</v>
      </c>
      <c r="E26" t="inlineStr">
        <is>
          <t>NOTAS MANUAIS + SERVIÇO</t>
        </is>
      </c>
    </row>
    <row r="27">
      <c r="A27" t="n">
        <v>148</v>
      </c>
      <c r="B27" t="inlineStr">
        <is>
          <t>Bar Brahma - Granja</t>
        </is>
      </c>
      <c r="C27" s="27" t="n">
        <v>46054</v>
      </c>
      <c r="D27" t="n">
        <v>0</v>
      </c>
      <c r="E27" t="inlineStr">
        <is>
          <t>AME</t>
        </is>
      </c>
    </row>
    <row r="28">
      <c r="A28" t="n">
        <v>148</v>
      </c>
      <c r="B28" t="inlineStr">
        <is>
          <t>Bar Brahma - Granja</t>
        </is>
      </c>
      <c r="C28" s="27" t="n">
        <v>46054</v>
      </c>
      <c r="D28" t="n">
        <v>0</v>
      </c>
      <c r="E28" t="inlineStr">
        <is>
          <t>OUTROS</t>
        </is>
      </c>
    </row>
    <row r="29">
      <c r="A29" t="n">
        <v>148</v>
      </c>
      <c r="B29" t="inlineStr">
        <is>
          <t>Bar Brahma - Granja</t>
        </is>
      </c>
      <c r="C29" s="27" t="n">
        <v>46054</v>
      </c>
      <c r="D29" t="n">
        <v>0</v>
      </c>
      <c r="E29" t="inlineStr">
        <is>
          <t>ANTECIPADO</t>
        </is>
      </c>
    </row>
    <row r="30">
      <c r="A30" t="n">
        <v>148</v>
      </c>
      <c r="B30" t="inlineStr">
        <is>
          <t>Bar Brahma - Granja</t>
        </is>
      </c>
      <c r="C30" s="27" t="n">
        <v>46054</v>
      </c>
      <c r="D30" t="n">
        <v>0</v>
      </c>
      <c r="E30" t="inlineStr">
        <is>
          <t>BÔNUS</t>
        </is>
      </c>
    </row>
    <row r="31">
      <c r="A31" t="n">
        <v>148</v>
      </c>
      <c r="B31" t="inlineStr">
        <is>
          <t>Bar Brahma - Granja</t>
        </is>
      </c>
      <c r="C31" s="27" t="n">
        <v>46054</v>
      </c>
      <c r="D31" t="n">
        <v>589.8200000000001</v>
      </c>
      <c r="E31" t="inlineStr">
        <is>
          <t>VOUCHER</t>
        </is>
      </c>
    </row>
    <row r="32">
      <c r="A32" t="n">
        <v>148</v>
      </c>
      <c r="B32" t="inlineStr">
        <is>
          <t>Bar Brahma - Granja</t>
        </is>
      </c>
      <c r="C32" s="27" t="n">
        <v>46054</v>
      </c>
      <c r="D32" t="n">
        <v>0</v>
      </c>
      <c r="E32" t="inlineStr">
        <is>
          <t>ANTECIPADO</t>
        </is>
      </c>
    </row>
    <row r="33">
      <c r="A33" t="n">
        <v>148</v>
      </c>
      <c r="B33" t="inlineStr">
        <is>
          <t>Bar Brahma - Granja</t>
        </is>
      </c>
      <c r="C33" s="27" t="n">
        <v>46054</v>
      </c>
      <c r="D33" t="n">
        <v>0</v>
      </c>
      <c r="E33" t="inlineStr">
        <is>
          <t>UBER</t>
        </is>
      </c>
    </row>
    <row r="34">
      <c r="A34" t="n">
        <v>148</v>
      </c>
      <c r="B34" t="inlineStr">
        <is>
          <t>Bar Brahma - Granja</t>
        </is>
      </c>
      <c r="C34" s="27" t="n">
        <v>46054</v>
      </c>
      <c r="D34" t="n">
        <v>0</v>
      </c>
      <c r="E34" t="inlineStr">
        <is>
          <t>RAPPI</t>
        </is>
      </c>
    </row>
    <row r="35">
      <c r="A35" t="n">
        <v>148</v>
      </c>
      <c r="B35" t="inlineStr">
        <is>
          <t>Bar Brahma - Granja</t>
        </is>
      </c>
      <c r="C35" s="27" t="n">
        <v>46054</v>
      </c>
      <c r="D35" t="n">
        <v>805.28</v>
      </c>
      <c r="E35" t="inlineStr">
        <is>
          <t>PIX</t>
        </is>
      </c>
    </row>
    <row r="36">
      <c r="A36" t="n">
        <v>148</v>
      </c>
      <c r="B36" t="inlineStr">
        <is>
          <t>Bar Brahma - Granja</t>
        </is>
      </c>
      <c r="C36" s="27" t="n">
        <v>46054</v>
      </c>
      <c r="D36" t="n">
        <v>0</v>
      </c>
      <c r="E36" t="inlineStr">
        <is>
          <t>IFOOD</t>
        </is>
      </c>
    </row>
    <row r="37">
      <c r="A37" t="n">
        <v>148</v>
      </c>
      <c r="B37" t="inlineStr">
        <is>
          <t>Bar Brahma - Granja</t>
        </is>
      </c>
      <c r="C37" s="27" t="n">
        <v>46054</v>
      </c>
      <c r="D37" t="n">
        <v>0</v>
      </c>
      <c r="E37" t="inlineStr">
        <is>
          <t>DELIVERY ONLINE</t>
        </is>
      </c>
    </row>
    <row r="38">
      <c r="A38" t="n">
        <v>148</v>
      </c>
      <c r="B38" t="inlineStr">
        <is>
          <t>Bar Brahma - Granja</t>
        </is>
      </c>
      <c r="C38" s="27" t="n">
        <v>46054</v>
      </c>
      <c r="D38" t="n">
        <v>0</v>
      </c>
      <c r="E38" t="inlineStr">
        <is>
          <t>APP</t>
        </is>
      </c>
    </row>
    <row r="39">
      <c r="A39" t="n">
        <v>148</v>
      </c>
      <c r="B39" t="inlineStr">
        <is>
          <t>Bar Brahma - Granja</t>
        </is>
      </c>
      <c r="C39" s="27" t="n">
        <v>46054</v>
      </c>
      <c r="D39" t="n">
        <v>1894.9</v>
      </c>
      <c r="E39" t="inlineStr">
        <is>
          <t>DÉBITO</t>
        </is>
      </c>
    </row>
    <row r="40">
      <c r="A40" t="n">
        <v>148</v>
      </c>
      <c r="B40" t="inlineStr">
        <is>
          <t>Bar Brahma - Granja</t>
        </is>
      </c>
      <c r="C40" s="27" t="n">
        <v>46053</v>
      </c>
      <c r="D40" t="n">
        <v>0</v>
      </c>
      <c r="E40" t="inlineStr">
        <is>
          <t>ANTECIPADO</t>
        </is>
      </c>
    </row>
    <row r="41">
      <c r="A41" t="n">
        <v>148</v>
      </c>
      <c r="B41" t="inlineStr">
        <is>
          <t>Bar Brahma - Granja</t>
        </is>
      </c>
      <c r="C41" s="27" t="n">
        <v>46053</v>
      </c>
      <c r="D41" t="n">
        <v>0</v>
      </c>
      <c r="E41" t="inlineStr">
        <is>
          <t>UBER</t>
        </is>
      </c>
    </row>
    <row r="42">
      <c r="A42" t="n">
        <v>148</v>
      </c>
      <c r="B42" t="inlineStr">
        <is>
          <t>Bar Brahma - Granja</t>
        </is>
      </c>
      <c r="C42" s="27" t="n">
        <v>46053</v>
      </c>
      <c r="D42" t="n">
        <v>0</v>
      </c>
      <c r="E42" t="inlineStr">
        <is>
          <t>RAPPI</t>
        </is>
      </c>
    </row>
    <row r="43">
      <c r="A43" t="n">
        <v>148</v>
      </c>
      <c r="B43" t="inlineStr">
        <is>
          <t>Bar Brahma - Granja</t>
        </is>
      </c>
      <c r="C43" s="27" t="n">
        <v>46053</v>
      </c>
      <c r="D43" t="n">
        <v>7504.03</v>
      </c>
      <c r="E43" t="inlineStr">
        <is>
          <t>PIX</t>
        </is>
      </c>
    </row>
    <row r="44">
      <c r="A44" t="n">
        <v>148</v>
      </c>
      <c r="B44" t="inlineStr">
        <is>
          <t>Bar Brahma - Granja</t>
        </is>
      </c>
      <c r="C44" s="27" t="n">
        <v>46053</v>
      </c>
      <c r="D44" t="n">
        <v>0</v>
      </c>
      <c r="E44" t="inlineStr">
        <is>
          <t>IFOOD</t>
        </is>
      </c>
    </row>
    <row r="45">
      <c r="A45" t="n">
        <v>148</v>
      </c>
      <c r="B45" t="inlineStr">
        <is>
          <t>Bar Brahma - Granja</t>
        </is>
      </c>
      <c r="C45" s="27" t="n">
        <v>46053</v>
      </c>
      <c r="D45" t="n">
        <v>0</v>
      </c>
      <c r="E45" t="inlineStr">
        <is>
          <t>DELIVERY ONLINE</t>
        </is>
      </c>
    </row>
    <row r="46">
      <c r="A46" t="n">
        <v>148</v>
      </c>
      <c r="B46" t="inlineStr">
        <is>
          <t>Bar Brahma - Granja</t>
        </is>
      </c>
      <c r="C46" s="27" t="n">
        <v>46053</v>
      </c>
      <c r="D46" t="n">
        <v>114.56</v>
      </c>
      <c r="E46" t="inlineStr">
        <is>
          <t>APP</t>
        </is>
      </c>
    </row>
    <row r="47">
      <c r="A47" t="n">
        <v>148</v>
      </c>
      <c r="B47" t="inlineStr">
        <is>
          <t>Bar Brahma - Granja</t>
        </is>
      </c>
      <c r="C47" s="27" t="n">
        <v>46053</v>
      </c>
      <c r="D47" t="n">
        <v>2636.74</v>
      </c>
      <c r="E47" t="inlineStr">
        <is>
          <t>DINHEIRO</t>
        </is>
      </c>
    </row>
    <row r="48">
      <c r="A48" t="n">
        <v>148</v>
      </c>
      <c r="B48" t="inlineStr">
        <is>
          <t>Bar Brahma - Granja</t>
        </is>
      </c>
      <c r="C48" s="27" t="n">
        <v>46053</v>
      </c>
      <c r="D48" t="n">
        <v>42341.71</v>
      </c>
      <c r="E48" t="inlineStr">
        <is>
          <t>CRÉDITO</t>
        </is>
      </c>
    </row>
    <row r="49">
      <c r="A49" t="n">
        <v>148</v>
      </c>
      <c r="B49" t="inlineStr">
        <is>
          <t>Bar Brahma - Granja</t>
        </is>
      </c>
      <c r="C49" s="27" t="n">
        <v>46053</v>
      </c>
      <c r="D49" t="n">
        <v>5423.92</v>
      </c>
      <c r="E49" t="inlineStr">
        <is>
          <t>VOUCHER</t>
        </is>
      </c>
    </row>
    <row r="50">
      <c r="A50" t="n">
        <v>148</v>
      </c>
      <c r="B50" t="inlineStr">
        <is>
          <t>Bar Brahma - Granja</t>
        </is>
      </c>
      <c r="C50" s="27" t="n">
        <v>46053</v>
      </c>
      <c r="D50" t="n">
        <v>23098.85</v>
      </c>
      <c r="E50" t="inlineStr">
        <is>
          <t>DÉBITO</t>
        </is>
      </c>
    </row>
    <row r="51">
      <c r="A51" t="n">
        <v>148</v>
      </c>
      <c r="B51" t="inlineStr">
        <is>
          <t>Bar Brahma - Granja</t>
        </is>
      </c>
      <c r="C51" s="27" t="n">
        <v>46053</v>
      </c>
      <c r="D51" t="n">
        <v>0</v>
      </c>
      <c r="E51" t="inlineStr">
        <is>
          <t>BÔNUS</t>
        </is>
      </c>
    </row>
    <row r="52">
      <c r="A52" t="n">
        <v>148</v>
      </c>
      <c r="B52" t="inlineStr">
        <is>
          <t>Bar Brahma - Granja</t>
        </is>
      </c>
      <c r="C52" s="27" t="n">
        <v>46053</v>
      </c>
      <c r="D52" t="n">
        <v>0</v>
      </c>
      <c r="E52" t="inlineStr">
        <is>
          <t>ANTECIPADO</t>
        </is>
      </c>
    </row>
    <row r="53">
      <c r="A53" t="n">
        <v>148</v>
      </c>
      <c r="B53" t="inlineStr">
        <is>
          <t>Bar Brahma - Granja</t>
        </is>
      </c>
      <c r="C53" s="27" t="n">
        <v>46053</v>
      </c>
      <c r="D53" t="n">
        <v>0</v>
      </c>
      <c r="E53" t="inlineStr">
        <is>
          <t>OUTROS</t>
        </is>
      </c>
    </row>
    <row r="54">
      <c r="A54" t="n">
        <v>148</v>
      </c>
      <c r="B54" t="inlineStr">
        <is>
          <t>Bar Brahma - Granja</t>
        </is>
      </c>
      <c r="C54" s="27" t="n">
        <v>46053</v>
      </c>
      <c r="D54" t="n">
        <v>0</v>
      </c>
      <c r="E54" t="inlineStr">
        <is>
          <t>AME</t>
        </is>
      </c>
    </row>
    <row r="55">
      <c r="A55" t="n">
        <v>148</v>
      </c>
      <c r="B55" t="inlineStr">
        <is>
          <t>Bar Brahma - Granja</t>
        </is>
      </c>
      <c r="C55" s="27" t="n">
        <v>46053</v>
      </c>
      <c r="D55" t="n">
        <v>0</v>
      </c>
      <c r="E55" t="inlineStr">
        <is>
          <t>NOTAS MANUAIS + SERVIÇO</t>
        </is>
      </c>
    </row>
    <row r="56">
      <c r="A56" t="n">
        <v>148</v>
      </c>
      <c r="B56" t="inlineStr">
        <is>
          <t>Bar Brahma - Granja</t>
        </is>
      </c>
      <c r="C56" s="27" t="n">
        <v>46053</v>
      </c>
      <c r="D56" t="n">
        <v>0</v>
      </c>
      <c r="E56" t="inlineStr">
        <is>
          <t>RECARGAS DEVOLVIDAS</t>
        </is>
      </c>
    </row>
    <row r="57">
      <c r="A57" t="n">
        <v>148</v>
      </c>
      <c r="B57" t="inlineStr">
        <is>
          <t>Bar Brahma - Granja</t>
        </is>
      </c>
      <c r="C57" s="27" t="n">
        <v>46053</v>
      </c>
      <c r="D57" t="n">
        <v>0</v>
      </c>
      <c r="E57" t="inlineStr">
        <is>
          <t>VOUCHER INTEGRADO</t>
        </is>
      </c>
    </row>
    <row r="58">
      <c r="A58" t="n">
        <v>148</v>
      </c>
      <c r="B58" t="inlineStr">
        <is>
          <t>Bar Brahma - Granja</t>
        </is>
      </c>
      <c r="C58" s="27" t="n">
        <v>46053</v>
      </c>
      <c r="D58" t="n">
        <v>0</v>
      </c>
      <c r="E58" t="inlineStr">
        <is>
          <t>MBWAY</t>
        </is>
      </c>
    </row>
    <row r="59">
      <c r="A59" t="n">
        <v>148</v>
      </c>
      <c r="B59" t="inlineStr">
        <is>
          <t>Bar Brahma - Granja</t>
        </is>
      </c>
      <c r="C59" s="27" t="n">
        <v>46052</v>
      </c>
      <c r="D59" t="n">
        <v>12139.78</v>
      </c>
      <c r="E59" t="inlineStr">
        <is>
          <t>CRÉDITO</t>
        </is>
      </c>
    </row>
    <row r="60">
      <c r="A60" t="n">
        <v>148</v>
      </c>
      <c r="B60" t="inlineStr">
        <is>
          <t>Bar Brahma - Granja</t>
        </is>
      </c>
      <c r="C60" s="27" t="n">
        <v>46052</v>
      </c>
      <c r="D60" t="n">
        <v>0</v>
      </c>
      <c r="E60" t="inlineStr">
        <is>
          <t>MBWAY</t>
        </is>
      </c>
    </row>
    <row r="61">
      <c r="A61" t="n">
        <v>148</v>
      </c>
      <c r="B61" t="inlineStr">
        <is>
          <t>Bar Brahma - Granja</t>
        </is>
      </c>
      <c r="C61" s="27" t="n">
        <v>46052</v>
      </c>
      <c r="D61" t="n">
        <v>0</v>
      </c>
      <c r="E61" t="inlineStr">
        <is>
          <t>VOUCHER INTEGRADO</t>
        </is>
      </c>
    </row>
    <row r="62">
      <c r="A62" t="n">
        <v>148</v>
      </c>
      <c r="B62" t="inlineStr">
        <is>
          <t>Bar Brahma - Granja</t>
        </is>
      </c>
      <c r="C62" s="27" t="n">
        <v>46052</v>
      </c>
      <c r="D62" t="n">
        <v>0</v>
      </c>
      <c r="E62" t="inlineStr">
        <is>
          <t>RECARGAS DEVOLVIDAS</t>
        </is>
      </c>
    </row>
    <row r="63">
      <c r="A63" t="n">
        <v>148</v>
      </c>
      <c r="B63" t="inlineStr">
        <is>
          <t>Bar Brahma - Granja</t>
        </is>
      </c>
      <c r="C63" s="27" t="n">
        <v>46052</v>
      </c>
      <c r="D63" t="n">
        <v>0</v>
      </c>
      <c r="E63" t="inlineStr">
        <is>
          <t>NOTAS MANUAIS + SERVIÇO</t>
        </is>
      </c>
    </row>
    <row r="64">
      <c r="A64" t="n">
        <v>148</v>
      </c>
      <c r="B64" t="inlineStr">
        <is>
          <t>Bar Brahma - Granja</t>
        </is>
      </c>
      <c r="C64" s="27" t="n">
        <v>46052</v>
      </c>
      <c r="D64" t="n">
        <v>0</v>
      </c>
      <c r="E64" t="inlineStr">
        <is>
          <t>AME</t>
        </is>
      </c>
    </row>
    <row r="65">
      <c r="A65" t="n">
        <v>148</v>
      </c>
      <c r="B65" t="inlineStr">
        <is>
          <t>Bar Brahma - Granja</t>
        </is>
      </c>
      <c r="C65" s="27" t="n">
        <v>46052</v>
      </c>
      <c r="D65" t="n">
        <v>0</v>
      </c>
      <c r="E65" t="inlineStr">
        <is>
          <t>OUTROS</t>
        </is>
      </c>
    </row>
    <row r="66">
      <c r="A66" t="n">
        <v>148</v>
      </c>
      <c r="B66" t="inlineStr">
        <is>
          <t>Bar Brahma - Granja</t>
        </is>
      </c>
      <c r="C66" s="27" t="n">
        <v>46052</v>
      </c>
      <c r="D66" t="n">
        <v>0</v>
      </c>
      <c r="E66" t="inlineStr">
        <is>
          <t>ANTECIPADO</t>
        </is>
      </c>
    </row>
    <row r="67">
      <c r="A67" t="n">
        <v>148</v>
      </c>
      <c r="B67" t="inlineStr">
        <is>
          <t>Bar Brahma - Granja</t>
        </is>
      </c>
      <c r="C67" s="27" t="n">
        <v>46052</v>
      </c>
      <c r="D67" t="n">
        <v>0</v>
      </c>
      <c r="E67" t="inlineStr">
        <is>
          <t>BÔNUS</t>
        </is>
      </c>
    </row>
    <row r="68">
      <c r="A68" t="n">
        <v>148</v>
      </c>
      <c r="B68" t="inlineStr">
        <is>
          <t>Bar Brahma - Granja</t>
        </is>
      </c>
      <c r="C68" s="27" t="n">
        <v>46052</v>
      </c>
      <c r="D68" t="n">
        <v>8594.639999999999</v>
      </c>
      <c r="E68" t="inlineStr">
        <is>
          <t>DÉBITO</t>
        </is>
      </c>
    </row>
    <row r="69">
      <c r="A69" t="n">
        <v>148</v>
      </c>
      <c r="B69" t="inlineStr">
        <is>
          <t>Bar Brahma - Granja</t>
        </is>
      </c>
      <c r="C69" s="27" t="n">
        <v>46052</v>
      </c>
      <c r="D69" t="n">
        <v>0</v>
      </c>
      <c r="E69" t="inlineStr">
        <is>
          <t>ANTECIPADO</t>
        </is>
      </c>
    </row>
    <row r="70">
      <c r="A70" t="n">
        <v>148</v>
      </c>
      <c r="B70" t="inlineStr">
        <is>
          <t>Bar Brahma - Granja</t>
        </is>
      </c>
      <c r="C70" s="27" t="n">
        <v>46052</v>
      </c>
      <c r="D70" t="n">
        <v>2289.18</v>
      </c>
      <c r="E70" t="inlineStr">
        <is>
          <t>VOUCHER</t>
        </is>
      </c>
    </row>
    <row r="71">
      <c r="A71" t="n">
        <v>148</v>
      </c>
      <c r="B71" t="inlineStr">
        <is>
          <t>Bar Brahma - Granja</t>
        </is>
      </c>
      <c r="C71" s="27" t="n">
        <v>46052</v>
      </c>
      <c r="D71" t="n">
        <v>0</v>
      </c>
      <c r="E71" t="inlineStr">
        <is>
          <t>RAPPI</t>
        </is>
      </c>
    </row>
    <row r="72">
      <c r="A72" t="n">
        <v>148</v>
      </c>
      <c r="B72" t="inlineStr">
        <is>
          <t>Bar Brahma - Granja</t>
        </is>
      </c>
      <c r="C72" s="27" t="n">
        <v>46052</v>
      </c>
      <c r="D72" t="n">
        <v>1310.7</v>
      </c>
      <c r="E72" t="inlineStr">
        <is>
          <t>PIX</t>
        </is>
      </c>
    </row>
    <row r="73">
      <c r="A73" t="n">
        <v>148</v>
      </c>
      <c r="B73" t="inlineStr">
        <is>
          <t>Bar Brahma - Granja</t>
        </is>
      </c>
      <c r="C73" s="27" t="n">
        <v>46052</v>
      </c>
      <c r="D73" t="n">
        <v>0</v>
      </c>
      <c r="E73" t="inlineStr">
        <is>
          <t>IFOOD</t>
        </is>
      </c>
    </row>
    <row r="74">
      <c r="A74" t="n">
        <v>148</v>
      </c>
      <c r="B74" t="inlineStr">
        <is>
          <t>Bar Brahma - Granja</t>
        </is>
      </c>
      <c r="C74" s="27" t="n">
        <v>46052</v>
      </c>
      <c r="D74" t="n">
        <v>0</v>
      </c>
      <c r="E74" t="inlineStr">
        <is>
          <t>DELIVERY ONLINE</t>
        </is>
      </c>
    </row>
    <row r="75">
      <c r="A75" t="n">
        <v>148</v>
      </c>
      <c r="B75" t="inlineStr">
        <is>
          <t>Bar Brahma - Granja</t>
        </is>
      </c>
      <c r="C75" s="27" t="n">
        <v>46052</v>
      </c>
      <c r="D75" t="n">
        <v>147</v>
      </c>
      <c r="E75" t="inlineStr">
        <is>
          <t>APP</t>
        </is>
      </c>
    </row>
    <row r="76">
      <c r="A76" t="n">
        <v>148</v>
      </c>
      <c r="B76" t="inlineStr">
        <is>
          <t>Bar Brahma - Granja</t>
        </is>
      </c>
      <c r="C76" s="27" t="n">
        <v>46052</v>
      </c>
      <c r="D76" t="n">
        <v>1211.45</v>
      </c>
      <c r="E76" t="inlineStr">
        <is>
          <t>DINHEIRO</t>
        </is>
      </c>
    </row>
    <row r="77">
      <c r="A77" t="n">
        <v>148</v>
      </c>
      <c r="B77" t="inlineStr">
        <is>
          <t>Bar Brahma - Granja</t>
        </is>
      </c>
      <c r="C77" s="27" t="n">
        <v>46052</v>
      </c>
      <c r="D77" t="n">
        <v>0</v>
      </c>
      <c r="E77" t="inlineStr">
        <is>
          <t>UBER</t>
        </is>
      </c>
    </row>
    <row r="78">
      <c r="A78" t="n">
        <v>148</v>
      </c>
      <c r="B78" t="inlineStr">
        <is>
          <t>Bar Brahma - Granja</t>
        </is>
      </c>
      <c r="C78" s="27" t="n">
        <v>46051</v>
      </c>
      <c r="D78" t="n">
        <v>0</v>
      </c>
      <c r="E78" t="inlineStr">
        <is>
          <t>ANTECIPADO</t>
        </is>
      </c>
    </row>
    <row r="79">
      <c r="A79" t="n">
        <v>148</v>
      </c>
      <c r="B79" t="inlineStr">
        <is>
          <t>Bar Brahma - Granja</t>
        </is>
      </c>
      <c r="C79" s="27" t="n">
        <v>46051</v>
      </c>
      <c r="D79" t="n">
        <v>6992.18</v>
      </c>
      <c r="E79" t="inlineStr">
        <is>
          <t>CRÉDITO</t>
        </is>
      </c>
    </row>
    <row r="80">
      <c r="A80" t="n">
        <v>148</v>
      </c>
      <c r="B80" t="inlineStr">
        <is>
          <t>Bar Brahma - Granja</t>
        </is>
      </c>
      <c r="C80" s="27" t="n">
        <v>46051</v>
      </c>
      <c r="D80" t="n">
        <v>274.04</v>
      </c>
      <c r="E80" t="inlineStr">
        <is>
          <t>DINHEIRO</t>
        </is>
      </c>
    </row>
    <row r="81">
      <c r="A81" t="n">
        <v>148</v>
      </c>
      <c r="B81" t="inlineStr">
        <is>
          <t>Bar Brahma - Granja</t>
        </is>
      </c>
      <c r="C81" s="27" t="n">
        <v>46051</v>
      </c>
      <c r="D81" t="n">
        <v>0</v>
      </c>
      <c r="E81" t="inlineStr">
        <is>
          <t>APP</t>
        </is>
      </c>
    </row>
    <row r="82">
      <c r="A82" t="n">
        <v>148</v>
      </c>
      <c r="B82" t="inlineStr">
        <is>
          <t>Bar Brahma - Granja</t>
        </is>
      </c>
      <c r="C82" s="27" t="n">
        <v>46051</v>
      </c>
      <c r="D82" t="n">
        <v>0</v>
      </c>
      <c r="E82" t="inlineStr">
        <is>
          <t>DELIVERY ONLINE</t>
        </is>
      </c>
    </row>
    <row r="83">
      <c r="A83" t="n">
        <v>148</v>
      </c>
      <c r="B83" t="inlineStr">
        <is>
          <t>Bar Brahma - Granja</t>
        </is>
      </c>
      <c r="C83" s="27" t="n">
        <v>46051</v>
      </c>
      <c r="D83" t="n">
        <v>0</v>
      </c>
      <c r="E83" t="inlineStr">
        <is>
          <t>IFOOD</t>
        </is>
      </c>
    </row>
    <row r="84">
      <c r="A84" t="n">
        <v>148</v>
      </c>
      <c r="B84" t="inlineStr">
        <is>
          <t>Bar Brahma - Granja</t>
        </is>
      </c>
      <c r="C84" s="27" t="n">
        <v>46051</v>
      </c>
      <c r="D84" t="n">
        <v>438</v>
      </c>
      <c r="E84" t="inlineStr">
        <is>
          <t>PIX</t>
        </is>
      </c>
    </row>
    <row r="85">
      <c r="A85" t="n">
        <v>148</v>
      </c>
      <c r="B85" t="inlineStr">
        <is>
          <t>Bar Brahma - Granja</t>
        </is>
      </c>
      <c r="C85" s="27" t="n">
        <v>46051</v>
      </c>
      <c r="D85" t="n">
        <v>0</v>
      </c>
      <c r="E85" t="inlineStr">
        <is>
          <t>RAPPI</t>
        </is>
      </c>
    </row>
    <row r="86">
      <c r="A86" t="n">
        <v>148</v>
      </c>
      <c r="B86" t="inlineStr">
        <is>
          <t>Bar Brahma - Granja</t>
        </is>
      </c>
      <c r="C86" s="27" t="n">
        <v>46051</v>
      </c>
      <c r="D86" t="n">
        <v>0</v>
      </c>
      <c r="E86" t="inlineStr">
        <is>
          <t>MBWAY</t>
        </is>
      </c>
    </row>
    <row r="87">
      <c r="A87" t="n">
        <v>148</v>
      </c>
      <c r="B87" t="inlineStr">
        <is>
          <t>Bar Brahma - Granja</t>
        </is>
      </c>
      <c r="C87" s="27" t="n">
        <v>46051</v>
      </c>
      <c r="D87" t="n">
        <v>0</v>
      </c>
      <c r="E87" t="inlineStr">
        <is>
          <t>RECARGAS DEVOLVIDAS</t>
        </is>
      </c>
    </row>
    <row r="88">
      <c r="A88" t="n">
        <v>148</v>
      </c>
      <c r="B88" t="inlineStr">
        <is>
          <t>Bar Brahma - Granja</t>
        </is>
      </c>
      <c r="C88" s="27" t="n">
        <v>46051</v>
      </c>
      <c r="D88" t="n">
        <v>0</v>
      </c>
      <c r="E88" t="inlineStr">
        <is>
          <t>NOTAS MANUAIS + SERVIÇO</t>
        </is>
      </c>
    </row>
    <row r="89">
      <c r="A89" t="n">
        <v>148</v>
      </c>
      <c r="B89" t="inlineStr">
        <is>
          <t>Bar Brahma - Granja</t>
        </is>
      </c>
      <c r="C89" s="27" t="n">
        <v>46051</v>
      </c>
      <c r="D89" t="n">
        <v>0</v>
      </c>
      <c r="E89" t="inlineStr">
        <is>
          <t>AME</t>
        </is>
      </c>
    </row>
    <row r="90">
      <c r="A90" t="n">
        <v>148</v>
      </c>
      <c r="B90" t="inlineStr">
        <is>
          <t>Bar Brahma - Granja</t>
        </is>
      </c>
      <c r="C90" s="27" t="n">
        <v>46051</v>
      </c>
      <c r="D90" t="n">
        <v>0</v>
      </c>
      <c r="E90" t="inlineStr">
        <is>
          <t>UBER</t>
        </is>
      </c>
    </row>
    <row r="91">
      <c r="A91" t="n">
        <v>148</v>
      </c>
      <c r="B91" t="inlineStr">
        <is>
          <t>Bar Brahma - Granja</t>
        </is>
      </c>
      <c r="C91" s="27" t="n">
        <v>46051</v>
      </c>
      <c r="D91" t="n">
        <v>0</v>
      </c>
      <c r="E91" t="inlineStr">
        <is>
          <t>ANTECIPADO</t>
        </is>
      </c>
    </row>
    <row r="92">
      <c r="A92" t="n">
        <v>148</v>
      </c>
      <c r="B92" t="inlineStr">
        <is>
          <t>Bar Brahma - Granja</t>
        </is>
      </c>
      <c r="C92" s="27" t="n">
        <v>46051</v>
      </c>
      <c r="D92" t="n">
        <v>1246.7</v>
      </c>
      <c r="E92" t="inlineStr">
        <is>
          <t>VOUCHER</t>
        </is>
      </c>
    </row>
    <row r="93">
      <c r="A93" t="n">
        <v>148</v>
      </c>
      <c r="B93" t="inlineStr">
        <is>
          <t>Bar Brahma - Granja</t>
        </is>
      </c>
      <c r="C93" s="27" t="n">
        <v>46051</v>
      </c>
      <c r="D93" t="n">
        <v>2403.34</v>
      </c>
      <c r="E93" t="inlineStr">
        <is>
          <t>DÉBITO</t>
        </is>
      </c>
    </row>
    <row r="94">
      <c r="A94" t="n">
        <v>148</v>
      </c>
      <c r="B94" t="inlineStr">
        <is>
          <t>Bar Brahma - Granja</t>
        </is>
      </c>
      <c r="C94" s="27" t="n">
        <v>46051</v>
      </c>
      <c r="D94" t="n">
        <v>0</v>
      </c>
      <c r="E94" t="inlineStr">
        <is>
          <t>BÔNUS</t>
        </is>
      </c>
    </row>
    <row r="95">
      <c r="A95" t="n">
        <v>148</v>
      </c>
      <c r="B95" t="inlineStr">
        <is>
          <t>Bar Brahma - Granja</t>
        </is>
      </c>
      <c r="C95" s="27" t="n">
        <v>46051</v>
      </c>
      <c r="D95" t="n">
        <v>0</v>
      </c>
      <c r="E95" t="inlineStr">
        <is>
          <t>OUTROS</t>
        </is>
      </c>
    </row>
    <row r="96">
      <c r="A96" t="n">
        <v>148</v>
      </c>
      <c r="B96" t="inlineStr">
        <is>
          <t>Bar Brahma - Granja</t>
        </is>
      </c>
      <c r="C96" s="27" t="n">
        <v>46051</v>
      </c>
      <c r="D96" t="n">
        <v>0</v>
      </c>
      <c r="E96" t="inlineStr">
        <is>
          <t>VOUCHER INTEGRADO</t>
        </is>
      </c>
    </row>
    <row r="97">
      <c r="A97" t="n">
        <v>148</v>
      </c>
      <c r="B97" t="inlineStr">
        <is>
          <t>Bar Brahma - Granja</t>
        </is>
      </c>
      <c r="C97" s="27" t="n">
        <v>46050</v>
      </c>
      <c r="D97" t="n">
        <v>0</v>
      </c>
      <c r="E97" t="inlineStr">
        <is>
          <t>MBWAY</t>
        </is>
      </c>
    </row>
    <row r="98">
      <c r="A98" t="n">
        <v>148</v>
      </c>
      <c r="B98" t="inlineStr">
        <is>
          <t>Bar Brahma - Granja</t>
        </is>
      </c>
      <c r="C98" s="27" t="n">
        <v>46050</v>
      </c>
      <c r="D98" t="n">
        <v>5550.2</v>
      </c>
      <c r="E98" t="inlineStr">
        <is>
          <t>CRÉDITO</t>
        </is>
      </c>
    </row>
    <row r="99">
      <c r="A99" t="n">
        <v>148</v>
      </c>
      <c r="B99" t="inlineStr">
        <is>
          <t>Bar Brahma - Granja</t>
        </is>
      </c>
      <c r="C99" s="27" t="n">
        <v>46050</v>
      </c>
      <c r="D99" t="n">
        <v>0</v>
      </c>
      <c r="E99" t="inlineStr">
        <is>
          <t>VOUCHER INTEGRADO</t>
        </is>
      </c>
    </row>
    <row r="100">
      <c r="A100" t="n">
        <v>148</v>
      </c>
      <c r="B100" t="inlineStr">
        <is>
          <t>Bar Brahma - Granja</t>
        </is>
      </c>
      <c r="C100" s="27" t="n">
        <v>46050</v>
      </c>
      <c r="D100" t="n">
        <v>0</v>
      </c>
      <c r="E100" t="inlineStr">
        <is>
          <t>RECARGAS DEVOLVIDAS</t>
        </is>
      </c>
    </row>
    <row r="101">
      <c r="A101" t="n">
        <v>148</v>
      </c>
      <c r="B101" t="inlineStr">
        <is>
          <t>Bar Brahma - Granja</t>
        </is>
      </c>
      <c r="C101" s="27" t="n">
        <v>46050</v>
      </c>
      <c r="D101" t="n">
        <v>0</v>
      </c>
      <c r="E101" t="inlineStr">
        <is>
          <t>NOTAS MANUAIS + SERVIÇO</t>
        </is>
      </c>
    </row>
    <row r="102">
      <c r="A102" t="n">
        <v>148</v>
      </c>
      <c r="B102" t="inlineStr">
        <is>
          <t>Bar Brahma - Granja</t>
        </is>
      </c>
      <c r="C102" s="27" t="n">
        <v>46050</v>
      </c>
      <c r="D102" t="n">
        <v>0</v>
      </c>
      <c r="E102" t="inlineStr">
        <is>
          <t>AME</t>
        </is>
      </c>
    </row>
    <row r="103">
      <c r="A103" t="n">
        <v>148</v>
      </c>
      <c r="B103" t="inlineStr">
        <is>
          <t>Bar Brahma - Granja</t>
        </is>
      </c>
      <c r="C103" s="27" t="n">
        <v>46050</v>
      </c>
      <c r="D103" t="n">
        <v>0</v>
      </c>
      <c r="E103" t="inlineStr">
        <is>
          <t>OUTROS</t>
        </is>
      </c>
    </row>
    <row r="104">
      <c r="A104" t="n">
        <v>148</v>
      </c>
      <c r="B104" t="inlineStr">
        <is>
          <t>Bar Brahma - Granja</t>
        </is>
      </c>
      <c r="C104" s="27" t="n">
        <v>46050</v>
      </c>
      <c r="D104" t="n">
        <v>0</v>
      </c>
      <c r="E104" t="inlineStr">
        <is>
          <t>ANTECIPADO</t>
        </is>
      </c>
    </row>
    <row r="105">
      <c r="A105" t="n">
        <v>148</v>
      </c>
      <c r="B105" t="inlineStr">
        <is>
          <t>Bar Brahma - Granja</t>
        </is>
      </c>
      <c r="C105" s="27" t="n">
        <v>46050</v>
      </c>
      <c r="D105" t="n">
        <v>0</v>
      </c>
      <c r="E105" t="inlineStr">
        <is>
          <t>BÔNUS</t>
        </is>
      </c>
    </row>
    <row r="106">
      <c r="A106" t="n">
        <v>148</v>
      </c>
      <c r="B106" t="inlineStr">
        <is>
          <t>Bar Brahma - Granja</t>
        </is>
      </c>
      <c r="C106" s="27" t="n">
        <v>46050</v>
      </c>
      <c r="D106" t="n">
        <v>1801.78</v>
      </c>
      <c r="E106" t="inlineStr">
        <is>
          <t>DÉBITO</t>
        </is>
      </c>
    </row>
    <row r="107">
      <c r="A107" t="n">
        <v>148</v>
      </c>
      <c r="B107" t="inlineStr">
        <is>
          <t>Bar Brahma - Granja</t>
        </is>
      </c>
      <c r="C107" s="27" t="n">
        <v>46050</v>
      </c>
      <c r="D107" t="n">
        <v>1082.07</v>
      </c>
      <c r="E107" t="inlineStr">
        <is>
          <t>VOUCHER</t>
        </is>
      </c>
    </row>
    <row r="108">
      <c r="A108" t="n">
        <v>148</v>
      </c>
      <c r="B108" t="inlineStr">
        <is>
          <t>Bar Brahma - Granja</t>
        </is>
      </c>
      <c r="C108" s="27" t="n">
        <v>46050</v>
      </c>
      <c r="D108" t="n">
        <v>0</v>
      </c>
      <c r="E108" t="inlineStr">
        <is>
          <t>UBER</t>
        </is>
      </c>
    </row>
    <row r="109">
      <c r="A109" t="n">
        <v>148</v>
      </c>
      <c r="B109" t="inlineStr">
        <is>
          <t>Bar Brahma - Granja</t>
        </is>
      </c>
      <c r="C109" s="27" t="n">
        <v>46050</v>
      </c>
      <c r="D109" t="n">
        <v>0</v>
      </c>
      <c r="E109" t="inlineStr">
        <is>
          <t>RAPPI</t>
        </is>
      </c>
    </row>
    <row r="110">
      <c r="A110" t="n">
        <v>148</v>
      </c>
      <c r="B110" t="inlineStr">
        <is>
          <t>Bar Brahma - Granja</t>
        </is>
      </c>
      <c r="C110" s="27" t="n">
        <v>46050</v>
      </c>
      <c r="D110" t="n">
        <v>1129.58</v>
      </c>
      <c r="E110" t="inlineStr">
        <is>
          <t>PIX</t>
        </is>
      </c>
    </row>
    <row r="111">
      <c r="A111" t="n">
        <v>148</v>
      </c>
      <c r="B111" t="inlineStr">
        <is>
          <t>Bar Brahma - Granja</t>
        </is>
      </c>
      <c r="C111" s="27" t="n">
        <v>46050</v>
      </c>
      <c r="D111" t="n">
        <v>0</v>
      </c>
      <c r="E111" t="inlineStr">
        <is>
          <t>IFOOD</t>
        </is>
      </c>
    </row>
    <row r="112">
      <c r="A112" t="n">
        <v>148</v>
      </c>
      <c r="B112" t="inlineStr">
        <is>
          <t>Bar Brahma - Granja</t>
        </is>
      </c>
      <c r="C112" s="27" t="n">
        <v>46050</v>
      </c>
      <c r="D112" t="n">
        <v>0</v>
      </c>
      <c r="E112" t="inlineStr">
        <is>
          <t>DELIVERY ONLINE</t>
        </is>
      </c>
    </row>
    <row r="113">
      <c r="A113" t="n">
        <v>148</v>
      </c>
      <c r="B113" t="inlineStr">
        <is>
          <t>Bar Brahma - Granja</t>
        </is>
      </c>
      <c r="C113" s="27" t="n">
        <v>46050</v>
      </c>
      <c r="D113" t="n">
        <v>0</v>
      </c>
      <c r="E113" t="inlineStr">
        <is>
          <t>APP</t>
        </is>
      </c>
    </row>
    <row r="114">
      <c r="A114" t="n">
        <v>148</v>
      </c>
      <c r="B114" t="inlineStr">
        <is>
          <t>Bar Brahma - Granja</t>
        </is>
      </c>
      <c r="C114" s="27" t="n">
        <v>46050</v>
      </c>
      <c r="D114" t="n">
        <v>483.5</v>
      </c>
      <c r="E114" t="inlineStr">
        <is>
          <t>DINHEIRO</t>
        </is>
      </c>
    </row>
    <row r="115">
      <c r="A115" t="n">
        <v>148</v>
      </c>
      <c r="B115" t="inlineStr">
        <is>
          <t>Bar Brahma - Granja</t>
        </is>
      </c>
      <c r="C115" s="27" t="n">
        <v>46050</v>
      </c>
      <c r="D115" t="n">
        <v>0</v>
      </c>
      <c r="E115" t="inlineStr">
        <is>
          <t>ANTECIPADO</t>
        </is>
      </c>
    </row>
    <row r="116">
      <c r="A116" t="n">
        <v>148</v>
      </c>
      <c r="B116" t="inlineStr">
        <is>
          <t>Bar Brahma - Granja</t>
        </is>
      </c>
      <c r="C116" s="27" t="n">
        <v>46049</v>
      </c>
      <c r="D116" t="n">
        <v>1553.05</v>
      </c>
      <c r="E116" t="inlineStr">
        <is>
          <t>DÉBITO</t>
        </is>
      </c>
    </row>
    <row r="117">
      <c r="A117" t="n">
        <v>148</v>
      </c>
      <c r="B117" t="inlineStr">
        <is>
          <t>Bar Brahma - Granja</t>
        </is>
      </c>
      <c r="C117" s="27" t="n">
        <v>46049</v>
      </c>
      <c r="D117" t="n">
        <v>0</v>
      </c>
      <c r="E117" t="inlineStr">
        <is>
          <t>BÔNUS</t>
        </is>
      </c>
    </row>
    <row r="118">
      <c r="A118" t="n">
        <v>148</v>
      </c>
      <c r="B118" t="inlineStr">
        <is>
          <t>Bar Brahma - Granja</t>
        </is>
      </c>
      <c r="C118" s="27" t="n">
        <v>46049</v>
      </c>
      <c r="D118" t="n">
        <v>0</v>
      </c>
      <c r="E118" t="inlineStr">
        <is>
          <t>ANTECIPADO</t>
        </is>
      </c>
    </row>
    <row r="119">
      <c r="A119" t="n">
        <v>148</v>
      </c>
      <c r="B119" t="inlineStr">
        <is>
          <t>Bar Brahma - Granja</t>
        </is>
      </c>
      <c r="C119" s="27" t="n">
        <v>46049</v>
      </c>
      <c r="D119" t="n">
        <v>0</v>
      </c>
      <c r="E119" t="inlineStr">
        <is>
          <t>OUTROS</t>
        </is>
      </c>
    </row>
    <row r="120">
      <c r="A120" t="n">
        <v>148</v>
      </c>
      <c r="B120" t="inlineStr">
        <is>
          <t>Bar Brahma - Granja</t>
        </is>
      </c>
      <c r="C120" s="27" t="n">
        <v>46049</v>
      </c>
      <c r="D120" t="n">
        <v>0</v>
      </c>
      <c r="E120" t="inlineStr">
        <is>
          <t>AME</t>
        </is>
      </c>
    </row>
    <row r="121">
      <c r="A121" t="n">
        <v>148</v>
      </c>
      <c r="B121" t="inlineStr">
        <is>
          <t>Bar Brahma - Granja</t>
        </is>
      </c>
      <c r="C121" s="27" t="n">
        <v>46049</v>
      </c>
      <c r="D121" t="n">
        <v>0</v>
      </c>
      <c r="E121" t="inlineStr">
        <is>
          <t>NOTAS MANUAIS + SERVIÇO</t>
        </is>
      </c>
    </row>
    <row r="122">
      <c r="A122" t="n">
        <v>148</v>
      </c>
      <c r="B122" t="inlineStr">
        <is>
          <t>Bar Brahma - Granja</t>
        </is>
      </c>
      <c r="C122" s="27" t="n">
        <v>46049</v>
      </c>
      <c r="D122" t="n">
        <v>0</v>
      </c>
      <c r="E122" t="inlineStr">
        <is>
          <t>RECARGAS DEVOLVIDAS</t>
        </is>
      </c>
    </row>
    <row r="123">
      <c r="A123" t="n">
        <v>148</v>
      </c>
      <c r="B123" t="inlineStr">
        <is>
          <t>Bar Brahma - Granja</t>
        </is>
      </c>
      <c r="C123" s="27" t="n">
        <v>46049</v>
      </c>
      <c r="D123" t="n">
        <v>0</v>
      </c>
      <c r="E123" t="inlineStr">
        <is>
          <t>VOUCHER INTEGRADO</t>
        </is>
      </c>
    </row>
    <row r="124">
      <c r="A124" t="n">
        <v>148</v>
      </c>
      <c r="B124" t="inlineStr">
        <is>
          <t>Bar Brahma - Granja</t>
        </is>
      </c>
      <c r="C124" s="27" t="n">
        <v>46049</v>
      </c>
      <c r="D124" t="n">
        <v>0</v>
      </c>
      <c r="E124" t="inlineStr">
        <is>
          <t>MBWAY</t>
        </is>
      </c>
    </row>
    <row r="125">
      <c r="A125" t="n">
        <v>148</v>
      </c>
      <c r="B125" t="inlineStr">
        <is>
          <t>Bar Brahma - Granja</t>
        </is>
      </c>
      <c r="C125" s="27" t="n">
        <v>46049</v>
      </c>
      <c r="D125" t="n">
        <v>248.61</v>
      </c>
      <c r="E125" t="inlineStr">
        <is>
          <t>VOUCHER</t>
        </is>
      </c>
    </row>
    <row r="126">
      <c r="A126" t="n">
        <v>148</v>
      </c>
      <c r="B126" t="inlineStr">
        <is>
          <t>Bar Brahma - Granja</t>
        </is>
      </c>
      <c r="C126" s="27" t="n">
        <v>46049</v>
      </c>
      <c r="D126" t="n">
        <v>0</v>
      </c>
      <c r="E126" t="inlineStr">
        <is>
          <t>ANTECIPADO</t>
        </is>
      </c>
    </row>
    <row r="127">
      <c r="A127" t="n">
        <v>148</v>
      </c>
      <c r="B127" t="inlineStr">
        <is>
          <t>Bar Brahma - Granja</t>
        </is>
      </c>
      <c r="C127" s="27" t="n">
        <v>46049</v>
      </c>
      <c r="D127" t="n">
        <v>3166.84</v>
      </c>
      <c r="E127" t="inlineStr">
        <is>
          <t>CRÉDITO</t>
        </is>
      </c>
    </row>
    <row r="128">
      <c r="A128" t="n">
        <v>148</v>
      </c>
      <c r="B128" t="inlineStr">
        <is>
          <t>Bar Brahma - Granja</t>
        </is>
      </c>
      <c r="C128" s="27" t="n">
        <v>46049</v>
      </c>
      <c r="D128" t="n">
        <v>260.13</v>
      </c>
      <c r="E128" t="inlineStr">
        <is>
          <t>DINHEIRO</t>
        </is>
      </c>
    </row>
    <row r="129">
      <c r="A129" t="n">
        <v>148</v>
      </c>
      <c r="B129" t="inlineStr">
        <is>
          <t>Bar Brahma - Granja</t>
        </is>
      </c>
      <c r="C129" s="27" t="n">
        <v>46049</v>
      </c>
      <c r="D129" t="n">
        <v>0</v>
      </c>
      <c r="E129" t="inlineStr">
        <is>
          <t>APP</t>
        </is>
      </c>
    </row>
    <row r="130">
      <c r="A130" t="n">
        <v>148</v>
      </c>
      <c r="B130" t="inlineStr">
        <is>
          <t>Bar Brahma - Granja</t>
        </is>
      </c>
      <c r="C130" s="27" t="n">
        <v>46049</v>
      </c>
      <c r="D130" t="n">
        <v>0</v>
      </c>
      <c r="E130" t="inlineStr">
        <is>
          <t>DELIVERY ONLINE</t>
        </is>
      </c>
    </row>
    <row r="131">
      <c r="A131" t="n">
        <v>148</v>
      </c>
      <c r="B131" t="inlineStr">
        <is>
          <t>Bar Brahma - Granja</t>
        </is>
      </c>
      <c r="C131" s="27" t="n">
        <v>46049</v>
      </c>
      <c r="D131" t="n">
        <v>0</v>
      </c>
      <c r="E131" t="inlineStr">
        <is>
          <t>IFOOD</t>
        </is>
      </c>
    </row>
    <row r="132">
      <c r="A132" t="n">
        <v>148</v>
      </c>
      <c r="B132" t="inlineStr">
        <is>
          <t>Bar Brahma - Granja</t>
        </is>
      </c>
      <c r="C132" s="27" t="n">
        <v>46049</v>
      </c>
      <c r="D132" t="n">
        <v>699.5</v>
      </c>
      <c r="E132" t="inlineStr">
        <is>
          <t>PIX</t>
        </is>
      </c>
    </row>
    <row r="133">
      <c r="A133" t="n">
        <v>148</v>
      </c>
      <c r="B133" t="inlineStr">
        <is>
          <t>Bar Brahma - Granja</t>
        </is>
      </c>
      <c r="C133" s="27" t="n">
        <v>46049</v>
      </c>
      <c r="D133" t="n">
        <v>0</v>
      </c>
      <c r="E133" t="inlineStr">
        <is>
          <t>RAPPI</t>
        </is>
      </c>
    </row>
    <row r="134">
      <c r="A134" t="n">
        <v>148</v>
      </c>
      <c r="B134" t="inlineStr">
        <is>
          <t>Bar Brahma - Granja</t>
        </is>
      </c>
      <c r="C134" s="27" t="n">
        <v>46049</v>
      </c>
      <c r="D134" t="n">
        <v>0</v>
      </c>
      <c r="E134" t="inlineStr">
        <is>
          <t>UBER</t>
        </is>
      </c>
    </row>
    <row r="135">
      <c r="A135" t="n">
        <v>148</v>
      </c>
      <c r="B135" t="inlineStr">
        <is>
          <t>Bar Brahma - Granja</t>
        </is>
      </c>
      <c r="C135" s="27" t="n">
        <v>46048</v>
      </c>
      <c r="D135" t="n">
        <v>2577.43</v>
      </c>
      <c r="E135" t="inlineStr">
        <is>
          <t>CRÉDITO</t>
        </is>
      </c>
    </row>
    <row r="136">
      <c r="A136" t="n">
        <v>148</v>
      </c>
      <c r="B136" t="inlineStr">
        <is>
          <t>Bar Brahma - Granja</t>
        </is>
      </c>
      <c r="C136" s="27" t="n">
        <v>46048</v>
      </c>
      <c r="D136" t="n">
        <v>0</v>
      </c>
      <c r="E136" t="inlineStr">
        <is>
          <t>UBER</t>
        </is>
      </c>
    </row>
    <row r="137">
      <c r="A137" t="n">
        <v>148</v>
      </c>
      <c r="B137" t="inlineStr">
        <is>
          <t>Bar Brahma - Granja</t>
        </is>
      </c>
      <c r="C137" s="27" t="n">
        <v>46048</v>
      </c>
      <c r="D137" t="n">
        <v>200.66</v>
      </c>
      <c r="E137" t="inlineStr">
        <is>
          <t>DINHEIRO</t>
        </is>
      </c>
    </row>
    <row r="138">
      <c r="A138" t="n">
        <v>148</v>
      </c>
      <c r="B138" t="inlineStr">
        <is>
          <t>Bar Brahma - Granja</t>
        </is>
      </c>
      <c r="C138" s="27" t="n">
        <v>46048</v>
      </c>
      <c r="D138" t="n">
        <v>0</v>
      </c>
      <c r="E138" t="inlineStr">
        <is>
          <t>APP</t>
        </is>
      </c>
    </row>
    <row r="139">
      <c r="A139" t="n">
        <v>148</v>
      </c>
      <c r="B139" t="inlineStr">
        <is>
          <t>Bar Brahma - Granja</t>
        </is>
      </c>
      <c r="C139" s="27" t="n">
        <v>46048</v>
      </c>
      <c r="D139" t="n">
        <v>0</v>
      </c>
      <c r="E139" t="inlineStr">
        <is>
          <t>DELIVERY ONLINE</t>
        </is>
      </c>
    </row>
    <row r="140">
      <c r="A140" t="n">
        <v>148</v>
      </c>
      <c r="B140" t="inlineStr">
        <is>
          <t>Bar Brahma - Granja</t>
        </is>
      </c>
      <c r="C140" s="27" t="n">
        <v>46048</v>
      </c>
      <c r="D140" t="n">
        <v>0</v>
      </c>
      <c r="E140" t="inlineStr">
        <is>
          <t>IFOOD</t>
        </is>
      </c>
    </row>
    <row r="141">
      <c r="A141" t="n">
        <v>148</v>
      </c>
      <c r="B141" t="inlineStr">
        <is>
          <t>Bar Brahma - Granja</t>
        </is>
      </c>
      <c r="C141" s="27" t="n">
        <v>46048</v>
      </c>
      <c r="D141" t="n">
        <v>376.59</v>
      </c>
      <c r="E141" t="inlineStr">
        <is>
          <t>PIX</t>
        </is>
      </c>
    </row>
    <row r="142">
      <c r="A142" t="n">
        <v>148</v>
      </c>
      <c r="B142" t="inlineStr">
        <is>
          <t>Bar Brahma - Granja</t>
        </is>
      </c>
      <c r="C142" s="27" t="n">
        <v>46048</v>
      </c>
      <c r="D142" t="n">
        <v>0</v>
      </c>
      <c r="E142" t="inlineStr">
        <is>
          <t>RAPPI</t>
        </is>
      </c>
    </row>
    <row r="143">
      <c r="A143" t="n">
        <v>148</v>
      </c>
      <c r="B143" t="inlineStr">
        <is>
          <t>Bar Brahma - Granja</t>
        </is>
      </c>
      <c r="C143" s="27" t="n">
        <v>46048</v>
      </c>
      <c r="D143" t="n">
        <v>0</v>
      </c>
      <c r="E143" t="inlineStr">
        <is>
          <t>MBWAY</t>
        </is>
      </c>
    </row>
    <row r="144">
      <c r="A144" t="n">
        <v>148</v>
      </c>
      <c r="B144" t="inlineStr">
        <is>
          <t>Bar Brahma - Granja</t>
        </is>
      </c>
      <c r="C144" s="27" t="n">
        <v>46048</v>
      </c>
      <c r="D144" t="n">
        <v>0</v>
      </c>
      <c r="E144" t="inlineStr">
        <is>
          <t>VOUCHER INTEGRADO</t>
        </is>
      </c>
    </row>
    <row r="145">
      <c r="A145" t="n">
        <v>148</v>
      </c>
      <c r="B145" t="inlineStr">
        <is>
          <t>Bar Brahma - Granja</t>
        </is>
      </c>
      <c r="C145" s="27" t="n">
        <v>46048</v>
      </c>
      <c r="D145" t="n">
        <v>0</v>
      </c>
      <c r="E145" t="inlineStr">
        <is>
          <t>RECARGAS DEVOLVIDAS</t>
        </is>
      </c>
    </row>
    <row r="146">
      <c r="A146" t="n">
        <v>148</v>
      </c>
      <c r="B146" t="inlineStr">
        <is>
          <t>Bar Brahma - Granja</t>
        </is>
      </c>
      <c r="C146" s="27" t="n">
        <v>46048</v>
      </c>
      <c r="D146" t="n">
        <v>0</v>
      </c>
      <c r="E146" t="inlineStr">
        <is>
          <t>NOTAS MANUAIS + SERVIÇO</t>
        </is>
      </c>
    </row>
    <row r="147">
      <c r="A147" t="n">
        <v>148</v>
      </c>
      <c r="B147" t="inlineStr">
        <is>
          <t>Bar Brahma - Granja</t>
        </is>
      </c>
      <c r="C147" s="27" t="n">
        <v>46048</v>
      </c>
      <c r="D147" t="n">
        <v>0</v>
      </c>
      <c r="E147" t="inlineStr">
        <is>
          <t>AME</t>
        </is>
      </c>
    </row>
    <row r="148">
      <c r="A148" t="n">
        <v>148</v>
      </c>
      <c r="B148" t="inlineStr">
        <is>
          <t>Bar Brahma - Granja</t>
        </is>
      </c>
      <c r="C148" s="27" t="n">
        <v>46048</v>
      </c>
      <c r="D148" t="n">
        <v>0</v>
      </c>
      <c r="E148" t="inlineStr">
        <is>
          <t>OUTROS</t>
        </is>
      </c>
    </row>
    <row r="149">
      <c r="A149" t="n">
        <v>148</v>
      </c>
      <c r="B149" t="inlineStr">
        <is>
          <t>Bar Brahma - Granja</t>
        </is>
      </c>
      <c r="C149" s="27" t="n">
        <v>46048</v>
      </c>
      <c r="D149" t="n">
        <v>0</v>
      </c>
      <c r="E149" t="inlineStr">
        <is>
          <t>ANTECIPADO</t>
        </is>
      </c>
    </row>
    <row r="150">
      <c r="A150" t="n">
        <v>148</v>
      </c>
      <c r="B150" t="inlineStr">
        <is>
          <t>Bar Brahma - Granja</t>
        </is>
      </c>
      <c r="C150" s="27" t="n">
        <v>46048</v>
      </c>
      <c r="D150" t="n">
        <v>0</v>
      </c>
      <c r="E150" t="inlineStr">
        <is>
          <t>BÔNUS</t>
        </is>
      </c>
    </row>
    <row r="151">
      <c r="A151" t="n">
        <v>148</v>
      </c>
      <c r="B151" t="inlineStr">
        <is>
          <t>Bar Brahma - Granja</t>
        </is>
      </c>
      <c r="C151" s="27" t="n">
        <v>46048</v>
      </c>
      <c r="D151" t="n">
        <v>1014.33</v>
      </c>
      <c r="E151" t="inlineStr">
        <is>
          <t>DÉBITO</t>
        </is>
      </c>
    </row>
    <row r="152">
      <c r="A152" t="n">
        <v>148</v>
      </c>
      <c r="B152" t="inlineStr">
        <is>
          <t>Bar Brahma - Granja</t>
        </is>
      </c>
      <c r="C152" s="27" t="n">
        <v>46048</v>
      </c>
      <c r="D152" t="n">
        <v>492.6</v>
      </c>
      <c r="E152" t="inlineStr">
        <is>
          <t>VOUCHER</t>
        </is>
      </c>
    </row>
    <row r="153">
      <c r="A153" t="n">
        <v>148</v>
      </c>
      <c r="B153" t="inlineStr">
        <is>
          <t>Bar Brahma - Granja</t>
        </is>
      </c>
      <c r="C153" s="27" t="n">
        <v>46048</v>
      </c>
      <c r="D153" t="n">
        <v>0</v>
      </c>
      <c r="E153" t="inlineStr">
        <is>
          <t>ANTECIPADO</t>
        </is>
      </c>
    </row>
    <row r="154">
      <c r="A154" t="n">
        <v>148</v>
      </c>
      <c r="B154" t="inlineStr">
        <is>
          <t>Bar Brahma - Granja</t>
        </is>
      </c>
      <c r="C154" s="27" t="n">
        <v>46047</v>
      </c>
      <c r="D154" t="n">
        <v>0</v>
      </c>
      <c r="E154" t="inlineStr">
        <is>
          <t>DELIVERY ONLINE</t>
        </is>
      </c>
    </row>
    <row r="155">
      <c r="A155" t="n">
        <v>148</v>
      </c>
      <c r="B155" t="inlineStr">
        <is>
          <t>Bar Brahma - Granja</t>
        </is>
      </c>
      <c r="C155" s="27" t="n">
        <v>46047</v>
      </c>
      <c r="D155" t="n">
        <v>0</v>
      </c>
      <c r="E155" t="inlineStr">
        <is>
          <t>OUTROS</t>
        </is>
      </c>
    </row>
    <row r="156">
      <c r="A156" t="n">
        <v>148</v>
      </c>
      <c r="B156" t="inlineStr">
        <is>
          <t>Bar Brahma - Granja</t>
        </is>
      </c>
      <c r="C156" s="27" t="n">
        <v>46047</v>
      </c>
      <c r="D156" t="n">
        <v>0</v>
      </c>
      <c r="E156" t="inlineStr">
        <is>
          <t>ANTECIPADO</t>
        </is>
      </c>
    </row>
    <row r="157">
      <c r="A157" t="n">
        <v>148</v>
      </c>
      <c r="B157" t="inlineStr">
        <is>
          <t>Bar Brahma - Granja</t>
        </is>
      </c>
      <c r="C157" s="27" t="n">
        <v>46047</v>
      </c>
      <c r="D157" t="n">
        <v>0</v>
      </c>
      <c r="E157" t="inlineStr">
        <is>
          <t>BÔNUS</t>
        </is>
      </c>
    </row>
    <row r="158">
      <c r="A158" t="n">
        <v>148</v>
      </c>
      <c r="B158" t="inlineStr">
        <is>
          <t>Bar Brahma - Granja</t>
        </is>
      </c>
      <c r="C158" s="27" t="n">
        <v>46047</v>
      </c>
      <c r="D158" t="n">
        <v>2705.35</v>
      </c>
      <c r="E158" t="inlineStr">
        <is>
          <t>DÉBITO</t>
        </is>
      </c>
    </row>
    <row r="159">
      <c r="A159" t="n">
        <v>148</v>
      </c>
      <c r="B159" t="inlineStr">
        <is>
          <t>Bar Brahma - Granja</t>
        </is>
      </c>
      <c r="C159" s="27" t="n">
        <v>46047</v>
      </c>
      <c r="D159" t="n">
        <v>652.76</v>
      </c>
      <c r="E159" t="inlineStr">
        <is>
          <t>VOUCHER</t>
        </is>
      </c>
    </row>
    <row r="160">
      <c r="A160" t="n">
        <v>148</v>
      </c>
      <c r="B160" t="inlineStr">
        <is>
          <t>Bar Brahma - Granja</t>
        </is>
      </c>
      <c r="C160" s="27" t="n">
        <v>46047</v>
      </c>
      <c r="D160" t="n">
        <v>0</v>
      </c>
      <c r="E160" t="inlineStr">
        <is>
          <t>ANTECIPADO</t>
        </is>
      </c>
    </row>
    <row r="161">
      <c r="A161" t="n">
        <v>148</v>
      </c>
      <c r="B161" t="inlineStr">
        <is>
          <t>Bar Brahma - Granja</t>
        </is>
      </c>
      <c r="C161" s="27" t="n">
        <v>46047</v>
      </c>
      <c r="D161" t="n">
        <v>0</v>
      </c>
      <c r="E161" t="inlineStr">
        <is>
          <t>UBER</t>
        </is>
      </c>
    </row>
    <row r="162">
      <c r="A162" t="n">
        <v>148</v>
      </c>
      <c r="B162" t="inlineStr">
        <is>
          <t>Bar Brahma - Granja</t>
        </is>
      </c>
      <c r="C162" s="27" t="n">
        <v>46047</v>
      </c>
      <c r="D162" t="n">
        <v>0</v>
      </c>
      <c r="E162" t="inlineStr">
        <is>
          <t>RAPPI</t>
        </is>
      </c>
    </row>
    <row r="163">
      <c r="A163" t="n">
        <v>148</v>
      </c>
      <c r="B163" t="inlineStr">
        <is>
          <t>Bar Brahma - Granja</t>
        </is>
      </c>
      <c r="C163" s="27" t="n">
        <v>46047</v>
      </c>
      <c r="D163" t="n">
        <v>1171.31</v>
      </c>
      <c r="E163" t="inlineStr">
        <is>
          <t>PIX</t>
        </is>
      </c>
    </row>
    <row r="164">
      <c r="A164" t="n">
        <v>148</v>
      </c>
      <c r="B164" t="inlineStr">
        <is>
          <t>Bar Brahma - Granja</t>
        </is>
      </c>
      <c r="C164" s="27" t="n">
        <v>46047</v>
      </c>
      <c r="D164" t="n">
        <v>0</v>
      </c>
      <c r="E164" t="inlineStr">
        <is>
          <t>IFOOD</t>
        </is>
      </c>
    </row>
    <row r="165">
      <c r="A165" t="n">
        <v>148</v>
      </c>
      <c r="B165" t="inlineStr">
        <is>
          <t>Bar Brahma - Granja</t>
        </is>
      </c>
      <c r="C165" s="27" t="n">
        <v>46047</v>
      </c>
      <c r="D165" t="n">
        <v>0</v>
      </c>
      <c r="E165" t="inlineStr">
        <is>
          <t>APP</t>
        </is>
      </c>
    </row>
    <row r="166">
      <c r="A166" t="n">
        <v>148</v>
      </c>
      <c r="B166" t="inlineStr">
        <is>
          <t>Bar Brahma - Granja</t>
        </is>
      </c>
      <c r="C166" s="27" t="n">
        <v>46047</v>
      </c>
      <c r="D166" t="n">
        <v>828.05</v>
      </c>
      <c r="E166" t="inlineStr">
        <is>
          <t>DINHEIRO</t>
        </is>
      </c>
    </row>
    <row r="167">
      <c r="A167" t="n">
        <v>148</v>
      </c>
      <c r="B167" t="inlineStr">
        <is>
          <t>Bar Brahma - Granja</t>
        </is>
      </c>
      <c r="C167" s="27" t="n">
        <v>46047</v>
      </c>
      <c r="D167" t="n">
        <v>6566.7</v>
      </c>
      <c r="E167" t="inlineStr">
        <is>
          <t>CRÉDITO</t>
        </is>
      </c>
    </row>
    <row r="168">
      <c r="A168" t="n">
        <v>148</v>
      </c>
      <c r="B168" t="inlineStr">
        <is>
          <t>Bar Brahma - Granja</t>
        </is>
      </c>
      <c r="C168" s="27" t="n">
        <v>46047</v>
      </c>
      <c r="D168" t="n">
        <v>0</v>
      </c>
      <c r="E168" t="inlineStr">
        <is>
          <t>AME</t>
        </is>
      </c>
    </row>
    <row r="169">
      <c r="A169" t="n">
        <v>148</v>
      </c>
      <c r="B169" t="inlineStr">
        <is>
          <t>Bar Brahma - Granja</t>
        </is>
      </c>
      <c r="C169" s="27" t="n">
        <v>46047</v>
      </c>
      <c r="D169" t="n">
        <v>0</v>
      </c>
      <c r="E169" t="inlineStr">
        <is>
          <t>NOTAS MANUAIS + SERVIÇO</t>
        </is>
      </c>
    </row>
    <row r="170">
      <c r="A170" t="n">
        <v>148</v>
      </c>
      <c r="B170" t="inlineStr">
        <is>
          <t>Bar Brahma - Granja</t>
        </is>
      </c>
      <c r="C170" s="27" t="n">
        <v>46047</v>
      </c>
      <c r="D170" t="n">
        <v>0</v>
      </c>
      <c r="E170" t="inlineStr">
        <is>
          <t>RECARGAS DEVOLVIDAS</t>
        </is>
      </c>
    </row>
    <row r="171">
      <c r="A171" t="n">
        <v>148</v>
      </c>
      <c r="B171" t="inlineStr">
        <is>
          <t>Bar Brahma - Granja</t>
        </is>
      </c>
      <c r="C171" s="27" t="n">
        <v>46047</v>
      </c>
      <c r="D171" t="n">
        <v>0</v>
      </c>
      <c r="E171" t="inlineStr">
        <is>
          <t>VOUCHER INTEGRADO</t>
        </is>
      </c>
    </row>
    <row r="172">
      <c r="A172" t="n">
        <v>148</v>
      </c>
      <c r="B172" t="inlineStr">
        <is>
          <t>Bar Brahma - Granja</t>
        </is>
      </c>
      <c r="C172" s="27" t="n">
        <v>46047</v>
      </c>
      <c r="D172" t="n">
        <v>0</v>
      </c>
      <c r="E172" t="inlineStr">
        <is>
          <t>MBWAY</t>
        </is>
      </c>
    </row>
    <row r="173">
      <c r="A173" t="n">
        <v>148</v>
      </c>
      <c r="B173" t="inlineStr">
        <is>
          <t>Bar Brahma - Granja</t>
        </is>
      </c>
      <c r="C173" s="27" t="n">
        <v>46046</v>
      </c>
      <c r="D173" t="n">
        <v>1015.57</v>
      </c>
      <c r="E173" t="inlineStr">
        <is>
          <t>VOUCHER</t>
        </is>
      </c>
    </row>
    <row r="174">
      <c r="A174" t="n">
        <v>148</v>
      </c>
      <c r="B174" t="inlineStr">
        <is>
          <t>Bar Brahma - Granja</t>
        </is>
      </c>
      <c r="C174" s="27" t="n">
        <v>46046</v>
      </c>
      <c r="D174" t="n">
        <v>21960.18</v>
      </c>
      <c r="E174" t="inlineStr">
        <is>
          <t>DÉBITO</t>
        </is>
      </c>
    </row>
    <row r="175">
      <c r="A175" t="n">
        <v>148</v>
      </c>
      <c r="B175" t="inlineStr">
        <is>
          <t>Bar Brahma - Granja</t>
        </is>
      </c>
      <c r="C175" s="27" t="n">
        <v>46046</v>
      </c>
      <c r="D175" t="n">
        <v>0</v>
      </c>
      <c r="E175" t="inlineStr">
        <is>
          <t>MBWAY</t>
        </is>
      </c>
    </row>
    <row r="176">
      <c r="A176" t="n">
        <v>148</v>
      </c>
      <c r="B176" t="inlineStr">
        <is>
          <t>Bar Brahma - Granja</t>
        </is>
      </c>
      <c r="C176" s="27" t="n">
        <v>46046</v>
      </c>
      <c r="D176" t="n">
        <v>0</v>
      </c>
      <c r="E176" t="inlineStr">
        <is>
          <t>BÔNUS</t>
        </is>
      </c>
    </row>
    <row r="177">
      <c r="A177" t="n">
        <v>148</v>
      </c>
      <c r="B177" t="inlineStr">
        <is>
          <t>Bar Brahma - Granja</t>
        </is>
      </c>
      <c r="C177" s="27" t="n">
        <v>46046</v>
      </c>
      <c r="D177" t="n">
        <v>0</v>
      </c>
      <c r="E177" t="inlineStr">
        <is>
          <t>ANTECIPADO</t>
        </is>
      </c>
    </row>
    <row r="178">
      <c r="A178" t="n">
        <v>148</v>
      </c>
      <c r="B178" t="inlineStr">
        <is>
          <t>Bar Brahma - Granja</t>
        </is>
      </c>
      <c r="C178" s="27" t="n">
        <v>46046</v>
      </c>
      <c r="D178" t="n">
        <v>0</v>
      </c>
      <c r="E178" t="inlineStr">
        <is>
          <t>OUTROS</t>
        </is>
      </c>
    </row>
    <row r="179">
      <c r="A179" t="n">
        <v>148</v>
      </c>
      <c r="B179" t="inlineStr">
        <is>
          <t>Bar Brahma - Granja</t>
        </is>
      </c>
      <c r="C179" s="27" t="n">
        <v>46046</v>
      </c>
      <c r="D179" t="n">
        <v>0</v>
      </c>
      <c r="E179" t="inlineStr">
        <is>
          <t>AME</t>
        </is>
      </c>
    </row>
    <row r="180">
      <c r="A180" t="n">
        <v>148</v>
      </c>
      <c r="B180" t="inlineStr">
        <is>
          <t>Bar Brahma - Granja</t>
        </is>
      </c>
      <c r="C180" s="27" t="n">
        <v>46046</v>
      </c>
      <c r="D180" t="n">
        <v>0</v>
      </c>
      <c r="E180" t="inlineStr">
        <is>
          <t>NOTAS MANUAIS + SERVIÇO</t>
        </is>
      </c>
    </row>
    <row r="181">
      <c r="A181" t="n">
        <v>148</v>
      </c>
      <c r="B181" t="inlineStr">
        <is>
          <t>Bar Brahma - Granja</t>
        </is>
      </c>
      <c r="C181" s="27" t="n">
        <v>46046</v>
      </c>
      <c r="D181" t="n">
        <v>0</v>
      </c>
      <c r="E181" t="inlineStr">
        <is>
          <t>RECARGAS DEVOLVIDAS</t>
        </is>
      </c>
    </row>
    <row r="182">
      <c r="A182" t="n">
        <v>148</v>
      </c>
      <c r="B182" t="inlineStr">
        <is>
          <t>Bar Brahma - Granja</t>
        </is>
      </c>
      <c r="C182" s="27" t="n">
        <v>46046</v>
      </c>
      <c r="D182" t="n">
        <v>0</v>
      </c>
      <c r="E182" t="inlineStr">
        <is>
          <t>VOUCHER INTEGRADO</t>
        </is>
      </c>
    </row>
    <row r="183">
      <c r="A183" t="n">
        <v>148</v>
      </c>
      <c r="B183" t="inlineStr">
        <is>
          <t>Bar Brahma - Granja</t>
        </is>
      </c>
      <c r="C183" s="27" t="n">
        <v>46046</v>
      </c>
      <c r="D183" t="n">
        <v>0</v>
      </c>
      <c r="E183" t="inlineStr">
        <is>
          <t>ANTECIPADO</t>
        </is>
      </c>
    </row>
    <row r="184">
      <c r="A184" t="n">
        <v>148</v>
      </c>
      <c r="B184" t="inlineStr">
        <is>
          <t>Bar Brahma - Granja</t>
        </is>
      </c>
      <c r="C184" s="27" t="n">
        <v>46046</v>
      </c>
      <c r="D184" t="n">
        <v>0</v>
      </c>
      <c r="E184" t="inlineStr">
        <is>
          <t>UBER</t>
        </is>
      </c>
    </row>
    <row r="185">
      <c r="A185" t="n">
        <v>148</v>
      </c>
      <c r="B185" t="inlineStr">
        <is>
          <t>Bar Brahma - Granja</t>
        </is>
      </c>
      <c r="C185" s="27" t="n">
        <v>46046</v>
      </c>
      <c r="D185" t="n">
        <v>0</v>
      </c>
      <c r="E185" t="inlineStr">
        <is>
          <t>RAPPI</t>
        </is>
      </c>
    </row>
    <row r="186">
      <c r="A186" t="n">
        <v>148</v>
      </c>
      <c r="B186" t="inlineStr">
        <is>
          <t>Bar Brahma - Granja</t>
        </is>
      </c>
      <c r="C186" s="27" t="n">
        <v>46046</v>
      </c>
      <c r="D186" t="n">
        <v>9595.379999999999</v>
      </c>
      <c r="E186" t="inlineStr">
        <is>
          <t>PIX</t>
        </is>
      </c>
    </row>
    <row r="187">
      <c r="A187" t="n">
        <v>148</v>
      </c>
      <c r="B187" t="inlineStr">
        <is>
          <t>Bar Brahma - Granja</t>
        </is>
      </c>
      <c r="C187" s="27" t="n">
        <v>46046</v>
      </c>
      <c r="D187" t="n">
        <v>0</v>
      </c>
      <c r="E187" t="inlineStr">
        <is>
          <t>IFOOD</t>
        </is>
      </c>
    </row>
    <row r="188">
      <c r="A188" t="n">
        <v>148</v>
      </c>
      <c r="B188" t="inlineStr">
        <is>
          <t>Bar Brahma - Granja</t>
        </is>
      </c>
      <c r="C188" s="27" t="n">
        <v>46046</v>
      </c>
      <c r="D188" t="n">
        <v>0</v>
      </c>
      <c r="E188" t="inlineStr">
        <is>
          <t>DELIVERY ONLINE</t>
        </is>
      </c>
    </row>
    <row r="189">
      <c r="A189" t="n">
        <v>148</v>
      </c>
      <c r="B189" t="inlineStr">
        <is>
          <t>Bar Brahma - Granja</t>
        </is>
      </c>
      <c r="C189" s="27" t="n">
        <v>46046</v>
      </c>
      <c r="D189" t="n">
        <v>58</v>
      </c>
      <c r="E189" t="inlineStr">
        <is>
          <t>APP</t>
        </is>
      </c>
    </row>
    <row r="190">
      <c r="A190" t="n">
        <v>148</v>
      </c>
      <c r="B190" t="inlineStr">
        <is>
          <t>Bar Brahma - Granja</t>
        </is>
      </c>
      <c r="C190" s="27" t="n">
        <v>46046</v>
      </c>
      <c r="D190" t="n">
        <v>3191.06</v>
      </c>
      <c r="E190" t="inlineStr">
        <is>
          <t>DINHEIRO</t>
        </is>
      </c>
    </row>
    <row r="191">
      <c r="A191" t="n">
        <v>148</v>
      </c>
      <c r="B191" t="inlineStr">
        <is>
          <t>Bar Brahma - Granja</t>
        </is>
      </c>
      <c r="C191" s="27" t="n">
        <v>46046</v>
      </c>
      <c r="D191" t="n">
        <v>47067.92</v>
      </c>
      <c r="E191" t="inlineStr">
        <is>
          <t>CRÉDITO</t>
        </is>
      </c>
    </row>
    <row r="192">
      <c r="A192" t="n">
        <v>148</v>
      </c>
      <c r="B192" t="inlineStr">
        <is>
          <t>Bar Brahma - Granja</t>
        </is>
      </c>
      <c r="C192" s="27" t="n">
        <v>46045</v>
      </c>
      <c r="D192" t="n">
        <v>0</v>
      </c>
      <c r="E192" t="inlineStr">
        <is>
          <t>MBWAY</t>
        </is>
      </c>
    </row>
    <row r="193">
      <c r="A193" t="n">
        <v>148</v>
      </c>
      <c r="B193" t="inlineStr">
        <is>
          <t>Bar Brahma - Granja</t>
        </is>
      </c>
      <c r="C193" s="27" t="n">
        <v>46045</v>
      </c>
      <c r="D193" t="n">
        <v>0</v>
      </c>
      <c r="E193" t="inlineStr">
        <is>
          <t>VOUCHER INTEGRADO</t>
        </is>
      </c>
    </row>
    <row r="194">
      <c r="A194" t="n">
        <v>148</v>
      </c>
      <c r="B194" t="inlineStr">
        <is>
          <t>Bar Brahma - Granja</t>
        </is>
      </c>
      <c r="C194" s="27" t="n">
        <v>46045</v>
      </c>
      <c r="D194" t="n">
        <v>12329.13</v>
      </c>
      <c r="E194" t="inlineStr">
        <is>
          <t>CRÉDITO</t>
        </is>
      </c>
    </row>
    <row r="195">
      <c r="A195" t="n">
        <v>148</v>
      </c>
      <c r="B195" t="inlineStr">
        <is>
          <t>Bar Brahma - Granja</t>
        </is>
      </c>
      <c r="C195" s="27" t="n">
        <v>46045</v>
      </c>
      <c r="D195" t="n">
        <v>724.54</v>
      </c>
      <c r="E195" t="inlineStr">
        <is>
          <t>DINHEIRO</t>
        </is>
      </c>
    </row>
    <row r="196">
      <c r="A196" t="n">
        <v>148</v>
      </c>
      <c r="B196" t="inlineStr">
        <is>
          <t>Bar Brahma - Granja</t>
        </is>
      </c>
      <c r="C196" s="27" t="n">
        <v>46045</v>
      </c>
      <c r="D196" t="n">
        <v>0</v>
      </c>
      <c r="E196" t="inlineStr">
        <is>
          <t>APP</t>
        </is>
      </c>
    </row>
    <row r="197">
      <c r="A197" t="n">
        <v>148</v>
      </c>
      <c r="B197" t="inlineStr">
        <is>
          <t>Bar Brahma - Granja</t>
        </is>
      </c>
      <c r="C197" s="27" t="n">
        <v>46045</v>
      </c>
      <c r="D197" t="n">
        <v>0</v>
      </c>
      <c r="E197" t="inlineStr">
        <is>
          <t>DELIVERY ONLINE</t>
        </is>
      </c>
    </row>
    <row r="198">
      <c r="A198" t="n">
        <v>148</v>
      </c>
      <c r="B198" t="inlineStr">
        <is>
          <t>Bar Brahma - Granja</t>
        </is>
      </c>
      <c r="C198" s="27" t="n">
        <v>46045</v>
      </c>
      <c r="D198" t="n">
        <v>0</v>
      </c>
      <c r="E198" t="inlineStr">
        <is>
          <t>IFOOD</t>
        </is>
      </c>
    </row>
    <row r="199">
      <c r="A199" t="n">
        <v>148</v>
      </c>
      <c r="B199" t="inlineStr">
        <is>
          <t>Bar Brahma - Granja</t>
        </is>
      </c>
      <c r="C199" s="27" t="n">
        <v>46045</v>
      </c>
      <c r="D199" t="n">
        <v>2402.23</v>
      </c>
      <c r="E199" t="inlineStr">
        <is>
          <t>PIX</t>
        </is>
      </c>
    </row>
    <row r="200">
      <c r="A200" t="n">
        <v>148</v>
      </c>
      <c r="B200" t="inlineStr">
        <is>
          <t>Bar Brahma - Granja</t>
        </is>
      </c>
      <c r="C200" s="27" t="n">
        <v>46045</v>
      </c>
      <c r="D200" t="n">
        <v>0</v>
      </c>
      <c r="E200" t="inlineStr">
        <is>
          <t>RAPPI</t>
        </is>
      </c>
    </row>
    <row r="201">
      <c r="A201" t="n">
        <v>148</v>
      </c>
      <c r="B201" t="inlineStr">
        <is>
          <t>Bar Brahma - Granja</t>
        </is>
      </c>
      <c r="C201" s="27" t="n">
        <v>46045</v>
      </c>
      <c r="D201" t="n">
        <v>0</v>
      </c>
      <c r="E201" t="inlineStr">
        <is>
          <t>UBER</t>
        </is>
      </c>
    </row>
    <row r="202">
      <c r="A202" t="n">
        <v>148</v>
      </c>
      <c r="B202" t="inlineStr">
        <is>
          <t>Bar Brahma - Granja</t>
        </is>
      </c>
      <c r="C202" s="27" t="n">
        <v>46045</v>
      </c>
      <c r="D202" t="n">
        <v>0</v>
      </c>
      <c r="E202" t="inlineStr">
        <is>
          <t>ANTECIPADO</t>
        </is>
      </c>
    </row>
    <row r="203">
      <c r="A203" t="n">
        <v>148</v>
      </c>
      <c r="B203" t="inlineStr">
        <is>
          <t>Bar Brahma - Granja</t>
        </is>
      </c>
      <c r="C203" s="27" t="n">
        <v>46045</v>
      </c>
      <c r="D203" t="n">
        <v>11523.6</v>
      </c>
      <c r="E203" t="inlineStr">
        <is>
          <t>DÉBITO</t>
        </is>
      </c>
    </row>
    <row r="204">
      <c r="A204" t="n">
        <v>148</v>
      </c>
      <c r="B204" t="inlineStr">
        <is>
          <t>Bar Brahma - Granja</t>
        </is>
      </c>
      <c r="C204" s="27" t="n">
        <v>46045</v>
      </c>
      <c r="D204" t="n">
        <v>0</v>
      </c>
      <c r="E204" t="inlineStr">
        <is>
          <t>RECARGAS DEVOLVIDAS</t>
        </is>
      </c>
    </row>
    <row r="205">
      <c r="A205" t="n">
        <v>148</v>
      </c>
      <c r="B205" t="inlineStr">
        <is>
          <t>Bar Brahma - Granja</t>
        </is>
      </c>
      <c r="C205" s="27" t="n">
        <v>46045</v>
      </c>
      <c r="D205" t="n">
        <v>0</v>
      </c>
      <c r="E205" t="inlineStr">
        <is>
          <t>NOTAS MANUAIS + SERVIÇO</t>
        </is>
      </c>
    </row>
    <row r="206">
      <c r="A206" t="n">
        <v>148</v>
      </c>
      <c r="B206" t="inlineStr">
        <is>
          <t>Bar Brahma - Granja</t>
        </is>
      </c>
      <c r="C206" s="27" t="n">
        <v>46045</v>
      </c>
      <c r="D206" t="n">
        <v>0</v>
      </c>
      <c r="E206" t="inlineStr">
        <is>
          <t>AME</t>
        </is>
      </c>
    </row>
    <row r="207">
      <c r="A207" t="n">
        <v>148</v>
      </c>
      <c r="B207" t="inlineStr">
        <is>
          <t>Bar Brahma - Granja</t>
        </is>
      </c>
      <c r="C207" s="27" t="n">
        <v>46045</v>
      </c>
      <c r="D207" t="n">
        <v>0</v>
      </c>
      <c r="E207" t="inlineStr">
        <is>
          <t>OUTROS</t>
        </is>
      </c>
    </row>
    <row r="208">
      <c r="A208" t="n">
        <v>148</v>
      </c>
      <c r="B208" t="inlineStr">
        <is>
          <t>Bar Brahma - Granja</t>
        </is>
      </c>
      <c r="C208" s="27" t="n">
        <v>46045</v>
      </c>
      <c r="D208" t="n">
        <v>0</v>
      </c>
      <c r="E208" t="inlineStr">
        <is>
          <t>ANTECIPADO</t>
        </is>
      </c>
    </row>
    <row r="209">
      <c r="A209" t="n">
        <v>148</v>
      </c>
      <c r="B209" t="inlineStr">
        <is>
          <t>Bar Brahma - Granja</t>
        </is>
      </c>
      <c r="C209" s="27" t="n">
        <v>46045</v>
      </c>
      <c r="D209" t="n">
        <v>449.86</v>
      </c>
      <c r="E209" t="inlineStr">
        <is>
          <t>VOUCHER</t>
        </is>
      </c>
    </row>
    <row r="210">
      <c r="A210" t="n">
        <v>148</v>
      </c>
      <c r="B210" t="inlineStr">
        <is>
          <t>Bar Brahma - Granja</t>
        </is>
      </c>
      <c r="C210" s="27" t="n">
        <v>46045</v>
      </c>
      <c r="D210" t="n">
        <v>0</v>
      </c>
      <c r="E210" t="inlineStr">
        <is>
          <t>BÔNUS</t>
        </is>
      </c>
    </row>
    <row r="211">
      <c r="A211" t="n">
        <v>148</v>
      </c>
      <c r="B211" t="inlineStr">
        <is>
          <t>Bar Brahma - Granja</t>
        </is>
      </c>
      <c r="C211" s="27" t="n">
        <v>46044</v>
      </c>
      <c r="D211" t="n">
        <v>0</v>
      </c>
      <c r="E211" t="inlineStr">
        <is>
          <t>MBWAY</t>
        </is>
      </c>
    </row>
    <row r="212">
      <c r="A212" t="n">
        <v>148</v>
      </c>
      <c r="B212" t="inlineStr">
        <is>
          <t>Bar Brahma - Granja</t>
        </is>
      </c>
      <c r="C212" s="27" t="n">
        <v>46044</v>
      </c>
      <c r="D212" t="n">
        <v>0</v>
      </c>
      <c r="E212" t="inlineStr">
        <is>
          <t>RAPPI</t>
        </is>
      </c>
    </row>
    <row r="213">
      <c r="A213" t="n">
        <v>148</v>
      </c>
      <c r="B213" t="inlineStr">
        <is>
          <t>Bar Brahma - Granja</t>
        </is>
      </c>
      <c r="C213" s="27" t="n">
        <v>46044</v>
      </c>
      <c r="D213" t="n">
        <v>9690.780000000001</v>
      </c>
      <c r="E213" t="inlineStr">
        <is>
          <t>CRÉDITO</t>
        </is>
      </c>
    </row>
    <row r="214">
      <c r="A214" t="n">
        <v>148</v>
      </c>
      <c r="B214" t="inlineStr">
        <is>
          <t>Bar Brahma - Granja</t>
        </is>
      </c>
      <c r="C214" s="27" t="n">
        <v>46044</v>
      </c>
      <c r="D214" t="n">
        <v>363.48</v>
      </c>
      <c r="E214" t="inlineStr">
        <is>
          <t>DINHEIRO</t>
        </is>
      </c>
    </row>
    <row r="215">
      <c r="A215" t="n">
        <v>148</v>
      </c>
      <c r="B215" t="inlineStr">
        <is>
          <t>Bar Brahma - Granja</t>
        </is>
      </c>
      <c r="C215" s="27" t="n">
        <v>46044</v>
      </c>
      <c r="D215" t="n">
        <v>0</v>
      </c>
      <c r="E215" t="inlineStr">
        <is>
          <t>APP</t>
        </is>
      </c>
    </row>
    <row r="216">
      <c r="A216" t="n">
        <v>148</v>
      </c>
      <c r="B216" t="inlineStr">
        <is>
          <t>Bar Brahma - Granja</t>
        </is>
      </c>
      <c r="C216" s="27" t="n">
        <v>46044</v>
      </c>
      <c r="D216" t="n">
        <v>0</v>
      </c>
      <c r="E216" t="inlineStr">
        <is>
          <t>DELIVERY ONLINE</t>
        </is>
      </c>
    </row>
    <row r="217">
      <c r="A217" t="n">
        <v>148</v>
      </c>
      <c r="B217" t="inlineStr">
        <is>
          <t>Bar Brahma - Granja</t>
        </is>
      </c>
      <c r="C217" s="27" t="n">
        <v>46044</v>
      </c>
      <c r="D217" t="n">
        <v>0</v>
      </c>
      <c r="E217" t="inlineStr">
        <is>
          <t>IFOOD</t>
        </is>
      </c>
    </row>
    <row r="218">
      <c r="A218" t="n">
        <v>148</v>
      </c>
      <c r="B218" t="inlineStr">
        <is>
          <t>Bar Brahma - Granja</t>
        </is>
      </c>
      <c r="C218" s="27" t="n">
        <v>46044</v>
      </c>
      <c r="D218" t="n">
        <v>0</v>
      </c>
      <c r="E218" t="inlineStr">
        <is>
          <t>VOUCHER INTEGRADO</t>
        </is>
      </c>
    </row>
    <row r="219">
      <c r="A219" t="n">
        <v>148</v>
      </c>
      <c r="B219" t="inlineStr">
        <is>
          <t>Bar Brahma - Granja</t>
        </is>
      </c>
      <c r="C219" s="27" t="n">
        <v>46044</v>
      </c>
      <c r="D219" t="n">
        <v>0</v>
      </c>
      <c r="E219" t="inlineStr">
        <is>
          <t>RECARGAS DEVOLVIDAS</t>
        </is>
      </c>
    </row>
    <row r="220">
      <c r="A220" t="n">
        <v>148</v>
      </c>
      <c r="B220" t="inlineStr">
        <is>
          <t>Bar Brahma - Granja</t>
        </is>
      </c>
      <c r="C220" s="27" t="n">
        <v>46044</v>
      </c>
      <c r="D220" t="n">
        <v>0</v>
      </c>
      <c r="E220" t="inlineStr">
        <is>
          <t>NOTAS MANUAIS + SERVIÇO</t>
        </is>
      </c>
    </row>
    <row r="221">
      <c r="A221" t="n">
        <v>148</v>
      </c>
      <c r="B221" t="inlineStr">
        <is>
          <t>Bar Brahma - Granja</t>
        </is>
      </c>
      <c r="C221" s="27" t="n">
        <v>46044</v>
      </c>
      <c r="D221" t="n">
        <v>0</v>
      </c>
      <c r="E221" t="inlineStr">
        <is>
          <t>AME</t>
        </is>
      </c>
    </row>
    <row r="222">
      <c r="A222" t="n">
        <v>148</v>
      </c>
      <c r="B222" t="inlineStr">
        <is>
          <t>Bar Brahma - Granja</t>
        </is>
      </c>
      <c r="C222" s="27" t="n">
        <v>46044</v>
      </c>
      <c r="D222" t="n">
        <v>0</v>
      </c>
      <c r="E222" t="inlineStr">
        <is>
          <t>BÔNUS</t>
        </is>
      </c>
    </row>
    <row r="223">
      <c r="A223" t="n">
        <v>148</v>
      </c>
      <c r="B223" t="inlineStr">
        <is>
          <t>Bar Brahma - Granja</t>
        </is>
      </c>
      <c r="C223" s="27" t="n">
        <v>46044</v>
      </c>
      <c r="D223" t="n">
        <v>0</v>
      </c>
      <c r="E223" t="inlineStr">
        <is>
          <t>OUTROS</t>
        </is>
      </c>
    </row>
    <row r="224">
      <c r="A224" t="n">
        <v>148</v>
      </c>
      <c r="B224" t="inlineStr">
        <is>
          <t>Bar Brahma - Granja</t>
        </is>
      </c>
      <c r="C224" s="27" t="n">
        <v>46044</v>
      </c>
      <c r="D224" t="n">
        <v>1268.67</v>
      </c>
      <c r="E224" t="inlineStr">
        <is>
          <t>PIX</t>
        </is>
      </c>
    </row>
    <row r="225">
      <c r="A225" t="n">
        <v>148</v>
      </c>
      <c r="B225" t="inlineStr">
        <is>
          <t>Bar Brahma - Granja</t>
        </is>
      </c>
      <c r="C225" s="27" t="n">
        <v>46044</v>
      </c>
      <c r="D225" t="n">
        <v>0</v>
      </c>
      <c r="E225" t="inlineStr">
        <is>
          <t>ANTECIPADO</t>
        </is>
      </c>
    </row>
    <row r="226">
      <c r="A226" t="n">
        <v>148</v>
      </c>
      <c r="B226" t="inlineStr">
        <is>
          <t>Bar Brahma - Granja</t>
        </is>
      </c>
      <c r="C226" s="27" t="n">
        <v>46044</v>
      </c>
      <c r="D226" t="n">
        <v>0</v>
      </c>
      <c r="E226" t="inlineStr">
        <is>
          <t>UBER</t>
        </is>
      </c>
    </row>
    <row r="227">
      <c r="A227" t="n">
        <v>148</v>
      </c>
      <c r="B227" t="inlineStr">
        <is>
          <t>Bar Brahma - Granja</t>
        </is>
      </c>
      <c r="C227" s="27" t="n">
        <v>46044</v>
      </c>
      <c r="D227" t="n">
        <v>0</v>
      </c>
      <c r="E227" t="inlineStr">
        <is>
          <t>ANTECIPADO</t>
        </is>
      </c>
    </row>
    <row r="228">
      <c r="A228" t="n">
        <v>148</v>
      </c>
      <c r="B228" t="inlineStr">
        <is>
          <t>Bar Brahma - Granja</t>
        </is>
      </c>
      <c r="C228" s="27" t="n">
        <v>46044</v>
      </c>
      <c r="D228" t="n">
        <v>1081.97</v>
      </c>
      <c r="E228" t="inlineStr">
        <is>
          <t>VOUCHER</t>
        </is>
      </c>
    </row>
    <row r="229">
      <c r="A229" t="n">
        <v>148</v>
      </c>
      <c r="B229" t="inlineStr">
        <is>
          <t>Bar Brahma - Granja</t>
        </is>
      </c>
      <c r="C229" s="27" t="n">
        <v>46044</v>
      </c>
      <c r="D229" t="n">
        <v>4162.09</v>
      </c>
      <c r="E229" t="inlineStr">
        <is>
          <t>DÉBITO</t>
        </is>
      </c>
    </row>
    <row r="230">
      <c r="A230" t="n">
        <v>148</v>
      </c>
      <c r="B230" t="inlineStr">
        <is>
          <t>Bar Brahma - Granja</t>
        </is>
      </c>
      <c r="C230" s="27" t="n">
        <v>46043</v>
      </c>
      <c r="D230" t="n">
        <v>1417.65</v>
      </c>
      <c r="E230" t="inlineStr">
        <is>
          <t>PIX</t>
        </is>
      </c>
    </row>
    <row r="231">
      <c r="A231" t="n">
        <v>148</v>
      </c>
      <c r="B231" t="inlineStr">
        <is>
          <t>Bar Brahma - Granja</t>
        </is>
      </c>
      <c r="C231" s="27" t="n">
        <v>46043</v>
      </c>
      <c r="D231" t="n">
        <v>0</v>
      </c>
      <c r="E231" t="inlineStr">
        <is>
          <t>BÔNUS</t>
        </is>
      </c>
    </row>
    <row r="232">
      <c r="A232" t="n">
        <v>148</v>
      </c>
      <c r="B232" t="inlineStr">
        <is>
          <t>Bar Brahma - Granja</t>
        </is>
      </c>
      <c r="C232" s="27" t="n">
        <v>46043</v>
      </c>
      <c r="D232" t="n">
        <v>0</v>
      </c>
      <c r="E232" t="inlineStr">
        <is>
          <t>ANTECIPADO</t>
        </is>
      </c>
    </row>
    <row r="233">
      <c r="A233" t="n">
        <v>148</v>
      </c>
      <c r="B233" t="inlineStr">
        <is>
          <t>Bar Brahma - Granja</t>
        </is>
      </c>
      <c r="C233" s="27" t="n">
        <v>46043</v>
      </c>
      <c r="D233" t="n">
        <v>0</v>
      </c>
      <c r="E233" t="inlineStr">
        <is>
          <t>OUTROS</t>
        </is>
      </c>
    </row>
    <row r="234">
      <c r="A234" t="n">
        <v>148</v>
      </c>
      <c r="B234" t="inlineStr">
        <is>
          <t>Bar Brahma - Granja</t>
        </is>
      </c>
      <c r="C234" s="27" t="n">
        <v>46043</v>
      </c>
      <c r="D234" t="n">
        <v>0</v>
      </c>
      <c r="E234" t="inlineStr">
        <is>
          <t>AME</t>
        </is>
      </c>
    </row>
    <row r="235">
      <c r="A235" t="n">
        <v>148</v>
      </c>
      <c r="B235" t="inlineStr">
        <is>
          <t>Bar Brahma - Granja</t>
        </is>
      </c>
      <c r="C235" s="27" t="n">
        <v>46043</v>
      </c>
      <c r="D235" t="n">
        <v>0</v>
      </c>
      <c r="E235" t="inlineStr">
        <is>
          <t>NOTAS MANUAIS + SERVIÇO</t>
        </is>
      </c>
    </row>
    <row r="236">
      <c r="A236" t="n">
        <v>148</v>
      </c>
      <c r="B236" t="inlineStr">
        <is>
          <t>Bar Brahma - Granja</t>
        </is>
      </c>
      <c r="C236" s="27" t="n">
        <v>46043</v>
      </c>
      <c r="D236" t="n">
        <v>0</v>
      </c>
      <c r="E236" t="inlineStr">
        <is>
          <t>RECARGAS DEVOLVIDAS</t>
        </is>
      </c>
    </row>
    <row r="237">
      <c r="A237" t="n">
        <v>148</v>
      </c>
      <c r="B237" t="inlineStr">
        <is>
          <t>Bar Brahma - Granja</t>
        </is>
      </c>
      <c r="C237" s="27" t="n">
        <v>46043</v>
      </c>
      <c r="D237" t="n">
        <v>0</v>
      </c>
      <c r="E237" t="inlineStr">
        <is>
          <t>VOUCHER INTEGRADO</t>
        </is>
      </c>
    </row>
    <row r="238">
      <c r="A238" t="n">
        <v>148</v>
      </c>
      <c r="B238" t="inlineStr">
        <is>
          <t>Bar Brahma - Granja</t>
        </is>
      </c>
      <c r="C238" s="27" t="n">
        <v>46043</v>
      </c>
      <c r="D238" t="n">
        <v>2243.94</v>
      </c>
      <c r="E238" t="inlineStr">
        <is>
          <t>DÉBITO</t>
        </is>
      </c>
    </row>
    <row r="239">
      <c r="A239" t="n">
        <v>148</v>
      </c>
      <c r="B239" t="inlineStr">
        <is>
          <t>Bar Brahma - Granja</t>
        </is>
      </c>
      <c r="C239" s="27" t="n">
        <v>46043</v>
      </c>
      <c r="D239" t="n">
        <v>392.34</v>
      </c>
      <c r="E239" t="inlineStr">
        <is>
          <t>VOUCHER</t>
        </is>
      </c>
    </row>
    <row r="240">
      <c r="A240" t="n">
        <v>148</v>
      </c>
      <c r="B240" t="inlineStr">
        <is>
          <t>Bar Brahma - Granja</t>
        </is>
      </c>
      <c r="C240" s="27" t="n">
        <v>46043</v>
      </c>
      <c r="D240" t="n">
        <v>0</v>
      </c>
      <c r="E240" t="inlineStr">
        <is>
          <t>ANTECIPADO</t>
        </is>
      </c>
    </row>
    <row r="241">
      <c r="A241" t="n">
        <v>148</v>
      </c>
      <c r="B241" t="inlineStr">
        <is>
          <t>Bar Brahma - Granja</t>
        </is>
      </c>
      <c r="C241" s="27" t="n">
        <v>46043</v>
      </c>
      <c r="D241" t="n">
        <v>0</v>
      </c>
      <c r="E241" t="inlineStr">
        <is>
          <t>UBER</t>
        </is>
      </c>
    </row>
    <row r="242">
      <c r="A242" t="n">
        <v>148</v>
      </c>
      <c r="B242" t="inlineStr">
        <is>
          <t>Bar Brahma - Granja</t>
        </is>
      </c>
      <c r="C242" s="27" t="n">
        <v>46043</v>
      </c>
      <c r="D242" t="n">
        <v>0</v>
      </c>
      <c r="E242" t="inlineStr">
        <is>
          <t>RAPPI</t>
        </is>
      </c>
    </row>
    <row r="243">
      <c r="A243" t="n">
        <v>148</v>
      </c>
      <c r="B243" t="inlineStr">
        <is>
          <t>Bar Brahma - Granja</t>
        </is>
      </c>
      <c r="C243" s="27" t="n">
        <v>46043</v>
      </c>
      <c r="D243" t="n">
        <v>0</v>
      </c>
      <c r="E243" t="inlineStr">
        <is>
          <t>MBWAY</t>
        </is>
      </c>
    </row>
    <row r="244">
      <c r="A244" t="n">
        <v>148</v>
      </c>
      <c r="B244" t="inlineStr">
        <is>
          <t>Bar Brahma - Granja</t>
        </is>
      </c>
      <c r="C244" s="27" t="n">
        <v>46043</v>
      </c>
      <c r="D244" t="n">
        <v>0</v>
      </c>
      <c r="E244" t="inlineStr">
        <is>
          <t>IFOOD</t>
        </is>
      </c>
    </row>
    <row r="245">
      <c r="A245" t="n">
        <v>148</v>
      </c>
      <c r="B245" t="inlineStr">
        <is>
          <t>Bar Brahma - Granja</t>
        </is>
      </c>
      <c r="C245" s="27" t="n">
        <v>46043</v>
      </c>
      <c r="D245" t="n">
        <v>0</v>
      </c>
      <c r="E245" t="inlineStr">
        <is>
          <t>DELIVERY ONLINE</t>
        </is>
      </c>
    </row>
    <row r="246">
      <c r="A246" t="n">
        <v>148</v>
      </c>
      <c r="B246" t="inlineStr">
        <is>
          <t>Bar Brahma - Granja</t>
        </is>
      </c>
      <c r="C246" s="27" t="n">
        <v>46043</v>
      </c>
      <c r="D246" t="n">
        <v>0</v>
      </c>
      <c r="E246" t="inlineStr">
        <is>
          <t>APP</t>
        </is>
      </c>
    </row>
    <row r="247">
      <c r="A247" t="n">
        <v>148</v>
      </c>
      <c r="B247" t="inlineStr">
        <is>
          <t>Bar Brahma - Granja</t>
        </is>
      </c>
      <c r="C247" s="27" t="n">
        <v>46043</v>
      </c>
      <c r="D247" t="n">
        <v>699.0700000000001</v>
      </c>
      <c r="E247" t="inlineStr">
        <is>
          <t>DINHEIRO</t>
        </is>
      </c>
    </row>
    <row r="248">
      <c r="A248" t="n">
        <v>148</v>
      </c>
      <c r="B248" t="inlineStr">
        <is>
          <t>Bar Brahma - Granja</t>
        </is>
      </c>
      <c r="C248" s="27" t="n">
        <v>46043</v>
      </c>
      <c r="D248" t="n">
        <v>4683.07</v>
      </c>
      <c r="E248" t="inlineStr">
        <is>
          <t>CRÉDITO</t>
        </is>
      </c>
    </row>
    <row r="249">
      <c r="A249" t="n">
        <v>148</v>
      </c>
      <c r="B249" t="inlineStr">
        <is>
          <t>Bar Brahma - Granja</t>
        </is>
      </c>
      <c r="C249" s="27" t="n">
        <v>46042</v>
      </c>
      <c r="D249" t="n">
        <v>2331.63</v>
      </c>
      <c r="E249" t="inlineStr">
        <is>
          <t>DÉBITO</t>
        </is>
      </c>
    </row>
    <row r="250">
      <c r="A250" t="n">
        <v>148</v>
      </c>
      <c r="B250" t="inlineStr">
        <is>
          <t>Bar Brahma - Granja</t>
        </is>
      </c>
      <c r="C250" s="27" t="n">
        <v>46042</v>
      </c>
      <c r="D250" t="n">
        <v>0</v>
      </c>
      <c r="E250" t="inlineStr">
        <is>
          <t>NOTAS MANUAIS + SERVIÇO</t>
        </is>
      </c>
    </row>
    <row r="251">
      <c r="A251" t="n">
        <v>148</v>
      </c>
      <c r="B251" t="inlineStr">
        <is>
          <t>Bar Brahma - Granja</t>
        </is>
      </c>
      <c r="C251" s="27" t="n">
        <v>46042</v>
      </c>
      <c r="D251" t="n">
        <v>0</v>
      </c>
      <c r="E251" t="inlineStr">
        <is>
          <t>AME</t>
        </is>
      </c>
    </row>
    <row r="252">
      <c r="A252" t="n">
        <v>148</v>
      </c>
      <c r="B252" t="inlineStr">
        <is>
          <t>Bar Brahma - Granja</t>
        </is>
      </c>
      <c r="C252" s="27" t="n">
        <v>46042</v>
      </c>
      <c r="D252" t="n">
        <v>0</v>
      </c>
      <c r="E252" t="inlineStr">
        <is>
          <t>RECARGAS DEVOLVIDAS</t>
        </is>
      </c>
    </row>
    <row r="253">
      <c r="A253" t="n">
        <v>148</v>
      </c>
      <c r="B253" t="inlineStr">
        <is>
          <t>Bar Brahma - Granja</t>
        </is>
      </c>
      <c r="C253" s="27" t="n">
        <v>46042</v>
      </c>
      <c r="D253" t="n">
        <v>0</v>
      </c>
      <c r="E253" t="inlineStr">
        <is>
          <t>VOUCHER INTEGRADO</t>
        </is>
      </c>
    </row>
    <row r="254">
      <c r="A254" t="n">
        <v>148</v>
      </c>
      <c r="B254" t="inlineStr">
        <is>
          <t>Bar Brahma - Granja</t>
        </is>
      </c>
      <c r="C254" s="27" t="n">
        <v>46042</v>
      </c>
      <c r="D254" t="n">
        <v>0</v>
      </c>
      <c r="E254" t="inlineStr">
        <is>
          <t>OUTROS</t>
        </is>
      </c>
    </row>
    <row r="255">
      <c r="A255" t="n">
        <v>148</v>
      </c>
      <c r="B255" t="inlineStr">
        <is>
          <t>Bar Brahma - Granja</t>
        </is>
      </c>
      <c r="C255" s="27" t="n">
        <v>46042</v>
      </c>
      <c r="D255" t="n">
        <v>0</v>
      </c>
      <c r="E255" t="inlineStr">
        <is>
          <t>ANTECIPADO</t>
        </is>
      </c>
    </row>
    <row r="256">
      <c r="A256" t="n">
        <v>148</v>
      </c>
      <c r="B256" t="inlineStr">
        <is>
          <t>Bar Brahma - Granja</t>
        </is>
      </c>
      <c r="C256" s="27" t="n">
        <v>46042</v>
      </c>
      <c r="D256" t="n">
        <v>0</v>
      </c>
      <c r="E256" t="inlineStr">
        <is>
          <t>BÔNUS</t>
        </is>
      </c>
    </row>
    <row r="257">
      <c r="A257" t="n">
        <v>148</v>
      </c>
      <c r="B257" t="inlineStr">
        <is>
          <t>Bar Brahma - Granja</t>
        </is>
      </c>
      <c r="C257" s="27" t="n">
        <v>46042</v>
      </c>
      <c r="D257" t="n">
        <v>0</v>
      </c>
      <c r="E257" t="inlineStr">
        <is>
          <t>ANTECIPADO</t>
        </is>
      </c>
    </row>
    <row r="258">
      <c r="A258" t="n">
        <v>148</v>
      </c>
      <c r="B258" t="inlineStr">
        <is>
          <t>Bar Brahma - Granja</t>
        </is>
      </c>
      <c r="C258" s="27" t="n">
        <v>46042</v>
      </c>
      <c r="D258" t="n">
        <v>560.51</v>
      </c>
      <c r="E258" t="inlineStr">
        <is>
          <t>VOUCHER</t>
        </is>
      </c>
    </row>
    <row r="259">
      <c r="A259" t="n">
        <v>148</v>
      </c>
      <c r="B259" t="inlineStr">
        <is>
          <t>Bar Brahma - Granja</t>
        </is>
      </c>
      <c r="C259" s="27" t="n">
        <v>46042</v>
      </c>
      <c r="D259" t="n">
        <v>0</v>
      </c>
      <c r="E259" t="inlineStr">
        <is>
          <t>MBWAY</t>
        </is>
      </c>
    </row>
    <row r="260">
      <c r="A260" t="n">
        <v>148</v>
      </c>
      <c r="B260" t="inlineStr">
        <is>
          <t>Bar Brahma - Granja</t>
        </is>
      </c>
      <c r="C260" s="27" t="n">
        <v>46042</v>
      </c>
      <c r="D260" t="n">
        <v>0</v>
      </c>
      <c r="E260" t="inlineStr">
        <is>
          <t>UBER</t>
        </is>
      </c>
    </row>
    <row r="261">
      <c r="A261" t="n">
        <v>148</v>
      </c>
      <c r="B261" t="inlineStr">
        <is>
          <t>Bar Brahma - Granja</t>
        </is>
      </c>
      <c r="C261" s="27" t="n">
        <v>46042</v>
      </c>
      <c r="D261" t="n">
        <v>0</v>
      </c>
      <c r="E261" t="inlineStr">
        <is>
          <t>RAPPI</t>
        </is>
      </c>
    </row>
    <row r="262">
      <c r="A262" t="n">
        <v>148</v>
      </c>
      <c r="B262" t="inlineStr">
        <is>
          <t>Bar Brahma - Granja</t>
        </is>
      </c>
      <c r="C262" s="27" t="n">
        <v>46042</v>
      </c>
      <c r="D262" t="n">
        <v>606.79</v>
      </c>
      <c r="E262" t="inlineStr">
        <is>
          <t>PIX</t>
        </is>
      </c>
    </row>
    <row r="263">
      <c r="A263" t="n">
        <v>148</v>
      </c>
      <c r="B263" t="inlineStr">
        <is>
          <t>Bar Brahma - Granja</t>
        </is>
      </c>
      <c r="C263" s="27" t="n">
        <v>46042</v>
      </c>
      <c r="D263" t="n">
        <v>3124.88</v>
      </c>
      <c r="E263" t="inlineStr">
        <is>
          <t>CRÉDITO</t>
        </is>
      </c>
    </row>
    <row r="264">
      <c r="A264" t="n">
        <v>148</v>
      </c>
      <c r="B264" t="inlineStr">
        <is>
          <t>Bar Brahma - Granja</t>
        </is>
      </c>
      <c r="C264" s="27" t="n">
        <v>46042</v>
      </c>
      <c r="D264" t="n">
        <v>175.43</v>
      </c>
      <c r="E264" t="inlineStr">
        <is>
          <t>DINHEIRO</t>
        </is>
      </c>
    </row>
    <row r="265">
      <c r="A265" t="n">
        <v>148</v>
      </c>
      <c r="B265" t="inlineStr">
        <is>
          <t>Bar Brahma - Granja</t>
        </is>
      </c>
      <c r="C265" s="27" t="n">
        <v>46042</v>
      </c>
      <c r="D265" t="n">
        <v>0</v>
      </c>
      <c r="E265" t="inlineStr">
        <is>
          <t>APP</t>
        </is>
      </c>
    </row>
    <row r="266">
      <c r="A266" t="n">
        <v>148</v>
      </c>
      <c r="B266" t="inlineStr">
        <is>
          <t>Bar Brahma - Granja</t>
        </is>
      </c>
      <c r="C266" s="27" t="n">
        <v>46042</v>
      </c>
      <c r="D266" t="n">
        <v>0</v>
      </c>
      <c r="E266" t="inlineStr">
        <is>
          <t>DELIVERY ONLINE</t>
        </is>
      </c>
    </row>
    <row r="267">
      <c r="A267" t="n">
        <v>148</v>
      </c>
      <c r="B267" t="inlineStr">
        <is>
          <t>Bar Brahma - Granja</t>
        </is>
      </c>
      <c r="C267" s="27" t="n">
        <v>46042</v>
      </c>
      <c r="D267" t="n">
        <v>0</v>
      </c>
      <c r="E267" t="inlineStr">
        <is>
          <t>IFOOD</t>
        </is>
      </c>
    </row>
    <row r="268">
      <c r="A268" t="n">
        <v>148</v>
      </c>
      <c r="B268" t="inlineStr">
        <is>
          <t>Bar Brahma - Granja</t>
        </is>
      </c>
      <c r="C268" s="27" t="n">
        <v>46041</v>
      </c>
      <c r="D268" t="n">
        <v>0</v>
      </c>
      <c r="E268" t="inlineStr">
        <is>
          <t>PIX</t>
        </is>
      </c>
    </row>
    <row r="269">
      <c r="A269" t="n">
        <v>148</v>
      </c>
      <c r="B269" t="inlineStr">
        <is>
          <t>Bar Brahma - Granja</t>
        </is>
      </c>
      <c r="C269" s="27" t="n">
        <v>46041</v>
      </c>
      <c r="D269" t="n">
        <v>0</v>
      </c>
      <c r="E269" t="inlineStr">
        <is>
          <t>IFOOD</t>
        </is>
      </c>
    </row>
    <row r="270">
      <c r="A270" t="n">
        <v>148</v>
      </c>
      <c r="B270" t="inlineStr">
        <is>
          <t>Bar Brahma - Granja</t>
        </is>
      </c>
      <c r="C270" s="27" t="n">
        <v>46041</v>
      </c>
      <c r="D270" t="n">
        <v>0</v>
      </c>
      <c r="E270" t="inlineStr">
        <is>
          <t>NOTAS MANUAIS + SERVIÇO</t>
        </is>
      </c>
    </row>
    <row r="271">
      <c r="A271" t="n">
        <v>148</v>
      </c>
      <c r="B271" t="inlineStr">
        <is>
          <t>Bar Brahma - Granja</t>
        </is>
      </c>
      <c r="C271" s="27" t="n">
        <v>46041</v>
      </c>
      <c r="D271" t="n">
        <v>0</v>
      </c>
      <c r="E271" t="inlineStr">
        <is>
          <t>DELIVERY ONLINE</t>
        </is>
      </c>
    </row>
    <row r="272">
      <c r="A272" t="n">
        <v>148</v>
      </c>
      <c r="B272" t="inlineStr">
        <is>
          <t>Bar Brahma - Granja</t>
        </is>
      </c>
      <c r="C272" s="27" t="n">
        <v>46041</v>
      </c>
      <c r="D272" t="n">
        <v>0</v>
      </c>
      <c r="E272" t="inlineStr">
        <is>
          <t>APP</t>
        </is>
      </c>
    </row>
    <row r="273">
      <c r="A273" t="n">
        <v>148</v>
      </c>
      <c r="B273" t="inlineStr">
        <is>
          <t>Bar Brahma - Granja</t>
        </is>
      </c>
      <c r="C273" s="27" t="n">
        <v>46041</v>
      </c>
      <c r="D273" t="n">
        <v>0</v>
      </c>
      <c r="E273" t="inlineStr">
        <is>
          <t>DINHEIRO</t>
        </is>
      </c>
    </row>
    <row r="274">
      <c r="A274" t="n">
        <v>148</v>
      </c>
      <c r="B274" t="inlineStr">
        <is>
          <t>Bar Brahma - Granja</t>
        </is>
      </c>
      <c r="C274" s="27" t="n">
        <v>46041</v>
      </c>
      <c r="D274" t="n">
        <v>0</v>
      </c>
      <c r="E274" t="inlineStr">
        <is>
          <t>CRÉDITO</t>
        </is>
      </c>
    </row>
    <row r="275">
      <c r="A275" t="n">
        <v>148</v>
      </c>
      <c r="B275" t="inlineStr">
        <is>
          <t>Bar Brahma - Granja</t>
        </is>
      </c>
      <c r="C275" s="27" t="n">
        <v>46041</v>
      </c>
      <c r="D275" t="n">
        <v>0</v>
      </c>
      <c r="E275" t="inlineStr">
        <is>
          <t>MBWAY</t>
        </is>
      </c>
    </row>
    <row r="276">
      <c r="A276" t="n">
        <v>148</v>
      </c>
      <c r="B276" t="inlineStr">
        <is>
          <t>Bar Brahma - Granja</t>
        </is>
      </c>
      <c r="C276" s="27" t="n">
        <v>46041</v>
      </c>
      <c r="D276" t="n">
        <v>0</v>
      </c>
      <c r="E276" t="inlineStr">
        <is>
          <t>VOUCHER INTEGRADO</t>
        </is>
      </c>
    </row>
    <row r="277">
      <c r="A277" t="n">
        <v>148</v>
      </c>
      <c r="B277" t="inlineStr">
        <is>
          <t>Bar Brahma - Granja</t>
        </is>
      </c>
      <c r="C277" s="27" t="n">
        <v>46041</v>
      </c>
      <c r="D277" t="n">
        <v>0</v>
      </c>
      <c r="E277" t="inlineStr">
        <is>
          <t>RECARGAS DEVOLVIDAS</t>
        </is>
      </c>
    </row>
    <row r="278">
      <c r="A278" t="n">
        <v>148</v>
      </c>
      <c r="B278" t="inlineStr">
        <is>
          <t>Bar Brahma - Granja</t>
        </is>
      </c>
      <c r="C278" s="27" t="n">
        <v>46041</v>
      </c>
      <c r="D278" t="n">
        <v>0</v>
      </c>
      <c r="E278" t="inlineStr">
        <is>
          <t>RAPPI</t>
        </is>
      </c>
    </row>
    <row r="279">
      <c r="A279" t="n">
        <v>148</v>
      </c>
      <c r="B279" t="inlineStr">
        <is>
          <t>Bar Brahma - Granja</t>
        </is>
      </c>
      <c r="C279" s="27" t="n">
        <v>46041</v>
      </c>
      <c r="D279" t="n">
        <v>0</v>
      </c>
      <c r="E279" t="inlineStr">
        <is>
          <t>AME</t>
        </is>
      </c>
    </row>
    <row r="280">
      <c r="A280" t="n">
        <v>148</v>
      </c>
      <c r="B280" t="inlineStr">
        <is>
          <t>Bar Brahma - Granja</t>
        </is>
      </c>
      <c r="C280" s="27" t="n">
        <v>46041</v>
      </c>
      <c r="D280" t="n">
        <v>0</v>
      </c>
      <c r="E280" t="inlineStr">
        <is>
          <t>OUTROS</t>
        </is>
      </c>
    </row>
    <row r="281">
      <c r="A281" t="n">
        <v>148</v>
      </c>
      <c r="B281" t="inlineStr">
        <is>
          <t>Bar Brahma - Granja</t>
        </is>
      </c>
      <c r="C281" s="27" t="n">
        <v>46041</v>
      </c>
      <c r="D281" t="n">
        <v>0</v>
      </c>
      <c r="E281" t="inlineStr">
        <is>
          <t>ANTECIPADO</t>
        </is>
      </c>
    </row>
    <row r="282">
      <c r="A282" t="n">
        <v>148</v>
      </c>
      <c r="B282" t="inlineStr">
        <is>
          <t>Bar Brahma - Granja</t>
        </is>
      </c>
      <c r="C282" s="27" t="n">
        <v>46041</v>
      </c>
      <c r="D282" t="n">
        <v>0</v>
      </c>
      <c r="E282" t="inlineStr">
        <is>
          <t>BÔNUS</t>
        </is>
      </c>
    </row>
    <row r="283">
      <c r="A283" t="n">
        <v>148</v>
      </c>
      <c r="B283" t="inlineStr">
        <is>
          <t>Bar Brahma - Granja</t>
        </is>
      </c>
      <c r="C283" s="27" t="n">
        <v>46041</v>
      </c>
      <c r="D283" t="n">
        <v>0</v>
      </c>
      <c r="E283" t="inlineStr">
        <is>
          <t>DÉBITO</t>
        </is>
      </c>
    </row>
    <row r="284">
      <c r="A284" t="n">
        <v>148</v>
      </c>
      <c r="B284" t="inlineStr">
        <is>
          <t>Bar Brahma - Granja</t>
        </is>
      </c>
      <c r="C284" s="27" t="n">
        <v>46041</v>
      </c>
      <c r="D284" t="n">
        <v>0</v>
      </c>
      <c r="E284" t="inlineStr">
        <is>
          <t>VOUCHER</t>
        </is>
      </c>
    </row>
    <row r="285">
      <c r="A285" t="n">
        <v>148</v>
      </c>
      <c r="B285" t="inlineStr">
        <is>
          <t>Bar Brahma - Granja</t>
        </is>
      </c>
      <c r="C285" s="27" t="n">
        <v>46041</v>
      </c>
      <c r="D285" t="n">
        <v>0</v>
      </c>
      <c r="E285" t="inlineStr">
        <is>
          <t>ANTECIPADO</t>
        </is>
      </c>
    </row>
    <row r="286">
      <c r="A286" t="n">
        <v>148</v>
      </c>
      <c r="B286" t="inlineStr">
        <is>
          <t>Bar Brahma - Granja</t>
        </is>
      </c>
      <c r="C286" s="27" t="n">
        <v>46041</v>
      </c>
      <c r="D286" t="n">
        <v>0</v>
      </c>
      <c r="E286" t="inlineStr">
        <is>
          <t>UBER</t>
        </is>
      </c>
    </row>
    <row r="287">
      <c r="A287" t="n">
        <v>148</v>
      </c>
      <c r="B287" t="inlineStr">
        <is>
          <t>Bar Brahma - Granja</t>
        </is>
      </c>
      <c r="C287" s="27" t="n">
        <v>46040</v>
      </c>
      <c r="D287" t="n">
        <v>0</v>
      </c>
      <c r="E287" t="inlineStr">
        <is>
          <t>RAPPI</t>
        </is>
      </c>
    </row>
    <row r="288">
      <c r="A288" t="n">
        <v>148</v>
      </c>
      <c r="B288" t="inlineStr">
        <is>
          <t>Bar Brahma - Granja</t>
        </is>
      </c>
      <c r="C288" s="27" t="n">
        <v>46040</v>
      </c>
      <c r="D288" t="n">
        <v>9525.85</v>
      </c>
      <c r="E288" t="inlineStr">
        <is>
          <t>CRÉDITO</t>
        </is>
      </c>
    </row>
    <row r="289">
      <c r="A289" t="n">
        <v>148</v>
      </c>
      <c r="B289" t="inlineStr">
        <is>
          <t>Bar Brahma - Granja</t>
        </is>
      </c>
      <c r="C289" s="27" t="n">
        <v>46040</v>
      </c>
      <c r="D289" t="n">
        <v>1033.6</v>
      </c>
      <c r="E289" t="inlineStr">
        <is>
          <t>DINHEIRO</t>
        </is>
      </c>
    </row>
    <row r="290">
      <c r="A290" t="n">
        <v>148</v>
      </c>
      <c r="B290" t="inlineStr">
        <is>
          <t>Bar Brahma - Granja</t>
        </is>
      </c>
      <c r="C290" s="27" t="n">
        <v>46040</v>
      </c>
      <c r="D290" t="n">
        <v>70</v>
      </c>
      <c r="E290" t="inlineStr">
        <is>
          <t>APP</t>
        </is>
      </c>
    </row>
    <row r="291">
      <c r="A291" t="n">
        <v>148</v>
      </c>
      <c r="B291" t="inlineStr">
        <is>
          <t>Bar Brahma - Granja</t>
        </is>
      </c>
      <c r="C291" s="27" t="n">
        <v>46040</v>
      </c>
      <c r="D291" t="n">
        <v>0</v>
      </c>
      <c r="E291" t="inlineStr">
        <is>
          <t>DELIVERY ONLINE</t>
        </is>
      </c>
    </row>
    <row r="292">
      <c r="A292" t="n">
        <v>148</v>
      </c>
      <c r="B292" t="inlineStr">
        <is>
          <t>Bar Brahma - Granja</t>
        </is>
      </c>
      <c r="C292" s="27" t="n">
        <v>46040</v>
      </c>
      <c r="D292" t="n">
        <v>0</v>
      </c>
      <c r="E292" t="inlineStr">
        <is>
          <t>IFOOD</t>
        </is>
      </c>
    </row>
    <row r="293">
      <c r="A293" t="n">
        <v>148</v>
      </c>
      <c r="B293" t="inlineStr">
        <is>
          <t>Bar Brahma - Granja</t>
        </is>
      </c>
      <c r="C293" s="27" t="n">
        <v>46040</v>
      </c>
      <c r="D293" t="n">
        <v>3292.69</v>
      </c>
      <c r="E293" t="inlineStr">
        <is>
          <t>PIX</t>
        </is>
      </c>
    </row>
    <row r="294">
      <c r="A294" t="n">
        <v>148</v>
      </c>
      <c r="B294" t="inlineStr">
        <is>
          <t>Bar Brahma - Granja</t>
        </is>
      </c>
      <c r="C294" s="27" t="n">
        <v>46040</v>
      </c>
      <c r="D294" t="n">
        <v>0</v>
      </c>
      <c r="E294" t="inlineStr">
        <is>
          <t>UBER</t>
        </is>
      </c>
    </row>
    <row r="295">
      <c r="A295" t="n">
        <v>148</v>
      </c>
      <c r="B295" t="inlineStr">
        <is>
          <t>Bar Brahma - Granja</t>
        </is>
      </c>
      <c r="C295" s="27" t="n">
        <v>46040</v>
      </c>
      <c r="D295" t="n">
        <v>0</v>
      </c>
      <c r="E295" t="inlineStr">
        <is>
          <t>ANTECIPADO</t>
        </is>
      </c>
    </row>
    <row r="296">
      <c r="A296" t="n">
        <v>148</v>
      </c>
      <c r="B296" t="inlineStr">
        <is>
          <t>Bar Brahma - Granja</t>
        </is>
      </c>
      <c r="C296" s="27" t="n">
        <v>46040</v>
      </c>
      <c r="D296" t="n">
        <v>1121.63</v>
      </c>
      <c r="E296" t="inlineStr">
        <is>
          <t>VOUCHER</t>
        </is>
      </c>
    </row>
    <row r="297">
      <c r="A297" t="n">
        <v>148</v>
      </c>
      <c r="B297" t="inlineStr">
        <is>
          <t>Bar Brahma - Granja</t>
        </is>
      </c>
      <c r="C297" s="27" t="n">
        <v>46040</v>
      </c>
      <c r="D297" t="n">
        <v>4123</v>
      </c>
      <c r="E297" t="inlineStr">
        <is>
          <t>DÉBITO</t>
        </is>
      </c>
    </row>
    <row r="298">
      <c r="A298" t="n">
        <v>148</v>
      </c>
      <c r="B298" t="inlineStr">
        <is>
          <t>Bar Brahma - Granja</t>
        </is>
      </c>
      <c r="C298" s="27" t="n">
        <v>46040</v>
      </c>
      <c r="D298" t="n">
        <v>0</v>
      </c>
      <c r="E298" t="inlineStr">
        <is>
          <t>BÔNUS</t>
        </is>
      </c>
    </row>
    <row r="299">
      <c r="A299" t="n">
        <v>148</v>
      </c>
      <c r="B299" t="inlineStr">
        <is>
          <t>Bar Brahma - Granja</t>
        </is>
      </c>
      <c r="C299" s="27" t="n">
        <v>46040</v>
      </c>
      <c r="D299" t="n">
        <v>0</v>
      </c>
      <c r="E299" t="inlineStr">
        <is>
          <t>ANTECIPADO</t>
        </is>
      </c>
    </row>
    <row r="300">
      <c r="A300" t="n">
        <v>148</v>
      </c>
      <c r="B300" t="inlineStr">
        <is>
          <t>Bar Brahma - Granja</t>
        </is>
      </c>
      <c r="C300" s="27" t="n">
        <v>46040</v>
      </c>
      <c r="D300" t="n">
        <v>0</v>
      </c>
      <c r="E300" t="inlineStr">
        <is>
          <t>OUTROS</t>
        </is>
      </c>
    </row>
    <row r="301">
      <c r="A301" t="n">
        <v>148</v>
      </c>
      <c r="B301" t="inlineStr">
        <is>
          <t>Bar Brahma - Granja</t>
        </is>
      </c>
      <c r="C301" s="27" t="n">
        <v>46040</v>
      </c>
      <c r="D301" t="n">
        <v>0</v>
      </c>
      <c r="E301" t="inlineStr">
        <is>
          <t>AME</t>
        </is>
      </c>
    </row>
    <row r="302">
      <c r="A302" t="n">
        <v>148</v>
      </c>
      <c r="B302" t="inlineStr">
        <is>
          <t>Bar Brahma - Granja</t>
        </is>
      </c>
      <c r="C302" s="27" t="n">
        <v>46040</v>
      </c>
      <c r="D302" t="n">
        <v>0</v>
      </c>
      <c r="E302" t="inlineStr">
        <is>
          <t>NOTAS MANUAIS + SERVIÇO</t>
        </is>
      </c>
    </row>
    <row r="303">
      <c r="A303" t="n">
        <v>148</v>
      </c>
      <c r="B303" t="inlineStr">
        <is>
          <t>Bar Brahma - Granja</t>
        </is>
      </c>
      <c r="C303" s="27" t="n">
        <v>46040</v>
      </c>
      <c r="D303" t="n">
        <v>0</v>
      </c>
      <c r="E303" t="inlineStr">
        <is>
          <t>RECARGAS DEVOLVIDAS</t>
        </is>
      </c>
    </row>
    <row r="304">
      <c r="A304" t="n">
        <v>148</v>
      </c>
      <c r="B304" t="inlineStr">
        <is>
          <t>Bar Brahma - Granja</t>
        </is>
      </c>
      <c r="C304" s="27" t="n">
        <v>46040</v>
      </c>
      <c r="D304" t="n">
        <v>0</v>
      </c>
      <c r="E304" t="inlineStr">
        <is>
          <t>VOUCHER INTEGRADO</t>
        </is>
      </c>
    </row>
    <row r="305">
      <c r="A305" t="n">
        <v>148</v>
      </c>
      <c r="B305" t="inlineStr">
        <is>
          <t>Bar Brahma - Granja</t>
        </is>
      </c>
      <c r="C305" s="27" t="n">
        <v>46040</v>
      </c>
      <c r="D305" t="n">
        <v>0</v>
      </c>
      <c r="E305" t="inlineStr">
        <is>
          <t>MBWAY</t>
        </is>
      </c>
    </row>
    <row r="306">
      <c r="A306" t="n">
        <v>148</v>
      </c>
      <c r="B306" t="inlineStr">
        <is>
          <t>Bar Brahma - Granja</t>
        </is>
      </c>
      <c r="C306" s="27" t="n">
        <v>46039</v>
      </c>
      <c r="D306" t="n">
        <v>0</v>
      </c>
      <c r="E306" t="inlineStr">
        <is>
          <t>RECARGAS DEVOLVIDAS</t>
        </is>
      </c>
    </row>
    <row r="307">
      <c r="A307" t="n">
        <v>148</v>
      </c>
      <c r="B307" t="inlineStr">
        <is>
          <t>Bar Brahma - Granja</t>
        </is>
      </c>
      <c r="C307" s="27" t="n">
        <v>46039</v>
      </c>
      <c r="D307" t="n">
        <v>0</v>
      </c>
      <c r="E307" t="inlineStr">
        <is>
          <t>ANTECIPADO</t>
        </is>
      </c>
    </row>
    <row r="308">
      <c r="A308" t="n">
        <v>148</v>
      </c>
      <c r="B308" t="inlineStr">
        <is>
          <t>Bar Brahma - Granja</t>
        </is>
      </c>
      <c r="C308" s="27" t="n">
        <v>46039</v>
      </c>
      <c r="D308" t="n">
        <v>39461.8</v>
      </c>
      <c r="E308" t="inlineStr">
        <is>
          <t>CRÉDITO</t>
        </is>
      </c>
    </row>
    <row r="309">
      <c r="A309" t="n">
        <v>148</v>
      </c>
      <c r="B309" t="inlineStr">
        <is>
          <t>Bar Brahma - Granja</t>
        </is>
      </c>
      <c r="C309" s="27" t="n">
        <v>46039</v>
      </c>
      <c r="D309" t="n">
        <v>0</v>
      </c>
      <c r="E309" t="inlineStr">
        <is>
          <t>NOTAS MANUAIS + SERVIÇO</t>
        </is>
      </c>
    </row>
    <row r="310">
      <c r="A310" t="n">
        <v>148</v>
      </c>
      <c r="B310" t="inlineStr">
        <is>
          <t>Bar Brahma - Granja</t>
        </is>
      </c>
      <c r="C310" s="27" t="n">
        <v>46039</v>
      </c>
      <c r="D310" t="n">
        <v>0</v>
      </c>
      <c r="E310" t="inlineStr">
        <is>
          <t>AME</t>
        </is>
      </c>
    </row>
    <row r="311">
      <c r="A311" t="n">
        <v>148</v>
      </c>
      <c r="B311" t="inlineStr">
        <is>
          <t>Bar Brahma - Granja</t>
        </is>
      </c>
      <c r="C311" s="27" t="n">
        <v>46039</v>
      </c>
      <c r="D311" t="n">
        <v>0</v>
      </c>
      <c r="E311" t="inlineStr">
        <is>
          <t>OUTROS</t>
        </is>
      </c>
    </row>
    <row r="312">
      <c r="A312" t="n">
        <v>148</v>
      </c>
      <c r="B312" t="inlineStr">
        <is>
          <t>Bar Brahma - Granja</t>
        </is>
      </c>
      <c r="C312" s="27" t="n">
        <v>46039</v>
      </c>
      <c r="D312" t="n">
        <v>0</v>
      </c>
      <c r="E312" t="inlineStr">
        <is>
          <t>BÔNUS</t>
        </is>
      </c>
    </row>
    <row r="313">
      <c r="A313" t="n">
        <v>148</v>
      </c>
      <c r="B313" t="inlineStr">
        <is>
          <t>Bar Brahma - Granja</t>
        </is>
      </c>
      <c r="C313" s="27" t="n">
        <v>46039</v>
      </c>
      <c r="D313" t="n">
        <v>20688.84</v>
      </c>
      <c r="E313" t="inlineStr">
        <is>
          <t>DÉBITO</t>
        </is>
      </c>
    </row>
    <row r="314">
      <c r="A314" t="n">
        <v>148</v>
      </c>
      <c r="B314" t="inlineStr">
        <is>
          <t>Bar Brahma - Granja</t>
        </is>
      </c>
      <c r="C314" s="27" t="n">
        <v>46039</v>
      </c>
      <c r="D314" t="n">
        <v>1025.94</v>
      </c>
      <c r="E314" t="inlineStr">
        <is>
          <t>VOUCHER</t>
        </is>
      </c>
    </row>
    <row r="315">
      <c r="A315" t="n">
        <v>148</v>
      </c>
      <c r="B315" t="inlineStr">
        <is>
          <t>Bar Brahma - Granja</t>
        </is>
      </c>
      <c r="C315" s="27" t="n">
        <v>46039</v>
      </c>
      <c r="D315" t="n">
        <v>0</v>
      </c>
      <c r="E315" t="inlineStr">
        <is>
          <t>ANTECIPADO</t>
        </is>
      </c>
    </row>
    <row r="316">
      <c r="A316" t="n">
        <v>148</v>
      </c>
      <c r="B316" t="inlineStr">
        <is>
          <t>Bar Brahma - Granja</t>
        </is>
      </c>
      <c r="C316" s="27" t="n">
        <v>46039</v>
      </c>
      <c r="D316" t="n">
        <v>0</v>
      </c>
      <c r="E316" t="inlineStr">
        <is>
          <t>UBER</t>
        </is>
      </c>
    </row>
    <row r="317">
      <c r="A317" t="n">
        <v>148</v>
      </c>
      <c r="B317" t="inlineStr">
        <is>
          <t>Bar Brahma - Granja</t>
        </is>
      </c>
      <c r="C317" s="27" t="n">
        <v>46039</v>
      </c>
      <c r="D317" t="n">
        <v>0</v>
      </c>
      <c r="E317" t="inlineStr">
        <is>
          <t>VOUCHER INTEGRADO</t>
        </is>
      </c>
    </row>
    <row r="318">
      <c r="A318" t="n">
        <v>148</v>
      </c>
      <c r="B318" t="inlineStr">
        <is>
          <t>Bar Brahma - Granja</t>
        </is>
      </c>
      <c r="C318" s="27" t="n">
        <v>46039</v>
      </c>
      <c r="D318" t="n">
        <v>0</v>
      </c>
      <c r="E318" t="inlineStr">
        <is>
          <t>MBWAY</t>
        </is>
      </c>
    </row>
    <row r="319">
      <c r="A319" t="n">
        <v>148</v>
      </c>
      <c r="B319" t="inlineStr">
        <is>
          <t>Bar Brahma - Granja</t>
        </is>
      </c>
      <c r="C319" s="27" t="n">
        <v>46039</v>
      </c>
      <c r="D319" t="n">
        <v>0</v>
      </c>
      <c r="E319" t="inlineStr">
        <is>
          <t>RAPPI</t>
        </is>
      </c>
    </row>
    <row r="320">
      <c r="A320" t="n">
        <v>148</v>
      </c>
      <c r="B320" t="inlineStr">
        <is>
          <t>Bar Brahma - Granja</t>
        </is>
      </c>
      <c r="C320" s="27" t="n">
        <v>46039</v>
      </c>
      <c r="D320" t="n">
        <v>7246.05</v>
      </c>
      <c r="E320" t="inlineStr">
        <is>
          <t>PIX</t>
        </is>
      </c>
    </row>
    <row r="321">
      <c r="A321" t="n">
        <v>148</v>
      </c>
      <c r="B321" t="inlineStr">
        <is>
          <t>Bar Brahma - Granja</t>
        </is>
      </c>
      <c r="C321" s="27" t="n">
        <v>46039</v>
      </c>
      <c r="D321" t="n">
        <v>0</v>
      </c>
      <c r="E321" t="inlineStr">
        <is>
          <t>IFOOD</t>
        </is>
      </c>
    </row>
    <row r="322">
      <c r="A322" t="n">
        <v>148</v>
      </c>
      <c r="B322" t="inlineStr">
        <is>
          <t>Bar Brahma - Granja</t>
        </is>
      </c>
      <c r="C322" s="27" t="n">
        <v>46039</v>
      </c>
      <c r="D322" t="n">
        <v>0</v>
      </c>
      <c r="E322" t="inlineStr">
        <is>
          <t>DELIVERY ONLINE</t>
        </is>
      </c>
    </row>
    <row r="323">
      <c r="A323" t="n">
        <v>148</v>
      </c>
      <c r="B323" t="inlineStr">
        <is>
          <t>Bar Brahma - Granja</t>
        </is>
      </c>
      <c r="C323" s="27" t="n">
        <v>46039</v>
      </c>
      <c r="D323" t="n">
        <v>0</v>
      </c>
      <c r="E323" t="inlineStr">
        <is>
          <t>APP</t>
        </is>
      </c>
    </row>
    <row r="324">
      <c r="A324" t="n">
        <v>148</v>
      </c>
      <c r="B324" t="inlineStr">
        <is>
          <t>Bar Brahma - Granja</t>
        </is>
      </c>
      <c r="C324" s="27" t="n">
        <v>46039</v>
      </c>
      <c r="D324" t="n">
        <v>4075.78</v>
      </c>
      <c r="E324" t="inlineStr">
        <is>
          <t>DINHEIRO</t>
        </is>
      </c>
    </row>
    <row r="325">
      <c r="A325" t="n">
        <v>148</v>
      </c>
      <c r="B325" t="inlineStr">
        <is>
          <t>Bar Brahma - Granja</t>
        </is>
      </c>
      <c r="C325" s="27" t="n">
        <v>46038</v>
      </c>
      <c r="D325" t="n">
        <v>0</v>
      </c>
      <c r="E325" t="inlineStr">
        <is>
          <t>ANTECIPADO</t>
        </is>
      </c>
    </row>
    <row r="326">
      <c r="A326" t="n">
        <v>148</v>
      </c>
      <c r="B326" t="inlineStr">
        <is>
          <t>Bar Brahma - Granja</t>
        </is>
      </c>
      <c r="C326" s="27" t="n">
        <v>46038</v>
      </c>
      <c r="D326" t="n">
        <v>0</v>
      </c>
      <c r="E326" t="inlineStr">
        <is>
          <t>BÔNUS</t>
        </is>
      </c>
    </row>
    <row r="327">
      <c r="A327" t="n">
        <v>148</v>
      </c>
      <c r="B327" t="inlineStr">
        <is>
          <t>Bar Brahma - Granja</t>
        </is>
      </c>
      <c r="C327" s="27" t="n">
        <v>46038</v>
      </c>
      <c r="D327" t="n">
        <v>9021.559999999999</v>
      </c>
      <c r="E327" t="inlineStr">
        <is>
          <t>CRÉDITO</t>
        </is>
      </c>
    </row>
    <row r="328">
      <c r="A328" t="n">
        <v>148</v>
      </c>
      <c r="B328" t="inlineStr">
        <is>
          <t>Bar Brahma - Granja</t>
        </is>
      </c>
      <c r="C328" s="27" t="n">
        <v>46038</v>
      </c>
      <c r="D328" t="n">
        <v>5638.68</v>
      </c>
      <c r="E328" t="inlineStr">
        <is>
          <t>DÉBITO</t>
        </is>
      </c>
    </row>
    <row r="329">
      <c r="A329" t="n">
        <v>148</v>
      </c>
      <c r="B329" t="inlineStr">
        <is>
          <t>Bar Brahma - Granja</t>
        </is>
      </c>
      <c r="C329" s="27" t="n">
        <v>46038</v>
      </c>
      <c r="D329" t="n">
        <v>0</v>
      </c>
      <c r="E329" t="inlineStr">
        <is>
          <t>MBWAY</t>
        </is>
      </c>
    </row>
    <row r="330">
      <c r="A330" t="n">
        <v>148</v>
      </c>
      <c r="B330" t="inlineStr">
        <is>
          <t>Bar Brahma - Granja</t>
        </is>
      </c>
      <c r="C330" s="27" t="n">
        <v>46038</v>
      </c>
      <c r="D330" t="n">
        <v>0</v>
      </c>
      <c r="E330" t="inlineStr">
        <is>
          <t>VOUCHER INTEGRADO</t>
        </is>
      </c>
    </row>
    <row r="331">
      <c r="A331" t="n">
        <v>148</v>
      </c>
      <c r="B331" t="inlineStr">
        <is>
          <t>Bar Brahma - Granja</t>
        </is>
      </c>
      <c r="C331" s="27" t="n">
        <v>46038</v>
      </c>
      <c r="D331" t="n">
        <v>0</v>
      </c>
      <c r="E331" t="inlineStr">
        <is>
          <t>RECARGAS DEVOLVIDAS</t>
        </is>
      </c>
    </row>
    <row r="332">
      <c r="A332" t="n">
        <v>148</v>
      </c>
      <c r="B332" t="inlineStr">
        <is>
          <t>Bar Brahma - Granja</t>
        </is>
      </c>
      <c r="C332" s="27" t="n">
        <v>46038</v>
      </c>
      <c r="D332" t="n">
        <v>0</v>
      </c>
      <c r="E332" t="inlineStr">
        <is>
          <t>NOTAS MANUAIS + SERVIÇO</t>
        </is>
      </c>
    </row>
    <row r="333">
      <c r="A333" t="n">
        <v>148</v>
      </c>
      <c r="B333" t="inlineStr">
        <is>
          <t>Bar Brahma - Granja</t>
        </is>
      </c>
      <c r="C333" s="27" t="n">
        <v>46038</v>
      </c>
      <c r="D333" t="n">
        <v>0</v>
      </c>
      <c r="E333" t="inlineStr">
        <is>
          <t>AME</t>
        </is>
      </c>
    </row>
    <row r="334">
      <c r="A334" t="n">
        <v>148</v>
      </c>
      <c r="B334" t="inlineStr">
        <is>
          <t>Bar Brahma - Granja</t>
        </is>
      </c>
      <c r="C334" s="27" t="n">
        <v>46038</v>
      </c>
      <c r="D334" t="n">
        <v>0</v>
      </c>
      <c r="E334" t="inlineStr">
        <is>
          <t>OUTROS</t>
        </is>
      </c>
    </row>
    <row r="335">
      <c r="A335" t="n">
        <v>148</v>
      </c>
      <c r="B335" t="inlineStr">
        <is>
          <t>Bar Brahma - Granja</t>
        </is>
      </c>
      <c r="C335" s="27" t="n">
        <v>46038</v>
      </c>
      <c r="D335" t="n">
        <v>132.15</v>
      </c>
      <c r="E335" t="inlineStr">
        <is>
          <t>DINHEIRO</t>
        </is>
      </c>
    </row>
    <row r="336">
      <c r="A336" t="n">
        <v>148</v>
      </c>
      <c r="B336" t="inlineStr">
        <is>
          <t>Bar Brahma - Granja</t>
        </is>
      </c>
      <c r="C336" s="27" t="n">
        <v>46038</v>
      </c>
      <c r="D336" t="n">
        <v>0</v>
      </c>
      <c r="E336" t="inlineStr">
        <is>
          <t>APP</t>
        </is>
      </c>
    </row>
    <row r="337">
      <c r="A337" t="n">
        <v>148</v>
      </c>
      <c r="B337" t="inlineStr">
        <is>
          <t>Bar Brahma - Granja</t>
        </is>
      </c>
      <c r="C337" s="27" t="n">
        <v>46038</v>
      </c>
      <c r="D337" t="n">
        <v>0</v>
      </c>
      <c r="E337" t="inlineStr">
        <is>
          <t>DELIVERY ONLINE</t>
        </is>
      </c>
    </row>
    <row r="338">
      <c r="A338" t="n">
        <v>148</v>
      </c>
      <c r="B338" t="inlineStr">
        <is>
          <t>Bar Brahma - Granja</t>
        </is>
      </c>
      <c r="C338" s="27" t="n">
        <v>46038</v>
      </c>
      <c r="D338" t="n">
        <v>0</v>
      </c>
      <c r="E338" t="inlineStr">
        <is>
          <t>IFOOD</t>
        </is>
      </c>
    </row>
    <row r="339">
      <c r="A339" t="n">
        <v>148</v>
      </c>
      <c r="B339" t="inlineStr">
        <is>
          <t>Bar Brahma - Granja</t>
        </is>
      </c>
      <c r="C339" s="27" t="n">
        <v>46038</v>
      </c>
      <c r="D339" t="n">
        <v>1378.47</v>
      </c>
      <c r="E339" t="inlineStr">
        <is>
          <t>PIX</t>
        </is>
      </c>
    </row>
    <row r="340">
      <c r="A340" t="n">
        <v>148</v>
      </c>
      <c r="B340" t="inlineStr">
        <is>
          <t>Bar Brahma - Granja</t>
        </is>
      </c>
      <c r="C340" s="27" t="n">
        <v>46038</v>
      </c>
      <c r="D340" t="n">
        <v>0</v>
      </c>
      <c r="E340" t="inlineStr">
        <is>
          <t>RAPPI</t>
        </is>
      </c>
    </row>
    <row r="341">
      <c r="A341" t="n">
        <v>148</v>
      </c>
      <c r="B341" t="inlineStr">
        <is>
          <t>Bar Brahma - Granja</t>
        </is>
      </c>
      <c r="C341" s="27" t="n">
        <v>46038</v>
      </c>
      <c r="D341" t="n">
        <v>0</v>
      </c>
      <c r="E341" t="inlineStr">
        <is>
          <t>UBER</t>
        </is>
      </c>
    </row>
    <row r="342">
      <c r="A342" t="n">
        <v>148</v>
      </c>
      <c r="B342" t="inlineStr">
        <is>
          <t>Bar Brahma - Granja</t>
        </is>
      </c>
      <c r="C342" s="27" t="n">
        <v>46038</v>
      </c>
      <c r="D342" t="n">
        <v>0</v>
      </c>
      <c r="E342" t="inlineStr">
        <is>
          <t>ANTECIPADO</t>
        </is>
      </c>
    </row>
    <row r="343">
      <c r="A343" t="n">
        <v>148</v>
      </c>
      <c r="B343" t="inlineStr">
        <is>
          <t>Bar Brahma - Granja</t>
        </is>
      </c>
      <c r="C343" s="27" t="n">
        <v>46038</v>
      </c>
      <c r="D343" t="n">
        <v>305.18</v>
      </c>
      <c r="E343" t="inlineStr">
        <is>
          <t>VOUCHER</t>
        </is>
      </c>
    </row>
    <row r="344">
      <c r="A344" t="n">
        <v>148</v>
      </c>
      <c r="B344" t="inlineStr">
        <is>
          <t>Bar Brahma - Granja</t>
        </is>
      </c>
      <c r="C344" s="27" t="n">
        <v>46037</v>
      </c>
      <c r="D344" t="n">
        <v>0</v>
      </c>
      <c r="E344" t="inlineStr">
        <is>
          <t>MBWAY</t>
        </is>
      </c>
    </row>
    <row r="345">
      <c r="A345" t="n">
        <v>148</v>
      </c>
      <c r="B345" t="inlineStr">
        <is>
          <t>Bar Brahma - Granja</t>
        </is>
      </c>
      <c r="C345" s="27" t="n">
        <v>46037</v>
      </c>
      <c r="D345" t="n">
        <v>0</v>
      </c>
      <c r="E345" t="inlineStr">
        <is>
          <t>VOUCHER INTEGRADO</t>
        </is>
      </c>
    </row>
    <row r="346">
      <c r="A346" t="n">
        <v>148</v>
      </c>
      <c r="B346" t="inlineStr">
        <is>
          <t>Bar Brahma - Granja</t>
        </is>
      </c>
      <c r="C346" s="27" t="n">
        <v>46037</v>
      </c>
      <c r="D346" t="n">
        <v>0</v>
      </c>
      <c r="E346" t="inlineStr">
        <is>
          <t>RECARGAS DEVOLVIDAS</t>
        </is>
      </c>
    </row>
    <row r="347">
      <c r="A347" t="n">
        <v>148</v>
      </c>
      <c r="B347" t="inlineStr">
        <is>
          <t>Bar Brahma - Granja</t>
        </is>
      </c>
      <c r="C347" s="27" t="n">
        <v>46037</v>
      </c>
      <c r="D347" t="n">
        <v>0</v>
      </c>
      <c r="E347" t="inlineStr">
        <is>
          <t>NOTAS MANUAIS + SERVIÇO</t>
        </is>
      </c>
    </row>
    <row r="348">
      <c r="A348" t="n">
        <v>148</v>
      </c>
      <c r="B348" t="inlineStr">
        <is>
          <t>Bar Brahma - Granja</t>
        </is>
      </c>
      <c r="C348" s="27" t="n">
        <v>46037</v>
      </c>
      <c r="D348" t="n">
        <v>0</v>
      </c>
      <c r="E348" t="inlineStr">
        <is>
          <t>AME</t>
        </is>
      </c>
    </row>
    <row r="349">
      <c r="A349" t="n">
        <v>148</v>
      </c>
      <c r="B349" t="inlineStr">
        <is>
          <t>Bar Brahma - Granja</t>
        </is>
      </c>
      <c r="C349" s="27" t="n">
        <v>46037</v>
      </c>
      <c r="D349" t="n">
        <v>0</v>
      </c>
      <c r="E349" t="inlineStr">
        <is>
          <t>OUTROS</t>
        </is>
      </c>
    </row>
    <row r="350">
      <c r="A350" t="n">
        <v>148</v>
      </c>
      <c r="B350" t="inlineStr">
        <is>
          <t>Bar Brahma - Granja</t>
        </is>
      </c>
      <c r="C350" s="27" t="n">
        <v>46037</v>
      </c>
      <c r="D350" t="n">
        <v>0</v>
      </c>
      <c r="E350" t="inlineStr">
        <is>
          <t>ANTECIPADO</t>
        </is>
      </c>
    </row>
    <row r="351">
      <c r="A351" t="n">
        <v>148</v>
      </c>
      <c r="B351" t="inlineStr">
        <is>
          <t>Bar Brahma - Granja</t>
        </is>
      </c>
      <c r="C351" s="27" t="n">
        <v>46037</v>
      </c>
      <c r="D351" t="n">
        <v>6856.71</v>
      </c>
      <c r="E351" t="inlineStr">
        <is>
          <t>CRÉDITO</t>
        </is>
      </c>
    </row>
    <row r="352">
      <c r="A352" t="n">
        <v>148</v>
      </c>
      <c r="B352" t="inlineStr">
        <is>
          <t>Bar Brahma - Granja</t>
        </is>
      </c>
      <c r="C352" s="27" t="n">
        <v>46037</v>
      </c>
      <c r="D352" t="n">
        <v>0</v>
      </c>
      <c r="E352" t="inlineStr">
        <is>
          <t>ANTECIPADO</t>
        </is>
      </c>
    </row>
    <row r="353">
      <c r="A353" t="n">
        <v>148</v>
      </c>
      <c r="B353" t="inlineStr">
        <is>
          <t>Bar Brahma - Granja</t>
        </is>
      </c>
      <c r="C353" s="27" t="n">
        <v>46037</v>
      </c>
      <c r="D353" t="n">
        <v>3819.38</v>
      </c>
      <c r="E353" t="inlineStr">
        <is>
          <t>DÉBITO</t>
        </is>
      </c>
    </row>
    <row r="354">
      <c r="A354" t="n">
        <v>148</v>
      </c>
      <c r="B354" t="inlineStr">
        <is>
          <t>Bar Brahma - Granja</t>
        </is>
      </c>
      <c r="C354" s="27" t="n">
        <v>46037</v>
      </c>
      <c r="D354" t="n">
        <v>435.74</v>
      </c>
      <c r="E354" t="inlineStr">
        <is>
          <t>VOUCHER</t>
        </is>
      </c>
    </row>
    <row r="355">
      <c r="A355" t="n">
        <v>148</v>
      </c>
      <c r="B355" t="inlineStr">
        <is>
          <t>Bar Brahma - Granja</t>
        </is>
      </c>
      <c r="C355" s="27" t="n">
        <v>46037</v>
      </c>
      <c r="D355" t="n">
        <v>0</v>
      </c>
      <c r="E355" t="inlineStr">
        <is>
          <t>BÔNUS</t>
        </is>
      </c>
    </row>
    <row r="356">
      <c r="A356" t="n">
        <v>148</v>
      </c>
      <c r="B356" t="inlineStr">
        <is>
          <t>Bar Brahma - Granja</t>
        </is>
      </c>
      <c r="C356" s="27" t="n">
        <v>46037</v>
      </c>
      <c r="D356" t="n">
        <v>0</v>
      </c>
      <c r="E356" t="inlineStr">
        <is>
          <t>UBER</t>
        </is>
      </c>
    </row>
    <row r="357">
      <c r="A357" t="n">
        <v>148</v>
      </c>
      <c r="B357" t="inlineStr">
        <is>
          <t>Bar Brahma - Granja</t>
        </is>
      </c>
      <c r="C357" s="27" t="n">
        <v>46037</v>
      </c>
      <c r="D357" t="n">
        <v>634.16</v>
      </c>
      <c r="E357" t="inlineStr">
        <is>
          <t>DINHEIRO</t>
        </is>
      </c>
    </row>
    <row r="358">
      <c r="A358" t="n">
        <v>148</v>
      </c>
      <c r="B358" t="inlineStr">
        <is>
          <t>Bar Brahma - Granja</t>
        </is>
      </c>
      <c r="C358" s="27" t="n">
        <v>46037</v>
      </c>
      <c r="D358" t="n">
        <v>0</v>
      </c>
      <c r="E358" t="inlineStr">
        <is>
          <t>APP</t>
        </is>
      </c>
    </row>
    <row r="359">
      <c r="A359" t="n">
        <v>148</v>
      </c>
      <c r="B359" t="inlineStr">
        <is>
          <t>Bar Brahma - Granja</t>
        </is>
      </c>
      <c r="C359" s="27" t="n">
        <v>46037</v>
      </c>
      <c r="D359" t="n">
        <v>0</v>
      </c>
      <c r="E359" t="inlineStr">
        <is>
          <t>DELIVERY ONLINE</t>
        </is>
      </c>
    </row>
    <row r="360">
      <c r="A360" t="n">
        <v>148</v>
      </c>
      <c r="B360" t="inlineStr">
        <is>
          <t>Bar Brahma - Granja</t>
        </is>
      </c>
      <c r="C360" s="27" t="n">
        <v>46037</v>
      </c>
      <c r="D360" t="n">
        <v>0</v>
      </c>
      <c r="E360" t="inlineStr">
        <is>
          <t>IFOOD</t>
        </is>
      </c>
    </row>
    <row r="361">
      <c r="A361" t="n">
        <v>148</v>
      </c>
      <c r="B361" t="inlineStr">
        <is>
          <t>Bar Brahma - Granja</t>
        </is>
      </c>
      <c r="C361" s="27" t="n">
        <v>46037</v>
      </c>
      <c r="D361" t="n">
        <v>0</v>
      </c>
      <c r="E361" t="inlineStr">
        <is>
          <t>RAPPI</t>
        </is>
      </c>
    </row>
    <row r="362">
      <c r="A362" t="n">
        <v>148</v>
      </c>
      <c r="B362" t="inlineStr">
        <is>
          <t>Bar Brahma - Granja</t>
        </is>
      </c>
      <c r="C362" s="27" t="n">
        <v>46037</v>
      </c>
      <c r="D362" t="n">
        <v>1658.24</v>
      </c>
      <c r="E362" t="inlineStr">
        <is>
          <t>PIX</t>
        </is>
      </c>
    </row>
    <row r="363">
      <c r="A363" t="n">
        <v>148</v>
      </c>
      <c r="B363" t="inlineStr">
        <is>
          <t>Bar Brahma - Granja</t>
        </is>
      </c>
      <c r="C363" s="27" t="n">
        <v>46036</v>
      </c>
      <c r="D363" t="n">
        <v>0</v>
      </c>
      <c r="E363" t="inlineStr">
        <is>
          <t>UBER</t>
        </is>
      </c>
    </row>
    <row r="364">
      <c r="A364" t="n">
        <v>148</v>
      </c>
      <c r="B364" t="inlineStr">
        <is>
          <t>Bar Brahma - Granja</t>
        </is>
      </c>
      <c r="C364" s="27" t="n">
        <v>46036</v>
      </c>
      <c r="D364" t="n">
        <v>0</v>
      </c>
      <c r="E364" t="inlineStr">
        <is>
          <t>VOUCHER INTEGRADO</t>
        </is>
      </c>
    </row>
    <row r="365">
      <c r="A365" t="n">
        <v>148</v>
      </c>
      <c r="B365" t="inlineStr">
        <is>
          <t>Bar Brahma - Granja</t>
        </is>
      </c>
      <c r="C365" s="27" t="n">
        <v>46036</v>
      </c>
      <c r="D365" t="n">
        <v>5266.75</v>
      </c>
      <c r="E365" t="inlineStr">
        <is>
          <t>CRÉDITO</t>
        </is>
      </c>
    </row>
    <row r="366">
      <c r="A366" t="n">
        <v>148</v>
      </c>
      <c r="B366" t="inlineStr">
        <is>
          <t>Bar Brahma - Granja</t>
        </is>
      </c>
      <c r="C366" s="27" t="n">
        <v>46036</v>
      </c>
      <c r="D366" t="n">
        <v>526.3200000000001</v>
      </c>
      <c r="E366" t="inlineStr">
        <is>
          <t>DINHEIRO</t>
        </is>
      </c>
    </row>
    <row r="367">
      <c r="A367" t="n">
        <v>148</v>
      </c>
      <c r="B367" t="inlineStr">
        <is>
          <t>Bar Brahma - Granja</t>
        </is>
      </c>
      <c r="C367" s="27" t="n">
        <v>46036</v>
      </c>
      <c r="D367" t="n">
        <v>0</v>
      </c>
      <c r="E367" t="inlineStr">
        <is>
          <t>APP</t>
        </is>
      </c>
    </row>
    <row r="368">
      <c r="A368" t="n">
        <v>148</v>
      </c>
      <c r="B368" t="inlineStr">
        <is>
          <t>Bar Brahma - Granja</t>
        </is>
      </c>
      <c r="C368" s="27" t="n">
        <v>46036</v>
      </c>
      <c r="D368" t="n">
        <v>0</v>
      </c>
      <c r="E368" t="inlineStr">
        <is>
          <t>DELIVERY ONLINE</t>
        </is>
      </c>
    </row>
    <row r="369">
      <c r="A369" t="n">
        <v>148</v>
      </c>
      <c r="B369" t="inlineStr">
        <is>
          <t>Bar Brahma - Granja</t>
        </is>
      </c>
      <c r="C369" s="27" t="n">
        <v>46036</v>
      </c>
      <c r="D369" t="n">
        <v>0</v>
      </c>
      <c r="E369" t="inlineStr">
        <is>
          <t>IFOOD</t>
        </is>
      </c>
    </row>
    <row r="370">
      <c r="A370" t="n">
        <v>148</v>
      </c>
      <c r="B370" t="inlineStr">
        <is>
          <t>Bar Brahma - Granja</t>
        </is>
      </c>
      <c r="C370" s="27" t="n">
        <v>46036</v>
      </c>
      <c r="D370" t="n">
        <v>871.14</v>
      </c>
      <c r="E370" t="inlineStr">
        <is>
          <t>PIX</t>
        </is>
      </c>
    </row>
    <row r="371">
      <c r="A371" t="n">
        <v>148</v>
      </c>
      <c r="B371" t="inlineStr">
        <is>
          <t>Bar Brahma - Granja</t>
        </is>
      </c>
      <c r="C371" s="27" t="n">
        <v>46036</v>
      </c>
      <c r="D371" t="n">
        <v>0</v>
      </c>
      <c r="E371" t="inlineStr">
        <is>
          <t>RAPPI</t>
        </is>
      </c>
    </row>
    <row r="372">
      <c r="A372" t="n">
        <v>148</v>
      </c>
      <c r="B372" t="inlineStr">
        <is>
          <t>Bar Brahma - Granja</t>
        </is>
      </c>
      <c r="C372" s="27" t="n">
        <v>46036</v>
      </c>
      <c r="D372" t="n">
        <v>0</v>
      </c>
      <c r="E372" t="inlineStr">
        <is>
          <t>ANTECIPADO</t>
        </is>
      </c>
    </row>
    <row r="373">
      <c r="A373" t="n">
        <v>148</v>
      </c>
      <c r="B373" t="inlineStr">
        <is>
          <t>Bar Brahma - Granja</t>
        </is>
      </c>
      <c r="C373" s="27" t="n">
        <v>46036</v>
      </c>
      <c r="D373" t="n">
        <v>3119.95</v>
      </c>
      <c r="E373" t="inlineStr">
        <is>
          <t>DÉBITO</t>
        </is>
      </c>
    </row>
    <row r="374">
      <c r="A374" t="n">
        <v>148</v>
      </c>
      <c r="B374" t="inlineStr">
        <is>
          <t>Bar Brahma - Granja</t>
        </is>
      </c>
      <c r="C374" s="27" t="n">
        <v>46036</v>
      </c>
      <c r="D374" t="n">
        <v>0</v>
      </c>
      <c r="E374" t="inlineStr">
        <is>
          <t>BÔNUS</t>
        </is>
      </c>
    </row>
    <row r="375">
      <c r="A375" t="n">
        <v>148</v>
      </c>
      <c r="B375" t="inlineStr">
        <is>
          <t>Bar Brahma - Granja</t>
        </is>
      </c>
      <c r="C375" s="27" t="n">
        <v>46036</v>
      </c>
      <c r="D375" t="n">
        <v>0</v>
      </c>
      <c r="E375" t="inlineStr">
        <is>
          <t>ANTECIPADO</t>
        </is>
      </c>
    </row>
    <row r="376">
      <c r="A376" t="n">
        <v>148</v>
      </c>
      <c r="B376" t="inlineStr">
        <is>
          <t>Bar Brahma - Granja</t>
        </is>
      </c>
      <c r="C376" s="27" t="n">
        <v>46036</v>
      </c>
      <c r="D376" t="n">
        <v>0</v>
      </c>
      <c r="E376" t="inlineStr">
        <is>
          <t>OUTROS</t>
        </is>
      </c>
    </row>
    <row r="377">
      <c r="A377" t="n">
        <v>148</v>
      </c>
      <c r="B377" t="inlineStr">
        <is>
          <t>Bar Brahma - Granja</t>
        </is>
      </c>
      <c r="C377" s="27" t="n">
        <v>46036</v>
      </c>
      <c r="D377" t="n">
        <v>0</v>
      </c>
      <c r="E377" t="inlineStr">
        <is>
          <t>AME</t>
        </is>
      </c>
    </row>
    <row r="378">
      <c r="A378" t="n">
        <v>148</v>
      </c>
      <c r="B378" t="inlineStr">
        <is>
          <t>Bar Brahma - Granja</t>
        </is>
      </c>
      <c r="C378" s="27" t="n">
        <v>46036</v>
      </c>
      <c r="D378" t="n">
        <v>305.65</v>
      </c>
      <c r="E378" t="inlineStr">
        <is>
          <t>VOUCHER</t>
        </is>
      </c>
    </row>
    <row r="379">
      <c r="A379" t="n">
        <v>148</v>
      </c>
      <c r="B379" t="inlineStr">
        <is>
          <t>Bar Brahma - Granja</t>
        </is>
      </c>
      <c r="C379" s="27" t="n">
        <v>46036</v>
      </c>
      <c r="D379" t="n">
        <v>0</v>
      </c>
      <c r="E379" t="inlineStr">
        <is>
          <t>NOTAS MANUAIS + SERVIÇO</t>
        </is>
      </c>
    </row>
    <row r="380">
      <c r="A380" t="n">
        <v>148</v>
      </c>
      <c r="B380" t="inlineStr">
        <is>
          <t>Bar Brahma - Granja</t>
        </is>
      </c>
      <c r="C380" s="27" t="n">
        <v>46036</v>
      </c>
      <c r="D380" t="n">
        <v>0</v>
      </c>
      <c r="E380" t="inlineStr">
        <is>
          <t>RECARGAS DEVOLVIDAS</t>
        </is>
      </c>
    </row>
    <row r="381">
      <c r="A381" t="n">
        <v>148</v>
      </c>
      <c r="B381" t="inlineStr">
        <is>
          <t>Bar Brahma - Granja</t>
        </is>
      </c>
      <c r="C381" s="27" t="n">
        <v>46036</v>
      </c>
      <c r="D381" t="n">
        <v>0</v>
      </c>
      <c r="E381" t="inlineStr">
        <is>
          <t>MBWAY</t>
        </is>
      </c>
    </row>
    <row r="382">
      <c r="A382" t="n">
        <v>148</v>
      </c>
      <c r="B382" t="inlineStr">
        <is>
          <t>Bar Brahma - Granja</t>
        </is>
      </c>
      <c r="C382" s="27" t="n">
        <v>46035</v>
      </c>
      <c r="D382" t="n">
        <v>776.88</v>
      </c>
      <c r="E382" t="inlineStr">
        <is>
          <t>VOUCHER</t>
        </is>
      </c>
    </row>
    <row r="383">
      <c r="A383" t="n">
        <v>148</v>
      </c>
      <c r="B383" t="inlineStr">
        <is>
          <t>Bar Brahma - Granja</t>
        </is>
      </c>
      <c r="C383" s="27" t="n">
        <v>46035</v>
      </c>
      <c r="D383" t="n">
        <v>0</v>
      </c>
      <c r="E383" t="inlineStr">
        <is>
          <t>ANTECIPADO</t>
        </is>
      </c>
    </row>
    <row r="384">
      <c r="A384" t="n">
        <v>148</v>
      </c>
      <c r="B384" t="inlineStr">
        <is>
          <t>Bar Brahma - Granja</t>
        </is>
      </c>
      <c r="C384" s="27" t="n">
        <v>46035</v>
      </c>
      <c r="D384" t="n">
        <v>0</v>
      </c>
      <c r="E384" t="inlineStr">
        <is>
          <t>UBER</t>
        </is>
      </c>
    </row>
    <row r="385">
      <c r="A385" t="n">
        <v>148</v>
      </c>
      <c r="B385" t="inlineStr">
        <is>
          <t>Bar Brahma - Granja</t>
        </is>
      </c>
      <c r="C385" s="27" t="n">
        <v>46035</v>
      </c>
      <c r="D385" t="n">
        <v>2374.71</v>
      </c>
      <c r="E385" t="inlineStr">
        <is>
          <t>CRÉDITO</t>
        </is>
      </c>
    </row>
    <row r="386">
      <c r="A386" t="n">
        <v>148</v>
      </c>
      <c r="B386" t="inlineStr">
        <is>
          <t>Bar Brahma - Granja</t>
        </is>
      </c>
      <c r="C386" s="27" t="n">
        <v>46035</v>
      </c>
      <c r="D386" t="n">
        <v>0</v>
      </c>
      <c r="E386" t="inlineStr">
        <is>
          <t>RAPPI</t>
        </is>
      </c>
    </row>
    <row r="387">
      <c r="A387" t="n">
        <v>148</v>
      </c>
      <c r="B387" t="inlineStr">
        <is>
          <t>Bar Brahma - Granja</t>
        </is>
      </c>
      <c r="C387" s="27" t="n">
        <v>46035</v>
      </c>
      <c r="D387" t="n">
        <v>0</v>
      </c>
      <c r="E387" t="inlineStr">
        <is>
          <t>DINHEIRO</t>
        </is>
      </c>
    </row>
    <row r="388">
      <c r="A388" t="n">
        <v>148</v>
      </c>
      <c r="B388" t="inlineStr">
        <is>
          <t>Bar Brahma - Granja</t>
        </is>
      </c>
      <c r="C388" s="27" t="n">
        <v>46035</v>
      </c>
      <c r="D388" t="n">
        <v>20</v>
      </c>
      <c r="E388" t="inlineStr">
        <is>
          <t>APP</t>
        </is>
      </c>
    </row>
    <row r="389">
      <c r="A389" t="n">
        <v>148</v>
      </c>
      <c r="B389" t="inlineStr">
        <is>
          <t>Bar Brahma - Granja</t>
        </is>
      </c>
      <c r="C389" s="27" t="n">
        <v>46035</v>
      </c>
      <c r="D389" t="n">
        <v>0</v>
      </c>
      <c r="E389" t="inlineStr">
        <is>
          <t>DELIVERY ONLINE</t>
        </is>
      </c>
    </row>
    <row r="390">
      <c r="A390" t="n">
        <v>148</v>
      </c>
      <c r="B390" t="inlineStr">
        <is>
          <t>Bar Brahma - Granja</t>
        </is>
      </c>
      <c r="C390" s="27" t="n">
        <v>46035</v>
      </c>
      <c r="D390" t="n">
        <v>0</v>
      </c>
      <c r="E390" t="inlineStr">
        <is>
          <t>IFOOD</t>
        </is>
      </c>
    </row>
    <row r="391">
      <c r="A391" t="n">
        <v>148</v>
      </c>
      <c r="B391" t="inlineStr">
        <is>
          <t>Bar Brahma - Granja</t>
        </is>
      </c>
      <c r="C391" s="27" t="n">
        <v>46035</v>
      </c>
      <c r="D391" t="n">
        <v>507.32</v>
      </c>
      <c r="E391" t="inlineStr">
        <is>
          <t>PIX</t>
        </is>
      </c>
    </row>
    <row r="392">
      <c r="A392" t="n">
        <v>148</v>
      </c>
      <c r="B392" t="inlineStr">
        <is>
          <t>Bar Brahma - Granja</t>
        </is>
      </c>
      <c r="C392" s="27" t="n">
        <v>46035</v>
      </c>
      <c r="D392" t="n">
        <v>0</v>
      </c>
      <c r="E392" t="inlineStr">
        <is>
          <t>BÔNUS</t>
        </is>
      </c>
    </row>
    <row r="393">
      <c r="A393" t="n">
        <v>148</v>
      </c>
      <c r="B393" t="inlineStr">
        <is>
          <t>Bar Brahma - Granja</t>
        </is>
      </c>
      <c r="C393" s="27" t="n">
        <v>46035</v>
      </c>
      <c r="D393" t="n">
        <v>0</v>
      </c>
      <c r="E393" t="inlineStr">
        <is>
          <t>ANTECIPADO</t>
        </is>
      </c>
    </row>
    <row r="394">
      <c r="A394" t="n">
        <v>148</v>
      </c>
      <c r="B394" t="inlineStr">
        <is>
          <t>Bar Brahma - Granja</t>
        </is>
      </c>
      <c r="C394" s="27" t="n">
        <v>46035</v>
      </c>
      <c r="D394" t="n">
        <v>0</v>
      </c>
      <c r="E394" t="inlineStr">
        <is>
          <t>OUTROS</t>
        </is>
      </c>
    </row>
    <row r="395">
      <c r="A395" t="n">
        <v>148</v>
      </c>
      <c r="B395" t="inlineStr">
        <is>
          <t>Bar Brahma - Granja</t>
        </is>
      </c>
      <c r="C395" s="27" t="n">
        <v>46035</v>
      </c>
      <c r="D395" t="n">
        <v>0</v>
      </c>
      <c r="E395" t="inlineStr">
        <is>
          <t>AME</t>
        </is>
      </c>
    </row>
    <row r="396">
      <c r="A396" t="n">
        <v>148</v>
      </c>
      <c r="B396" t="inlineStr">
        <is>
          <t>Bar Brahma - Granja</t>
        </is>
      </c>
      <c r="C396" s="27" t="n">
        <v>46035</v>
      </c>
      <c r="D396" t="n">
        <v>0</v>
      </c>
      <c r="E396" t="inlineStr">
        <is>
          <t>NOTAS MANUAIS + SERVIÇO</t>
        </is>
      </c>
    </row>
    <row r="397">
      <c r="A397" t="n">
        <v>148</v>
      </c>
      <c r="B397" t="inlineStr">
        <is>
          <t>Bar Brahma - Granja</t>
        </is>
      </c>
      <c r="C397" s="27" t="n">
        <v>46035</v>
      </c>
      <c r="D397" t="n">
        <v>0</v>
      </c>
      <c r="E397" t="inlineStr">
        <is>
          <t>RECARGAS DEVOLVIDAS</t>
        </is>
      </c>
    </row>
    <row r="398">
      <c r="A398" t="n">
        <v>148</v>
      </c>
      <c r="B398" t="inlineStr">
        <is>
          <t>Bar Brahma - Granja</t>
        </is>
      </c>
      <c r="C398" s="27" t="n">
        <v>46035</v>
      </c>
      <c r="D398" t="n">
        <v>0</v>
      </c>
      <c r="E398" t="inlineStr">
        <is>
          <t>VOUCHER INTEGRADO</t>
        </is>
      </c>
    </row>
    <row r="399">
      <c r="A399" t="n">
        <v>148</v>
      </c>
      <c r="B399" t="inlineStr">
        <is>
          <t>Bar Brahma - Granja</t>
        </is>
      </c>
      <c r="C399" s="27" t="n">
        <v>46035</v>
      </c>
      <c r="D399" t="n">
        <v>1410.25</v>
      </c>
      <c r="E399" t="inlineStr">
        <is>
          <t>DÉBITO</t>
        </is>
      </c>
    </row>
    <row r="400">
      <c r="A400" t="n">
        <v>148</v>
      </c>
      <c r="B400" t="inlineStr">
        <is>
          <t>Bar Brahma - Granja</t>
        </is>
      </c>
      <c r="C400" s="27" t="n">
        <v>46035</v>
      </c>
      <c r="D400" t="n">
        <v>0</v>
      </c>
      <c r="E400" t="inlineStr">
        <is>
          <t>MBWAY</t>
        </is>
      </c>
    </row>
    <row r="401">
      <c r="A401" t="n">
        <v>148</v>
      </c>
      <c r="B401" t="inlineStr">
        <is>
          <t>Bar Brahma - Granja</t>
        </is>
      </c>
      <c r="C401" s="27" t="n">
        <v>46034</v>
      </c>
      <c r="D401" t="n">
        <v>413.32</v>
      </c>
      <c r="E401" t="inlineStr">
        <is>
          <t>VOUCHER</t>
        </is>
      </c>
    </row>
    <row r="402">
      <c r="A402" t="n">
        <v>148</v>
      </c>
      <c r="B402" t="inlineStr">
        <is>
          <t>Bar Brahma - Granja</t>
        </is>
      </c>
      <c r="C402" s="27" t="n">
        <v>46034</v>
      </c>
      <c r="D402" t="n">
        <v>1463.16</v>
      </c>
      <c r="E402" t="inlineStr">
        <is>
          <t>DÉBITO</t>
        </is>
      </c>
    </row>
    <row r="403">
      <c r="A403" t="n">
        <v>148</v>
      </c>
      <c r="B403" t="inlineStr">
        <is>
          <t>Bar Brahma - Granja</t>
        </is>
      </c>
      <c r="C403" s="27" t="n">
        <v>46034</v>
      </c>
      <c r="D403" t="n">
        <v>0</v>
      </c>
      <c r="E403" t="inlineStr">
        <is>
          <t>BÔNUS</t>
        </is>
      </c>
    </row>
    <row r="404">
      <c r="A404" t="n">
        <v>148</v>
      </c>
      <c r="B404" t="inlineStr">
        <is>
          <t>Bar Brahma - Granja</t>
        </is>
      </c>
      <c r="C404" s="27" t="n">
        <v>46034</v>
      </c>
      <c r="D404" t="n">
        <v>0</v>
      </c>
      <c r="E404" t="inlineStr">
        <is>
          <t>ANTECIPADO</t>
        </is>
      </c>
    </row>
    <row r="405">
      <c r="A405" t="n">
        <v>148</v>
      </c>
      <c r="B405" t="inlineStr">
        <is>
          <t>Bar Brahma - Granja</t>
        </is>
      </c>
      <c r="C405" s="27" t="n">
        <v>46034</v>
      </c>
      <c r="D405" t="n">
        <v>0</v>
      </c>
      <c r="E405" t="inlineStr">
        <is>
          <t>OUTROS</t>
        </is>
      </c>
    </row>
    <row r="406">
      <c r="A406" t="n">
        <v>148</v>
      </c>
      <c r="B406" t="inlineStr">
        <is>
          <t>Bar Brahma - Granja</t>
        </is>
      </c>
      <c r="C406" s="27" t="n">
        <v>46034</v>
      </c>
      <c r="D406" t="n">
        <v>0</v>
      </c>
      <c r="E406" t="inlineStr">
        <is>
          <t>AME</t>
        </is>
      </c>
    </row>
    <row r="407">
      <c r="A407" t="n">
        <v>148</v>
      </c>
      <c r="B407" t="inlineStr">
        <is>
          <t>Bar Brahma - Granja</t>
        </is>
      </c>
      <c r="C407" s="27" t="n">
        <v>46034</v>
      </c>
      <c r="D407" t="n">
        <v>0</v>
      </c>
      <c r="E407" t="inlineStr">
        <is>
          <t>NOTAS MANUAIS + SERVIÇO</t>
        </is>
      </c>
    </row>
    <row r="408">
      <c r="A408" t="n">
        <v>148</v>
      </c>
      <c r="B408" t="inlineStr">
        <is>
          <t>Bar Brahma - Granja</t>
        </is>
      </c>
      <c r="C408" s="27" t="n">
        <v>46034</v>
      </c>
      <c r="D408" t="n">
        <v>0</v>
      </c>
      <c r="E408" t="inlineStr">
        <is>
          <t>RECARGAS DEVOLVIDAS</t>
        </is>
      </c>
    </row>
    <row r="409">
      <c r="A409" t="n">
        <v>148</v>
      </c>
      <c r="B409" t="inlineStr">
        <is>
          <t>Bar Brahma - Granja</t>
        </is>
      </c>
      <c r="C409" s="27" t="n">
        <v>46034</v>
      </c>
      <c r="D409" t="n">
        <v>0</v>
      </c>
      <c r="E409" t="inlineStr">
        <is>
          <t>VOUCHER INTEGRADO</t>
        </is>
      </c>
    </row>
    <row r="410">
      <c r="A410" t="n">
        <v>148</v>
      </c>
      <c r="B410" t="inlineStr">
        <is>
          <t>Bar Brahma - Granja</t>
        </is>
      </c>
      <c r="C410" s="27" t="n">
        <v>46034</v>
      </c>
      <c r="D410" t="n">
        <v>0</v>
      </c>
      <c r="E410" t="inlineStr">
        <is>
          <t>MBWAY</t>
        </is>
      </c>
    </row>
    <row r="411">
      <c r="A411" t="n">
        <v>148</v>
      </c>
      <c r="B411" t="inlineStr">
        <is>
          <t>Bar Brahma - Granja</t>
        </is>
      </c>
      <c r="C411" s="27" t="n">
        <v>46034</v>
      </c>
      <c r="D411" t="n">
        <v>0</v>
      </c>
      <c r="E411" t="inlineStr">
        <is>
          <t>UBER</t>
        </is>
      </c>
    </row>
    <row r="412">
      <c r="A412" t="n">
        <v>148</v>
      </c>
      <c r="B412" t="inlineStr">
        <is>
          <t>Bar Brahma - Granja</t>
        </is>
      </c>
      <c r="C412" s="27" t="n">
        <v>46034</v>
      </c>
      <c r="D412" t="n">
        <v>0</v>
      </c>
      <c r="E412" t="inlineStr">
        <is>
          <t>RAPPI</t>
        </is>
      </c>
    </row>
    <row r="413">
      <c r="A413" t="n">
        <v>148</v>
      </c>
      <c r="B413" t="inlineStr">
        <is>
          <t>Bar Brahma - Granja</t>
        </is>
      </c>
      <c r="C413" s="27" t="n">
        <v>46034</v>
      </c>
      <c r="D413" t="n">
        <v>1034.37</v>
      </c>
      <c r="E413" t="inlineStr">
        <is>
          <t>PIX</t>
        </is>
      </c>
    </row>
    <row r="414">
      <c r="A414" t="n">
        <v>148</v>
      </c>
      <c r="B414" t="inlineStr">
        <is>
          <t>Bar Brahma - Granja</t>
        </is>
      </c>
      <c r="C414" s="27" t="n">
        <v>46034</v>
      </c>
      <c r="D414" t="n">
        <v>0</v>
      </c>
      <c r="E414" t="inlineStr">
        <is>
          <t>IFOOD</t>
        </is>
      </c>
    </row>
    <row r="415">
      <c r="A415" t="n">
        <v>148</v>
      </c>
      <c r="B415" t="inlineStr">
        <is>
          <t>Bar Brahma - Granja</t>
        </is>
      </c>
      <c r="C415" s="27" t="n">
        <v>46034</v>
      </c>
      <c r="D415" t="n">
        <v>0</v>
      </c>
      <c r="E415" t="inlineStr">
        <is>
          <t>DELIVERY ONLINE</t>
        </is>
      </c>
    </row>
    <row r="416">
      <c r="A416" t="n">
        <v>148</v>
      </c>
      <c r="B416" t="inlineStr">
        <is>
          <t>Bar Brahma - Granja</t>
        </is>
      </c>
      <c r="C416" s="27" t="n">
        <v>46034</v>
      </c>
      <c r="D416" t="n">
        <v>0</v>
      </c>
      <c r="E416" t="inlineStr">
        <is>
          <t>APP</t>
        </is>
      </c>
    </row>
    <row r="417">
      <c r="A417" t="n">
        <v>148</v>
      </c>
      <c r="B417" t="inlineStr">
        <is>
          <t>Bar Brahma - Granja</t>
        </is>
      </c>
      <c r="C417" s="27" t="n">
        <v>46034</v>
      </c>
      <c r="D417" t="n">
        <v>473.63</v>
      </c>
      <c r="E417" t="inlineStr">
        <is>
          <t>DINHEIRO</t>
        </is>
      </c>
    </row>
    <row r="418">
      <c r="A418" t="n">
        <v>148</v>
      </c>
      <c r="B418" t="inlineStr">
        <is>
          <t>Bar Brahma - Granja</t>
        </is>
      </c>
      <c r="C418" s="27" t="n">
        <v>46034</v>
      </c>
      <c r="D418" t="n">
        <v>0</v>
      </c>
      <c r="E418" t="inlineStr">
        <is>
          <t>ANTECIPADO</t>
        </is>
      </c>
    </row>
    <row r="419">
      <c r="A419" t="n">
        <v>148</v>
      </c>
      <c r="B419" t="inlineStr">
        <is>
          <t>Bar Brahma - Granja</t>
        </is>
      </c>
      <c r="C419" s="27" t="n">
        <v>46034</v>
      </c>
      <c r="D419" t="n">
        <v>2913.5</v>
      </c>
      <c r="E419" t="inlineStr">
        <is>
          <t>CRÉDITO</t>
        </is>
      </c>
    </row>
    <row r="420">
      <c r="A420" t="n">
        <v>148</v>
      </c>
      <c r="B420" t="inlineStr">
        <is>
          <t>Bar Brahma - Granja</t>
        </is>
      </c>
      <c r="C420" s="27" t="n">
        <v>46033</v>
      </c>
      <c r="D420" t="n">
        <v>32</v>
      </c>
      <c r="E420" t="inlineStr">
        <is>
          <t>APP</t>
        </is>
      </c>
    </row>
    <row r="421">
      <c r="A421" t="n">
        <v>148</v>
      </c>
      <c r="B421" t="inlineStr">
        <is>
          <t>Bar Brahma - Granja</t>
        </is>
      </c>
      <c r="C421" s="27" t="n">
        <v>46033</v>
      </c>
      <c r="D421" t="n">
        <v>0</v>
      </c>
      <c r="E421" t="inlineStr">
        <is>
          <t>BÔNUS</t>
        </is>
      </c>
    </row>
    <row r="422">
      <c r="A422" t="n">
        <v>148</v>
      </c>
      <c r="B422" t="inlineStr">
        <is>
          <t>Bar Brahma - Granja</t>
        </is>
      </c>
      <c r="C422" s="27" t="n">
        <v>46033</v>
      </c>
      <c r="D422" t="n">
        <v>5832.26</v>
      </c>
      <c r="E422" t="inlineStr">
        <is>
          <t>DÉBITO</t>
        </is>
      </c>
    </row>
    <row r="423">
      <c r="A423" t="n">
        <v>148</v>
      </c>
      <c r="B423" t="inlineStr">
        <is>
          <t>Bar Brahma - Granja</t>
        </is>
      </c>
      <c r="C423" s="27" t="n">
        <v>46033</v>
      </c>
      <c r="D423" t="n">
        <v>1726.48</v>
      </c>
      <c r="E423" t="inlineStr">
        <is>
          <t>VOUCHER</t>
        </is>
      </c>
    </row>
    <row r="424">
      <c r="A424" t="n">
        <v>148</v>
      </c>
      <c r="B424" t="inlineStr">
        <is>
          <t>Bar Brahma - Granja</t>
        </is>
      </c>
      <c r="C424" s="27" t="n">
        <v>46033</v>
      </c>
      <c r="D424" t="n">
        <v>0</v>
      </c>
      <c r="E424" t="inlineStr">
        <is>
          <t>ANTECIPADO</t>
        </is>
      </c>
    </row>
    <row r="425">
      <c r="A425" t="n">
        <v>148</v>
      </c>
      <c r="B425" t="inlineStr">
        <is>
          <t>Bar Brahma - Granja</t>
        </is>
      </c>
      <c r="C425" s="27" t="n">
        <v>46033</v>
      </c>
      <c r="D425" t="n">
        <v>0</v>
      </c>
      <c r="E425" t="inlineStr">
        <is>
          <t>UBER</t>
        </is>
      </c>
    </row>
    <row r="426">
      <c r="A426" t="n">
        <v>148</v>
      </c>
      <c r="B426" t="inlineStr">
        <is>
          <t>Bar Brahma - Granja</t>
        </is>
      </c>
      <c r="C426" s="27" t="n">
        <v>46033</v>
      </c>
      <c r="D426" t="n">
        <v>0</v>
      </c>
      <c r="E426" t="inlineStr">
        <is>
          <t>RAPPI</t>
        </is>
      </c>
    </row>
    <row r="427">
      <c r="A427" t="n">
        <v>148</v>
      </c>
      <c r="B427" t="inlineStr">
        <is>
          <t>Bar Brahma - Granja</t>
        </is>
      </c>
      <c r="C427" s="27" t="n">
        <v>46033</v>
      </c>
      <c r="D427" t="n">
        <v>2686.17</v>
      </c>
      <c r="E427" t="inlineStr">
        <is>
          <t>PIX</t>
        </is>
      </c>
    </row>
    <row r="428">
      <c r="A428" t="n">
        <v>148</v>
      </c>
      <c r="B428" t="inlineStr">
        <is>
          <t>Bar Brahma - Granja</t>
        </is>
      </c>
      <c r="C428" s="27" t="n">
        <v>46033</v>
      </c>
      <c r="D428" t="n">
        <v>0</v>
      </c>
      <c r="E428" t="inlineStr">
        <is>
          <t>IFOOD</t>
        </is>
      </c>
    </row>
    <row r="429">
      <c r="A429" t="n">
        <v>148</v>
      </c>
      <c r="B429" t="inlineStr">
        <is>
          <t>Bar Brahma - Granja</t>
        </is>
      </c>
      <c r="C429" s="27" t="n">
        <v>46033</v>
      </c>
      <c r="D429" t="n">
        <v>0</v>
      </c>
      <c r="E429" t="inlineStr">
        <is>
          <t>DELIVERY ONLINE</t>
        </is>
      </c>
    </row>
    <row r="430">
      <c r="A430" t="n">
        <v>148</v>
      </c>
      <c r="B430" t="inlineStr">
        <is>
          <t>Bar Brahma - Granja</t>
        </is>
      </c>
      <c r="C430" s="27" t="n">
        <v>46033</v>
      </c>
      <c r="D430" t="n">
        <v>1391.85</v>
      </c>
      <c r="E430" t="inlineStr">
        <is>
          <t>DINHEIRO</t>
        </is>
      </c>
    </row>
    <row r="431">
      <c r="A431" t="n">
        <v>148</v>
      </c>
      <c r="B431" t="inlineStr">
        <is>
          <t>Bar Brahma - Granja</t>
        </is>
      </c>
      <c r="C431" s="27" t="n">
        <v>46033</v>
      </c>
      <c r="D431" t="n">
        <v>13255.33</v>
      </c>
      <c r="E431" t="inlineStr">
        <is>
          <t>CRÉDITO</t>
        </is>
      </c>
    </row>
    <row r="432">
      <c r="A432" t="n">
        <v>148</v>
      </c>
      <c r="B432" t="inlineStr">
        <is>
          <t>Bar Brahma - Granja</t>
        </is>
      </c>
      <c r="C432" s="27" t="n">
        <v>46033</v>
      </c>
      <c r="D432" t="n">
        <v>0</v>
      </c>
      <c r="E432" t="inlineStr">
        <is>
          <t>MBWAY</t>
        </is>
      </c>
    </row>
    <row r="433">
      <c r="A433" t="n">
        <v>148</v>
      </c>
      <c r="B433" t="inlineStr">
        <is>
          <t>Bar Brahma - Granja</t>
        </is>
      </c>
      <c r="C433" s="27" t="n">
        <v>46033</v>
      </c>
      <c r="D433" t="n">
        <v>0</v>
      </c>
      <c r="E433" t="inlineStr">
        <is>
          <t>VOUCHER INTEGRADO</t>
        </is>
      </c>
    </row>
    <row r="434">
      <c r="A434" t="n">
        <v>148</v>
      </c>
      <c r="B434" t="inlineStr">
        <is>
          <t>Bar Brahma - Granja</t>
        </is>
      </c>
      <c r="C434" s="27" t="n">
        <v>46033</v>
      </c>
      <c r="D434" t="n">
        <v>0</v>
      </c>
      <c r="E434" t="inlineStr">
        <is>
          <t>RECARGAS DEVOLVIDAS</t>
        </is>
      </c>
    </row>
    <row r="435">
      <c r="A435" t="n">
        <v>148</v>
      </c>
      <c r="B435" t="inlineStr">
        <is>
          <t>Bar Brahma - Granja</t>
        </is>
      </c>
      <c r="C435" s="27" t="n">
        <v>46033</v>
      </c>
      <c r="D435" t="n">
        <v>0</v>
      </c>
      <c r="E435" t="inlineStr">
        <is>
          <t>NOTAS MANUAIS + SERVIÇO</t>
        </is>
      </c>
    </row>
    <row r="436">
      <c r="A436" t="n">
        <v>148</v>
      </c>
      <c r="B436" t="inlineStr">
        <is>
          <t>Bar Brahma - Granja</t>
        </is>
      </c>
      <c r="C436" s="27" t="n">
        <v>46033</v>
      </c>
      <c r="D436" t="n">
        <v>0</v>
      </c>
      <c r="E436" t="inlineStr">
        <is>
          <t>AME</t>
        </is>
      </c>
    </row>
    <row r="437">
      <c r="A437" t="n">
        <v>148</v>
      </c>
      <c r="B437" t="inlineStr">
        <is>
          <t>Bar Brahma - Granja</t>
        </is>
      </c>
      <c r="C437" s="27" t="n">
        <v>46033</v>
      </c>
      <c r="D437" t="n">
        <v>0</v>
      </c>
      <c r="E437" t="inlineStr">
        <is>
          <t>OUTROS</t>
        </is>
      </c>
    </row>
    <row r="438">
      <c r="A438" t="n">
        <v>148</v>
      </c>
      <c r="B438" t="inlineStr">
        <is>
          <t>Bar Brahma - Granja</t>
        </is>
      </c>
      <c r="C438" s="27" t="n">
        <v>46033</v>
      </c>
      <c r="D438" t="n">
        <v>0</v>
      </c>
      <c r="E438" t="inlineStr">
        <is>
          <t>ANTECIPADO</t>
        </is>
      </c>
    </row>
    <row r="439">
      <c r="A439" t="n">
        <v>148</v>
      </c>
      <c r="B439" t="inlineStr">
        <is>
          <t>Bar Brahma - Granja</t>
        </is>
      </c>
      <c r="C439" s="27" t="n">
        <v>46032</v>
      </c>
      <c r="D439" t="n">
        <v>28939.51</v>
      </c>
      <c r="E439" t="inlineStr">
        <is>
          <t>CRÉDITO</t>
        </is>
      </c>
    </row>
    <row r="440">
      <c r="A440" t="n">
        <v>148</v>
      </c>
      <c r="B440" t="inlineStr">
        <is>
          <t>Bar Brahma - Granja</t>
        </is>
      </c>
      <c r="C440" s="27" t="n">
        <v>46032</v>
      </c>
      <c r="D440" t="n">
        <v>0</v>
      </c>
      <c r="E440" t="inlineStr">
        <is>
          <t>RECARGAS DEVOLVIDAS</t>
        </is>
      </c>
    </row>
    <row r="441">
      <c r="A441" t="n">
        <v>148</v>
      </c>
      <c r="B441" t="inlineStr">
        <is>
          <t>Bar Brahma - Granja</t>
        </is>
      </c>
      <c r="C441" s="27" t="n">
        <v>46032</v>
      </c>
      <c r="D441" t="n">
        <v>0</v>
      </c>
      <c r="E441" t="inlineStr">
        <is>
          <t>MBWAY</t>
        </is>
      </c>
    </row>
    <row r="442">
      <c r="A442" t="n">
        <v>148</v>
      </c>
      <c r="B442" t="inlineStr">
        <is>
          <t>Bar Brahma - Granja</t>
        </is>
      </c>
      <c r="C442" s="27" t="n">
        <v>46032</v>
      </c>
      <c r="D442" t="n">
        <v>0</v>
      </c>
      <c r="E442" t="inlineStr">
        <is>
          <t>VOUCHER INTEGRADO</t>
        </is>
      </c>
    </row>
    <row r="443">
      <c r="A443" t="n">
        <v>148</v>
      </c>
      <c r="B443" t="inlineStr">
        <is>
          <t>Bar Brahma - Granja</t>
        </is>
      </c>
      <c r="C443" s="27" t="n">
        <v>46032</v>
      </c>
      <c r="D443" t="n">
        <v>0</v>
      </c>
      <c r="E443" t="inlineStr">
        <is>
          <t>NOTAS MANUAIS + SERVIÇO</t>
        </is>
      </c>
    </row>
    <row r="444">
      <c r="A444" t="n">
        <v>148</v>
      </c>
      <c r="B444" t="inlineStr">
        <is>
          <t>Bar Brahma - Granja</t>
        </is>
      </c>
      <c r="C444" s="27" t="n">
        <v>46032</v>
      </c>
      <c r="D444" t="n">
        <v>0</v>
      </c>
      <c r="E444" t="inlineStr">
        <is>
          <t>AME</t>
        </is>
      </c>
    </row>
    <row r="445">
      <c r="A445" t="n">
        <v>148</v>
      </c>
      <c r="B445" t="inlineStr">
        <is>
          <t>Bar Brahma - Granja</t>
        </is>
      </c>
      <c r="C445" s="27" t="n">
        <v>46032</v>
      </c>
      <c r="D445" t="n">
        <v>0</v>
      </c>
      <c r="E445" t="inlineStr">
        <is>
          <t>OUTROS</t>
        </is>
      </c>
    </row>
    <row r="446">
      <c r="A446" t="n">
        <v>148</v>
      </c>
      <c r="B446" t="inlineStr">
        <is>
          <t>Bar Brahma - Granja</t>
        </is>
      </c>
      <c r="C446" s="27" t="n">
        <v>46032</v>
      </c>
      <c r="D446" t="n">
        <v>1048.55</v>
      </c>
      <c r="E446" t="inlineStr">
        <is>
          <t>DINHEIRO</t>
        </is>
      </c>
    </row>
    <row r="447">
      <c r="A447" t="n">
        <v>148</v>
      </c>
      <c r="B447" t="inlineStr">
        <is>
          <t>Bar Brahma - Granja</t>
        </is>
      </c>
      <c r="C447" s="27" t="n">
        <v>46032</v>
      </c>
      <c r="D447" t="n">
        <v>6.1</v>
      </c>
      <c r="E447" t="inlineStr">
        <is>
          <t>APP</t>
        </is>
      </c>
    </row>
    <row r="448">
      <c r="A448" t="n">
        <v>148</v>
      </c>
      <c r="B448" t="inlineStr">
        <is>
          <t>Bar Brahma - Granja</t>
        </is>
      </c>
      <c r="C448" s="27" t="n">
        <v>46032</v>
      </c>
      <c r="D448" t="n">
        <v>0</v>
      </c>
      <c r="E448" t="inlineStr">
        <is>
          <t>DELIVERY ONLINE</t>
        </is>
      </c>
    </row>
    <row r="449">
      <c r="A449" t="n">
        <v>148</v>
      </c>
      <c r="B449" t="inlineStr">
        <is>
          <t>Bar Brahma - Granja</t>
        </is>
      </c>
      <c r="C449" s="27" t="n">
        <v>46032</v>
      </c>
      <c r="D449" t="n">
        <v>0</v>
      </c>
      <c r="E449" t="inlineStr">
        <is>
          <t>IFOOD</t>
        </is>
      </c>
    </row>
    <row r="450">
      <c r="A450" t="n">
        <v>148</v>
      </c>
      <c r="B450" t="inlineStr">
        <is>
          <t>Bar Brahma - Granja</t>
        </is>
      </c>
      <c r="C450" s="27" t="n">
        <v>46032</v>
      </c>
      <c r="D450" t="n">
        <v>6184.92</v>
      </c>
      <c r="E450" t="inlineStr">
        <is>
          <t>PIX</t>
        </is>
      </c>
    </row>
    <row r="451">
      <c r="A451" t="n">
        <v>148</v>
      </c>
      <c r="B451" t="inlineStr">
        <is>
          <t>Bar Brahma - Granja</t>
        </is>
      </c>
      <c r="C451" s="27" t="n">
        <v>46032</v>
      </c>
      <c r="D451" t="n">
        <v>0</v>
      </c>
      <c r="E451" t="inlineStr">
        <is>
          <t>RAPPI</t>
        </is>
      </c>
    </row>
    <row r="452">
      <c r="A452" t="n">
        <v>148</v>
      </c>
      <c r="B452" t="inlineStr">
        <is>
          <t>Bar Brahma - Granja</t>
        </is>
      </c>
      <c r="C452" s="27" t="n">
        <v>46032</v>
      </c>
      <c r="D452" t="n">
        <v>0</v>
      </c>
      <c r="E452" t="inlineStr">
        <is>
          <t>UBER</t>
        </is>
      </c>
    </row>
    <row r="453">
      <c r="A453" t="n">
        <v>148</v>
      </c>
      <c r="B453" t="inlineStr">
        <is>
          <t>Bar Brahma - Granja</t>
        </is>
      </c>
      <c r="C453" s="27" t="n">
        <v>46032</v>
      </c>
      <c r="D453" t="n">
        <v>0</v>
      </c>
      <c r="E453" t="inlineStr">
        <is>
          <t>ANTECIPADO</t>
        </is>
      </c>
    </row>
    <row r="454">
      <c r="A454" t="n">
        <v>148</v>
      </c>
      <c r="B454" t="inlineStr">
        <is>
          <t>Bar Brahma - Granja</t>
        </is>
      </c>
      <c r="C454" s="27" t="n">
        <v>46032</v>
      </c>
      <c r="D454" t="n">
        <v>2497.35</v>
      </c>
      <c r="E454" t="inlineStr">
        <is>
          <t>VOUCHER</t>
        </is>
      </c>
    </row>
    <row r="455">
      <c r="A455" t="n">
        <v>148</v>
      </c>
      <c r="B455" t="inlineStr">
        <is>
          <t>Bar Brahma - Granja</t>
        </is>
      </c>
      <c r="C455" s="27" t="n">
        <v>46032</v>
      </c>
      <c r="D455" t="n">
        <v>16548.9</v>
      </c>
      <c r="E455" t="inlineStr">
        <is>
          <t>DÉBITO</t>
        </is>
      </c>
    </row>
    <row r="456">
      <c r="A456" t="n">
        <v>148</v>
      </c>
      <c r="B456" t="inlineStr">
        <is>
          <t>Bar Brahma - Granja</t>
        </is>
      </c>
      <c r="C456" s="27" t="n">
        <v>46032</v>
      </c>
      <c r="D456" t="n">
        <v>0</v>
      </c>
      <c r="E456" t="inlineStr">
        <is>
          <t>BÔNUS</t>
        </is>
      </c>
    </row>
    <row r="457">
      <c r="A457" t="n">
        <v>148</v>
      </c>
      <c r="B457" t="inlineStr">
        <is>
          <t>Bar Brahma - Granja</t>
        </is>
      </c>
      <c r="C457" s="27" t="n">
        <v>46032</v>
      </c>
      <c r="D457" t="n">
        <v>0</v>
      </c>
      <c r="E457" t="inlineStr">
        <is>
          <t>ANTECIPADO</t>
        </is>
      </c>
    </row>
    <row r="458">
      <c r="A458" t="n">
        <v>148</v>
      </c>
      <c r="B458" t="inlineStr">
        <is>
          <t>Bar Brahma - Granja</t>
        </is>
      </c>
      <c r="C458" s="27" t="n">
        <v>46031</v>
      </c>
      <c r="D458" t="n">
        <v>0</v>
      </c>
      <c r="E458" t="inlineStr">
        <is>
          <t>ANTECIPADO</t>
        </is>
      </c>
    </row>
    <row r="459">
      <c r="A459" t="n">
        <v>148</v>
      </c>
      <c r="B459" t="inlineStr">
        <is>
          <t>Bar Brahma - Granja</t>
        </is>
      </c>
      <c r="C459" s="27" t="n">
        <v>46031</v>
      </c>
      <c r="D459" t="n">
        <v>0</v>
      </c>
      <c r="E459" t="inlineStr">
        <is>
          <t>BÔNUS</t>
        </is>
      </c>
    </row>
    <row r="460">
      <c r="A460" t="n">
        <v>148</v>
      </c>
      <c r="B460" t="inlineStr">
        <is>
          <t>Bar Brahma - Granja</t>
        </is>
      </c>
      <c r="C460" s="27" t="n">
        <v>46031</v>
      </c>
      <c r="D460" t="n">
        <v>10751.48</v>
      </c>
      <c r="E460" t="inlineStr">
        <is>
          <t>DÉBITO</t>
        </is>
      </c>
    </row>
    <row r="461">
      <c r="A461" t="n">
        <v>148</v>
      </c>
      <c r="B461" t="inlineStr">
        <is>
          <t>Bar Brahma - Granja</t>
        </is>
      </c>
      <c r="C461" s="27" t="n">
        <v>46031</v>
      </c>
      <c r="D461" t="n">
        <v>1448.84</v>
      </c>
      <c r="E461" t="inlineStr">
        <is>
          <t>VOUCHER</t>
        </is>
      </c>
    </row>
    <row r="462">
      <c r="A462" t="n">
        <v>148</v>
      </c>
      <c r="B462" t="inlineStr">
        <is>
          <t>Bar Brahma - Granja</t>
        </is>
      </c>
      <c r="C462" s="27" t="n">
        <v>46031</v>
      </c>
      <c r="D462" t="n">
        <v>0</v>
      </c>
      <c r="E462" t="inlineStr">
        <is>
          <t>ANTECIPADO</t>
        </is>
      </c>
    </row>
    <row r="463">
      <c r="A463" t="n">
        <v>148</v>
      </c>
      <c r="B463" t="inlineStr">
        <is>
          <t>Bar Brahma - Granja</t>
        </is>
      </c>
      <c r="C463" s="27" t="n">
        <v>46031</v>
      </c>
      <c r="D463" t="n">
        <v>0</v>
      </c>
      <c r="E463" t="inlineStr">
        <is>
          <t>UBER</t>
        </is>
      </c>
    </row>
    <row r="464">
      <c r="A464" t="n">
        <v>148</v>
      </c>
      <c r="B464" t="inlineStr">
        <is>
          <t>Bar Brahma - Granja</t>
        </is>
      </c>
      <c r="C464" s="27" t="n">
        <v>46031</v>
      </c>
      <c r="D464" t="n">
        <v>0</v>
      </c>
      <c r="E464" t="inlineStr">
        <is>
          <t>RAPPI</t>
        </is>
      </c>
    </row>
    <row r="465">
      <c r="A465" t="n">
        <v>148</v>
      </c>
      <c r="B465" t="inlineStr">
        <is>
          <t>Bar Brahma - Granja</t>
        </is>
      </c>
      <c r="C465" s="27" t="n">
        <v>46031</v>
      </c>
      <c r="D465" t="n">
        <v>815.9400000000001</v>
      </c>
      <c r="E465" t="inlineStr">
        <is>
          <t>PIX</t>
        </is>
      </c>
    </row>
    <row r="466">
      <c r="A466" t="n">
        <v>148</v>
      </c>
      <c r="B466" t="inlineStr">
        <is>
          <t>Bar Brahma - Granja</t>
        </is>
      </c>
      <c r="C466" s="27" t="n">
        <v>46031</v>
      </c>
      <c r="D466" t="n">
        <v>0</v>
      </c>
      <c r="E466" t="inlineStr">
        <is>
          <t>IFOOD</t>
        </is>
      </c>
    </row>
    <row r="467">
      <c r="A467" t="n">
        <v>148</v>
      </c>
      <c r="B467" t="inlineStr">
        <is>
          <t>Bar Brahma - Granja</t>
        </is>
      </c>
      <c r="C467" s="27" t="n">
        <v>46031</v>
      </c>
      <c r="D467" t="n">
        <v>0</v>
      </c>
      <c r="E467" t="inlineStr">
        <is>
          <t>DELIVERY ONLINE</t>
        </is>
      </c>
    </row>
    <row r="468">
      <c r="A468" t="n">
        <v>148</v>
      </c>
      <c r="B468" t="inlineStr">
        <is>
          <t>Bar Brahma - Granja</t>
        </is>
      </c>
      <c r="C468" s="27" t="n">
        <v>46031</v>
      </c>
      <c r="D468" t="n">
        <v>54.44</v>
      </c>
      <c r="E468" t="inlineStr">
        <is>
          <t>APP</t>
        </is>
      </c>
    </row>
    <row r="469">
      <c r="A469" t="n">
        <v>148</v>
      </c>
      <c r="B469" t="inlineStr">
        <is>
          <t>Bar Brahma - Granja</t>
        </is>
      </c>
      <c r="C469" s="27" t="n">
        <v>46031</v>
      </c>
      <c r="D469" t="n">
        <v>550</v>
      </c>
      <c r="E469" t="inlineStr">
        <is>
          <t>DINHEIRO</t>
        </is>
      </c>
    </row>
    <row r="470">
      <c r="A470" t="n">
        <v>148</v>
      </c>
      <c r="B470" t="inlineStr">
        <is>
          <t>Bar Brahma - Granja</t>
        </is>
      </c>
      <c r="C470" s="27" t="n">
        <v>46031</v>
      </c>
      <c r="D470" t="n">
        <v>15626.26</v>
      </c>
      <c r="E470" t="inlineStr">
        <is>
          <t>CRÉDITO</t>
        </is>
      </c>
    </row>
    <row r="471">
      <c r="A471" t="n">
        <v>148</v>
      </c>
      <c r="B471" t="inlineStr">
        <is>
          <t>Bar Brahma - Granja</t>
        </is>
      </c>
      <c r="C471" s="27" t="n">
        <v>46031</v>
      </c>
      <c r="D471" t="n">
        <v>0</v>
      </c>
      <c r="E471" t="inlineStr">
        <is>
          <t>OUTROS</t>
        </is>
      </c>
    </row>
    <row r="472">
      <c r="A472" t="n">
        <v>148</v>
      </c>
      <c r="B472" t="inlineStr">
        <is>
          <t>Bar Brahma - Granja</t>
        </is>
      </c>
      <c r="C472" s="27" t="n">
        <v>46031</v>
      </c>
      <c r="D472" t="n">
        <v>0</v>
      </c>
      <c r="E472" t="inlineStr">
        <is>
          <t>AME</t>
        </is>
      </c>
    </row>
    <row r="473">
      <c r="A473" t="n">
        <v>148</v>
      </c>
      <c r="B473" t="inlineStr">
        <is>
          <t>Bar Brahma - Granja</t>
        </is>
      </c>
      <c r="C473" s="27" t="n">
        <v>46031</v>
      </c>
      <c r="D473" t="n">
        <v>0</v>
      </c>
      <c r="E473" t="inlineStr">
        <is>
          <t>NOTAS MANUAIS + SERVIÇO</t>
        </is>
      </c>
    </row>
    <row r="474">
      <c r="A474" t="n">
        <v>148</v>
      </c>
      <c r="B474" t="inlineStr">
        <is>
          <t>Bar Brahma - Granja</t>
        </is>
      </c>
      <c r="C474" s="27" t="n">
        <v>46031</v>
      </c>
      <c r="D474" t="n">
        <v>0</v>
      </c>
      <c r="E474" t="inlineStr">
        <is>
          <t>RECARGAS DEVOLVIDAS</t>
        </is>
      </c>
    </row>
    <row r="475">
      <c r="A475" t="n">
        <v>148</v>
      </c>
      <c r="B475" t="inlineStr">
        <is>
          <t>Bar Brahma - Granja</t>
        </is>
      </c>
      <c r="C475" s="27" t="n">
        <v>46031</v>
      </c>
      <c r="D475" t="n">
        <v>0</v>
      </c>
      <c r="E475" t="inlineStr">
        <is>
          <t>VOUCHER INTEGRADO</t>
        </is>
      </c>
    </row>
    <row r="476">
      <c r="A476" t="n">
        <v>148</v>
      </c>
      <c r="B476" t="inlineStr">
        <is>
          <t>Bar Brahma - Granja</t>
        </is>
      </c>
      <c r="C476" s="27" t="n">
        <v>46031</v>
      </c>
      <c r="D476" t="n">
        <v>0</v>
      </c>
      <c r="E476" t="inlineStr">
        <is>
          <t>MBWAY</t>
        </is>
      </c>
    </row>
    <row r="477">
      <c r="A477" t="n">
        <v>148</v>
      </c>
      <c r="B477" t="inlineStr">
        <is>
          <t>Bar Brahma - Granja</t>
        </is>
      </c>
      <c r="C477" s="27" t="n">
        <v>46030</v>
      </c>
      <c r="D477" t="n">
        <v>0</v>
      </c>
      <c r="E477" t="inlineStr">
        <is>
          <t>DELIVERY ONLINE</t>
        </is>
      </c>
    </row>
    <row r="478">
      <c r="A478" t="n">
        <v>148</v>
      </c>
      <c r="B478" t="inlineStr">
        <is>
          <t>Bar Brahma - Granja</t>
        </is>
      </c>
      <c r="C478" s="27" t="n">
        <v>46030</v>
      </c>
      <c r="D478" t="n">
        <v>6137.94</v>
      </c>
      <c r="E478" t="inlineStr">
        <is>
          <t>CRÉDITO</t>
        </is>
      </c>
    </row>
    <row r="479">
      <c r="A479" t="n">
        <v>148</v>
      </c>
      <c r="B479" t="inlineStr">
        <is>
          <t>Bar Brahma - Granja</t>
        </is>
      </c>
      <c r="C479" s="27" t="n">
        <v>46030</v>
      </c>
      <c r="D479" t="n">
        <v>0</v>
      </c>
      <c r="E479" t="inlineStr">
        <is>
          <t>IFOOD</t>
        </is>
      </c>
    </row>
    <row r="480">
      <c r="A480" t="n">
        <v>148</v>
      </c>
      <c r="B480" t="inlineStr">
        <is>
          <t>Bar Brahma - Granja</t>
        </is>
      </c>
      <c r="C480" s="27" t="n">
        <v>46030</v>
      </c>
      <c r="D480" t="n">
        <v>0</v>
      </c>
      <c r="E480" t="inlineStr">
        <is>
          <t>APP</t>
        </is>
      </c>
    </row>
    <row r="481">
      <c r="A481" t="n">
        <v>148</v>
      </c>
      <c r="B481" t="inlineStr">
        <is>
          <t>Bar Brahma - Granja</t>
        </is>
      </c>
      <c r="C481" s="27" t="n">
        <v>46030</v>
      </c>
      <c r="D481" t="n">
        <v>0</v>
      </c>
      <c r="E481" t="inlineStr">
        <is>
          <t>DINHEIRO</t>
        </is>
      </c>
    </row>
    <row r="482">
      <c r="A482" t="n">
        <v>148</v>
      </c>
      <c r="B482" t="inlineStr">
        <is>
          <t>Bar Brahma - Granja</t>
        </is>
      </c>
      <c r="C482" s="27" t="n">
        <v>46030</v>
      </c>
      <c r="D482" t="n">
        <v>1891.54</v>
      </c>
      <c r="E482" t="inlineStr">
        <is>
          <t>PIX</t>
        </is>
      </c>
    </row>
    <row r="483">
      <c r="A483" t="n">
        <v>148</v>
      </c>
      <c r="B483" t="inlineStr">
        <is>
          <t>Bar Brahma - Granja</t>
        </is>
      </c>
      <c r="C483" s="27" t="n">
        <v>46030</v>
      </c>
      <c r="D483" t="n">
        <v>0</v>
      </c>
      <c r="E483" t="inlineStr">
        <is>
          <t>RAPPI</t>
        </is>
      </c>
    </row>
    <row r="484">
      <c r="A484" t="n">
        <v>148</v>
      </c>
      <c r="B484" t="inlineStr">
        <is>
          <t>Bar Brahma - Granja</t>
        </is>
      </c>
      <c r="C484" s="27" t="n">
        <v>46030</v>
      </c>
      <c r="D484" t="n">
        <v>0</v>
      </c>
      <c r="E484" t="inlineStr">
        <is>
          <t>UBER</t>
        </is>
      </c>
    </row>
    <row r="485">
      <c r="A485" t="n">
        <v>148</v>
      </c>
      <c r="B485" t="inlineStr">
        <is>
          <t>Bar Brahma - Granja</t>
        </is>
      </c>
      <c r="C485" s="27" t="n">
        <v>46030</v>
      </c>
      <c r="D485" t="n">
        <v>0</v>
      </c>
      <c r="E485" t="inlineStr">
        <is>
          <t>ANTECIPADO</t>
        </is>
      </c>
    </row>
    <row r="486">
      <c r="A486" t="n">
        <v>148</v>
      </c>
      <c r="B486" t="inlineStr">
        <is>
          <t>Bar Brahma - Granja</t>
        </is>
      </c>
      <c r="C486" s="27" t="n">
        <v>46030</v>
      </c>
      <c r="D486" t="n">
        <v>412.49</v>
      </c>
      <c r="E486" t="inlineStr">
        <is>
          <t>VOUCHER</t>
        </is>
      </c>
    </row>
    <row r="487">
      <c r="A487" t="n">
        <v>148</v>
      </c>
      <c r="B487" t="inlineStr">
        <is>
          <t>Bar Brahma - Granja</t>
        </is>
      </c>
      <c r="C487" s="27" t="n">
        <v>46030</v>
      </c>
      <c r="D487" t="n">
        <v>3213.12</v>
      </c>
      <c r="E487" t="inlineStr">
        <is>
          <t>DÉBITO</t>
        </is>
      </c>
    </row>
    <row r="488">
      <c r="A488" t="n">
        <v>148</v>
      </c>
      <c r="B488" t="inlineStr">
        <is>
          <t>Bar Brahma - Granja</t>
        </is>
      </c>
      <c r="C488" s="27" t="n">
        <v>46030</v>
      </c>
      <c r="D488" t="n">
        <v>0</v>
      </c>
      <c r="E488" t="inlineStr">
        <is>
          <t>ANTECIPADO</t>
        </is>
      </c>
    </row>
    <row r="489">
      <c r="A489" t="n">
        <v>148</v>
      </c>
      <c r="B489" t="inlineStr">
        <is>
          <t>Bar Brahma - Granja</t>
        </is>
      </c>
      <c r="C489" s="27" t="n">
        <v>46030</v>
      </c>
      <c r="D489" t="n">
        <v>0</v>
      </c>
      <c r="E489" t="inlineStr">
        <is>
          <t>OUTROS</t>
        </is>
      </c>
    </row>
    <row r="490">
      <c r="A490" t="n">
        <v>148</v>
      </c>
      <c r="B490" t="inlineStr">
        <is>
          <t>Bar Brahma - Granja</t>
        </is>
      </c>
      <c r="C490" s="27" t="n">
        <v>46030</v>
      </c>
      <c r="D490" t="n">
        <v>0</v>
      </c>
      <c r="E490" t="inlineStr">
        <is>
          <t>AME</t>
        </is>
      </c>
    </row>
    <row r="491">
      <c r="A491" t="n">
        <v>148</v>
      </c>
      <c r="B491" t="inlineStr">
        <is>
          <t>Bar Brahma - Granja</t>
        </is>
      </c>
      <c r="C491" s="27" t="n">
        <v>46030</v>
      </c>
      <c r="D491" t="n">
        <v>0</v>
      </c>
      <c r="E491" t="inlineStr">
        <is>
          <t>NOTAS MANUAIS + SERVIÇO</t>
        </is>
      </c>
    </row>
    <row r="492">
      <c r="A492" t="n">
        <v>148</v>
      </c>
      <c r="B492" t="inlineStr">
        <is>
          <t>Bar Brahma - Granja</t>
        </is>
      </c>
      <c r="C492" s="27" t="n">
        <v>46030</v>
      </c>
      <c r="D492" t="n">
        <v>0</v>
      </c>
      <c r="E492" t="inlineStr">
        <is>
          <t>RECARGAS DEVOLVIDAS</t>
        </is>
      </c>
    </row>
    <row r="493">
      <c r="A493" t="n">
        <v>148</v>
      </c>
      <c r="B493" t="inlineStr">
        <is>
          <t>Bar Brahma - Granja</t>
        </is>
      </c>
      <c r="C493" s="27" t="n">
        <v>46030</v>
      </c>
      <c r="D493" t="n">
        <v>0</v>
      </c>
      <c r="E493" t="inlineStr">
        <is>
          <t>VOUCHER INTEGRADO</t>
        </is>
      </c>
    </row>
    <row r="494">
      <c r="A494" t="n">
        <v>148</v>
      </c>
      <c r="B494" t="inlineStr">
        <is>
          <t>Bar Brahma - Granja</t>
        </is>
      </c>
      <c r="C494" s="27" t="n">
        <v>46030</v>
      </c>
      <c r="D494" t="n">
        <v>0</v>
      </c>
      <c r="E494" t="inlineStr">
        <is>
          <t>MBWAY</t>
        </is>
      </c>
    </row>
    <row r="495">
      <c r="A495" t="n">
        <v>148</v>
      </c>
      <c r="B495" t="inlineStr">
        <is>
          <t>Bar Brahma - Granja</t>
        </is>
      </c>
      <c r="C495" s="27" t="n">
        <v>46030</v>
      </c>
      <c r="D495" t="n">
        <v>497.53</v>
      </c>
      <c r="E495" t="inlineStr">
        <is>
          <t>BÔNUS</t>
        </is>
      </c>
    </row>
    <row r="496">
      <c r="A496" t="n">
        <v>148</v>
      </c>
      <c r="B496" t="inlineStr">
        <is>
          <t>Bar Brahma - Granja</t>
        </is>
      </c>
      <c r="C496" s="27" t="n">
        <v>46029</v>
      </c>
      <c r="D496" t="n">
        <v>0</v>
      </c>
      <c r="E496" t="inlineStr">
        <is>
          <t>ANTECIPADO</t>
        </is>
      </c>
    </row>
    <row r="497">
      <c r="A497" t="n">
        <v>148</v>
      </c>
      <c r="B497" t="inlineStr">
        <is>
          <t>Bar Brahma - Granja</t>
        </is>
      </c>
      <c r="C497" s="27" t="n">
        <v>46029</v>
      </c>
      <c r="D497" t="n">
        <v>0</v>
      </c>
      <c r="E497" t="inlineStr">
        <is>
          <t>UBER</t>
        </is>
      </c>
    </row>
    <row r="498">
      <c r="A498" t="n">
        <v>148</v>
      </c>
      <c r="B498" t="inlineStr">
        <is>
          <t>Bar Brahma - Granja</t>
        </is>
      </c>
      <c r="C498" s="27" t="n">
        <v>46029</v>
      </c>
      <c r="D498" t="n">
        <v>0</v>
      </c>
      <c r="E498" t="inlineStr">
        <is>
          <t>RAPPI</t>
        </is>
      </c>
    </row>
    <row r="499">
      <c r="A499" t="n">
        <v>148</v>
      </c>
      <c r="B499" t="inlineStr">
        <is>
          <t>Bar Brahma - Granja</t>
        </is>
      </c>
      <c r="C499" s="27" t="n">
        <v>46029</v>
      </c>
      <c r="D499" t="n">
        <v>611.17</v>
      </c>
      <c r="E499" t="inlineStr">
        <is>
          <t>PIX</t>
        </is>
      </c>
    </row>
    <row r="500">
      <c r="A500" t="n">
        <v>148</v>
      </c>
      <c r="B500" t="inlineStr">
        <is>
          <t>Bar Brahma - Granja</t>
        </is>
      </c>
      <c r="C500" s="27" t="n">
        <v>46029</v>
      </c>
      <c r="D500" t="n">
        <v>0</v>
      </c>
      <c r="E500" t="inlineStr">
        <is>
          <t>IFOOD</t>
        </is>
      </c>
    </row>
    <row r="501">
      <c r="A501" t="n">
        <v>148</v>
      </c>
      <c r="B501" t="inlineStr">
        <is>
          <t>Bar Brahma - Granja</t>
        </is>
      </c>
      <c r="C501" s="27" t="n">
        <v>46029</v>
      </c>
      <c r="D501" t="n">
        <v>0</v>
      </c>
      <c r="E501" t="inlineStr">
        <is>
          <t>DELIVERY ONLINE</t>
        </is>
      </c>
    </row>
    <row r="502">
      <c r="A502" t="n">
        <v>148</v>
      </c>
      <c r="B502" t="inlineStr">
        <is>
          <t>Bar Brahma - Granja</t>
        </is>
      </c>
      <c r="C502" s="27" t="n">
        <v>46029</v>
      </c>
      <c r="D502" t="n">
        <v>1.5</v>
      </c>
      <c r="E502" t="inlineStr">
        <is>
          <t>APP</t>
        </is>
      </c>
    </row>
    <row r="503">
      <c r="A503" t="n">
        <v>148</v>
      </c>
      <c r="B503" t="inlineStr">
        <is>
          <t>Bar Brahma - Granja</t>
        </is>
      </c>
      <c r="C503" s="27" t="n">
        <v>46029</v>
      </c>
      <c r="D503" t="n">
        <v>460.23</v>
      </c>
      <c r="E503" t="inlineStr">
        <is>
          <t>DINHEIRO</t>
        </is>
      </c>
    </row>
    <row r="504">
      <c r="A504" t="n">
        <v>148</v>
      </c>
      <c r="B504" t="inlineStr">
        <is>
          <t>Bar Brahma - Granja</t>
        </is>
      </c>
      <c r="C504" s="27" t="n">
        <v>46029</v>
      </c>
      <c r="D504" t="n">
        <v>4096.96</v>
      </c>
      <c r="E504" t="inlineStr">
        <is>
          <t>CRÉDITO</t>
        </is>
      </c>
    </row>
    <row r="505">
      <c r="A505" t="n">
        <v>148</v>
      </c>
      <c r="B505" t="inlineStr">
        <is>
          <t>Bar Brahma - Granja</t>
        </is>
      </c>
      <c r="C505" s="27" t="n">
        <v>46029</v>
      </c>
      <c r="D505" t="n">
        <v>677.34</v>
      </c>
      <c r="E505" t="inlineStr">
        <is>
          <t>VOUCHER</t>
        </is>
      </c>
    </row>
    <row r="506">
      <c r="A506" t="n">
        <v>148</v>
      </c>
      <c r="B506" t="inlineStr">
        <is>
          <t>Bar Brahma - Granja</t>
        </is>
      </c>
      <c r="C506" s="27" t="n">
        <v>46029</v>
      </c>
      <c r="D506" t="n">
        <v>2710.8</v>
      </c>
      <c r="E506" t="inlineStr">
        <is>
          <t>DÉBITO</t>
        </is>
      </c>
    </row>
    <row r="507">
      <c r="A507" t="n">
        <v>148</v>
      </c>
      <c r="B507" t="inlineStr">
        <is>
          <t>Bar Brahma - Granja</t>
        </is>
      </c>
      <c r="C507" s="27" t="n">
        <v>46029</v>
      </c>
      <c r="D507" t="n">
        <v>0</v>
      </c>
      <c r="E507" t="inlineStr">
        <is>
          <t>BÔNUS</t>
        </is>
      </c>
    </row>
    <row r="508">
      <c r="A508" t="n">
        <v>148</v>
      </c>
      <c r="B508" t="inlineStr">
        <is>
          <t>Bar Brahma - Granja</t>
        </is>
      </c>
      <c r="C508" s="27" t="n">
        <v>46029</v>
      </c>
      <c r="D508" t="n">
        <v>0</v>
      </c>
      <c r="E508" t="inlineStr">
        <is>
          <t>ANTECIPADO</t>
        </is>
      </c>
    </row>
    <row r="509">
      <c r="A509" t="n">
        <v>148</v>
      </c>
      <c r="B509" t="inlineStr">
        <is>
          <t>Bar Brahma - Granja</t>
        </is>
      </c>
      <c r="C509" s="27" t="n">
        <v>46029</v>
      </c>
      <c r="D509" t="n">
        <v>0</v>
      </c>
      <c r="E509" t="inlineStr">
        <is>
          <t>OUTROS</t>
        </is>
      </c>
    </row>
    <row r="510">
      <c r="A510" t="n">
        <v>148</v>
      </c>
      <c r="B510" t="inlineStr">
        <is>
          <t>Bar Brahma - Granja</t>
        </is>
      </c>
      <c r="C510" s="27" t="n">
        <v>46029</v>
      </c>
      <c r="D510" t="n">
        <v>0</v>
      </c>
      <c r="E510" t="inlineStr">
        <is>
          <t>AME</t>
        </is>
      </c>
    </row>
    <row r="511">
      <c r="A511" t="n">
        <v>148</v>
      </c>
      <c r="B511" t="inlineStr">
        <is>
          <t>Bar Brahma - Granja</t>
        </is>
      </c>
      <c r="C511" s="27" t="n">
        <v>46029</v>
      </c>
      <c r="D511" t="n">
        <v>0</v>
      </c>
      <c r="E511" t="inlineStr">
        <is>
          <t>NOTAS MANUAIS + SERVIÇO</t>
        </is>
      </c>
    </row>
    <row r="512">
      <c r="A512" t="n">
        <v>148</v>
      </c>
      <c r="B512" t="inlineStr">
        <is>
          <t>Bar Brahma - Granja</t>
        </is>
      </c>
      <c r="C512" s="27" t="n">
        <v>46029</v>
      </c>
      <c r="D512" t="n">
        <v>0</v>
      </c>
      <c r="E512" t="inlineStr">
        <is>
          <t>RECARGAS DEVOLVIDAS</t>
        </is>
      </c>
    </row>
    <row r="513">
      <c r="A513" t="n">
        <v>148</v>
      </c>
      <c r="B513" t="inlineStr">
        <is>
          <t>Bar Brahma - Granja</t>
        </is>
      </c>
      <c r="C513" s="27" t="n">
        <v>46029</v>
      </c>
      <c r="D513" t="n">
        <v>0</v>
      </c>
      <c r="E513" t="inlineStr">
        <is>
          <t>VOUCHER INTEGRADO</t>
        </is>
      </c>
    </row>
    <row r="514">
      <c r="A514" t="n">
        <v>148</v>
      </c>
      <c r="B514" t="inlineStr">
        <is>
          <t>Bar Brahma - Granja</t>
        </is>
      </c>
      <c r="C514" s="27" t="n">
        <v>46029</v>
      </c>
      <c r="D514" t="n">
        <v>0</v>
      </c>
      <c r="E514" t="inlineStr">
        <is>
          <t>MBWAY</t>
        </is>
      </c>
    </row>
    <row r="515">
      <c r="A515" t="n">
        <v>148</v>
      </c>
      <c r="B515" t="inlineStr">
        <is>
          <t>Bar Brahma - Granja</t>
        </is>
      </c>
      <c r="C515" s="27" t="n">
        <v>46028</v>
      </c>
      <c r="D515" t="n">
        <v>1700.91</v>
      </c>
      <c r="E515" t="inlineStr">
        <is>
          <t>DÉBITO</t>
        </is>
      </c>
    </row>
    <row r="516">
      <c r="A516" t="n">
        <v>148</v>
      </c>
      <c r="B516" t="inlineStr">
        <is>
          <t>Bar Brahma - Granja</t>
        </is>
      </c>
      <c r="C516" s="27" t="n">
        <v>46028</v>
      </c>
      <c r="D516" t="n">
        <v>3097.95</v>
      </c>
      <c r="E516" t="inlineStr">
        <is>
          <t>CRÉDITO</t>
        </is>
      </c>
    </row>
    <row r="517">
      <c r="A517" t="n">
        <v>148</v>
      </c>
      <c r="B517" t="inlineStr">
        <is>
          <t>Bar Brahma - Granja</t>
        </is>
      </c>
      <c r="C517" s="27" t="n">
        <v>46028</v>
      </c>
      <c r="D517" t="n">
        <v>0</v>
      </c>
      <c r="E517" t="inlineStr">
        <is>
          <t>MBWAY</t>
        </is>
      </c>
    </row>
    <row r="518">
      <c r="A518" t="n">
        <v>148</v>
      </c>
      <c r="B518" t="inlineStr">
        <is>
          <t>Bar Brahma - Granja</t>
        </is>
      </c>
      <c r="C518" s="27" t="n">
        <v>46028</v>
      </c>
      <c r="D518" t="n">
        <v>0</v>
      </c>
      <c r="E518" t="inlineStr">
        <is>
          <t>VOUCHER INTEGRADO</t>
        </is>
      </c>
    </row>
    <row r="519">
      <c r="A519" t="n">
        <v>148</v>
      </c>
      <c r="B519" t="inlineStr">
        <is>
          <t>Bar Brahma - Granja</t>
        </is>
      </c>
      <c r="C519" s="27" t="n">
        <v>46028</v>
      </c>
      <c r="D519" t="n">
        <v>0</v>
      </c>
      <c r="E519" t="inlineStr">
        <is>
          <t>RECARGAS DEVOLVIDAS</t>
        </is>
      </c>
    </row>
    <row r="520">
      <c r="A520" t="n">
        <v>148</v>
      </c>
      <c r="B520" t="inlineStr">
        <is>
          <t>Bar Brahma - Granja</t>
        </is>
      </c>
      <c r="C520" s="27" t="n">
        <v>46028</v>
      </c>
      <c r="D520" t="n">
        <v>0</v>
      </c>
      <c r="E520" t="inlineStr">
        <is>
          <t>NOTAS MANUAIS + SERVIÇO</t>
        </is>
      </c>
    </row>
    <row r="521">
      <c r="A521" t="n">
        <v>148</v>
      </c>
      <c r="B521" t="inlineStr">
        <is>
          <t>Bar Brahma - Granja</t>
        </is>
      </c>
      <c r="C521" s="27" t="n">
        <v>46028</v>
      </c>
      <c r="D521" t="n">
        <v>0</v>
      </c>
      <c r="E521" t="inlineStr">
        <is>
          <t>AME</t>
        </is>
      </c>
    </row>
    <row r="522">
      <c r="A522" t="n">
        <v>148</v>
      </c>
      <c r="B522" t="inlineStr">
        <is>
          <t>Bar Brahma - Granja</t>
        </is>
      </c>
      <c r="C522" s="27" t="n">
        <v>46028</v>
      </c>
      <c r="D522" t="n">
        <v>0</v>
      </c>
      <c r="E522" t="inlineStr">
        <is>
          <t>OUTROS</t>
        </is>
      </c>
    </row>
    <row r="523">
      <c r="A523" t="n">
        <v>148</v>
      </c>
      <c r="B523" t="inlineStr">
        <is>
          <t>Bar Brahma - Granja</t>
        </is>
      </c>
      <c r="C523" s="27" t="n">
        <v>46028</v>
      </c>
      <c r="D523" t="n">
        <v>0</v>
      </c>
      <c r="E523" t="inlineStr">
        <is>
          <t>ANTECIPADO</t>
        </is>
      </c>
    </row>
    <row r="524">
      <c r="A524" t="n">
        <v>148</v>
      </c>
      <c r="B524" t="inlineStr">
        <is>
          <t>Bar Brahma - Granja</t>
        </is>
      </c>
      <c r="C524" s="27" t="n">
        <v>46028</v>
      </c>
      <c r="D524" t="n">
        <v>0</v>
      </c>
      <c r="E524" t="inlineStr">
        <is>
          <t>BÔNUS</t>
        </is>
      </c>
    </row>
    <row r="525">
      <c r="A525" t="n">
        <v>148</v>
      </c>
      <c r="B525" t="inlineStr">
        <is>
          <t>Bar Brahma - Granja</t>
        </is>
      </c>
      <c r="C525" s="27" t="n">
        <v>46028</v>
      </c>
      <c r="D525" t="n">
        <v>579.54</v>
      </c>
      <c r="E525" t="inlineStr">
        <is>
          <t>VOUCHER</t>
        </is>
      </c>
    </row>
    <row r="526">
      <c r="A526" t="n">
        <v>148</v>
      </c>
      <c r="B526" t="inlineStr">
        <is>
          <t>Bar Brahma - Granja</t>
        </is>
      </c>
      <c r="C526" s="27" t="n">
        <v>46028</v>
      </c>
      <c r="D526" t="n">
        <v>0</v>
      </c>
      <c r="E526" t="inlineStr">
        <is>
          <t>ANTECIPADO</t>
        </is>
      </c>
    </row>
    <row r="527">
      <c r="A527" t="n">
        <v>148</v>
      </c>
      <c r="B527" t="inlineStr">
        <is>
          <t>Bar Brahma - Granja</t>
        </is>
      </c>
      <c r="C527" s="27" t="n">
        <v>46028</v>
      </c>
      <c r="D527" t="n">
        <v>0</v>
      </c>
      <c r="E527" t="inlineStr">
        <is>
          <t>UBER</t>
        </is>
      </c>
    </row>
    <row r="528">
      <c r="A528" t="n">
        <v>148</v>
      </c>
      <c r="B528" t="inlineStr">
        <is>
          <t>Bar Brahma - Granja</t>
        </is>
      </c>
      <c r="C528" s="27" t="n">
        <v>46028</v>
      </c>
      <c r="D528" t="n">
        <v>0</v>
      </c>
      <c r="E528" t="inlineStr">
        <is>
          <t>RAPPI</t>
        </is>
      </c>
    </row>
    <row r="529">
      <c r="A529" t="n">
        <v>148</v>
      </c>
      <c r="B529" t="inlineStr">
        <is>
          <t>Bar Brahma - Granja</t>
        </is>
      </c>
      <c r="C529" s="27" t="n">
        <v>46028</v>
      </c>
      <c r="D529" t="n">
        <v>447.57</v>
      </c>
      <c r="E529" t="inlineStr">
        <is>
          <t>PIX</t>
        </is>
      </c>
    </row>
    <row r="530">
      <c r="A530" t="n">
        <v>148</v>
      </c>
      <c r="B530" t="inlineStr">
        <is>
          <t>Bar Brahma - Granja</t>
        </is>
      </c>
      <c r="C530" s="27" t="n">
        <v>46028</v>
      </c>
      <c r="D530" t="n">
        <v>0</v>
      </c>
      <c r="E530" t="inlineStr">
        <is>
          <t>IFOOD</t>
        </is>
      </c>
    </row>
    <row r="531">
      <c r="A531" t="n">
        <v>148</v>
      </c>
      <c r="B531" t="inlineStr">
        <is>
          <t>Bar Brahma - Granja</t>
        </is>
      </c>
      <c r="C531" s="27" t="n">
        <v>46028</v>
      </c>
      <c r="D531" t="n">
        <v>0</v>
      </c>
      <c r="E531" t="inlineStr">
        <is>
          <t>DELIVERY ONLINE</t>
        </is>
      </c>
    </row>
    <row r="532">
      <c r="A532" t="n">
        <v>148</v>
      </c>
      <c r="B532" t="inlineStr">
        <is>
          <t>Bar Brahma - Granja</t>
        </is>
      </c>
      <c r="C532" s="27" t="n">
        <v>46028</v>
      </c>
      <c r="D532" t="n">
        <v>0</v>
      </c>
      <c r="E532" t="inlineStr">
        <is>
          <t>APP</t>
        </is>
      </c>
    </row>
    <row r="533">
      <c r="A533" t="n">
        <v>148</v>
      </c>
      <c r="B533" t="inlineStr">
        <is>
          <t>Bar Brahma - Granja</t>
        </is>
      </c>
      <c r="C533" s="27" t="n">
        <v>46028</v>
      </c>
      <c r="D533" t="n">
        <v>0</v>
      </c>
      <c r="E533" t="inlineStr">
        <is>
          <t>DINHEIRO</t>
        </is>
      </c>
    </row>
    <row r="534">
      <c r="A534" t="n">
        <v>148</v>
      </c>
      <c r="B534" t="inlineStr">
        <is>
          <t>Bar Brahma - Granja</t>
        </is>
      </c>
      <c r="C534" s="27" t="n">
        <v>46027</v>
      </c>
      <c r="D534" t="n">
        <v>86.18000000000001</v>
      </c>
      <c r="E534" t="inlineStr">
        <is>
          <t>DINHEIRO</t>
        </is>
      </c>
    </row>
    <row r="535">
      <c r="A535" t="n">
        <v>148</v>
      </c>
      <c r="B535" t="inlineStr">
        <is>
          <t>Bar Brahma - Granja</t>
        </is>
      </c>
      <c r="C535" s="27" t="n">
        <v>46027</v>
      </c>
      <c r="D535" t="n">
        <v>3150.18</v>
      </c>
      <c r="E535" t="inlineStr">
        <is>
          <t>CRÉDITO</t>
        </is>
      </c>
    </row>
    <row r="536">
      <c r="A536" t="n">
        <v>148</v>
      </c>
      <c r="B536" t="inlineStr">
        <is>
          <t>Bar Brahma - Granja</t>
        </is>
      </c>
      <c r="C536" s="27" t="n">
        <v>46027</v>
      </c>
      <c r="D536" t="n">
        <v>0</v>
      </c>
      <c r="E536" t="inlineStr">
        <is>
          <t>APP</t>
        </is>
      </c>
    </row>
    <row r="537">
      <c r="A537" t="n">
        <v>148</v>
      </c>
      <c r="B537" t="inlineStr">
        <is>
          <t>Bar Brahma - Granja</t>
        </is>
      </c>
      <c r="C537" s="27" t="n">
        <v>46027</v>
      </c>
      <c r="D537" t="n">
        <v>0</v>
      </c>
      <c r="E537" t="inlineStr">
        <is>
          <t>DELIVERY ONLINE</t>
        </is>
      </c>
    </row>
    <row r="538">
      <c r="A538" t="n">
        <v>148</v>
      </c>
      <c r="B538" t="inlineStr">
        <is>
          <t>Bar Brahma - Granja</t>
        </is>
      </c>
      <c r="C538" s="27" t="n">
        <v>46027</v>
      </c>
      <c r="D538" t="n">
        <v>0</v>
      </c>
      <c r="E538" t="inlineStr">
        <is>
          <t>IFOOD</t>
        </is>
      </c>
    </row>
    <row r="539">
      <c r="A539" t="n">
        <v>148</v>
      </c>
      <c r="B539" t="inlineStr">
        <is>
          <t>Bar Brahma - Granja</t>
        </is>
      </c>
      <c r="C539" s="27" t="n">
        <v>46027</v>
      </c>
      <c r="D539" t="n">
        <v>378.32</v>
      </c>
      <c r="E539" t="inlineStr">
        <is>
          <t>PIX</t>
        </is>
      </c>
    </row>
    <row r="540">
      <c r="A540" t="n">
        <v>148</v>
      </c>
      <c r="B540" t="inlineStr">
        <is>
          <t>Bar Brahma - Granja</t>
        </is>
      </c>
      <c r="C540" s="27" t="n">
        <v>46027</v>
      </c>
      <c r="D540" t="n">
        <v>0</v>
      </c>
      <c r="E540" t="inlineStr">
        <is>
          <t>RAPPI</t>
        </is>
      </c>
    </row>
    <row r="541">
      <c r="A541" t="n">
        <v>148</v>
      </c>
      <c r="B541" t="inlineStr">
        <is>
          <t>Bar Brahma - Granja</t>
        </is>
      </c>
      <c r="C541" s="27" t="n">
        <v>46027</v>
      </c>
      <c r="D541" t="n">
        <v>0</v>
      </c>
      <c r="E541" t="inlineStr">
        <is>
          <t>UBER</t>
        </is>
      </c>
    </row>
    <row r="542">
      <c r="A542" t="n">
        <v>148</v>
      </c>
      <c r="B542" t="inlineStr">
        <is>
          <t>Bar Brahma - Granja</t>
        </is>
      </c>
      <c r="C542" s="27" t="n">
        <v>46027</v>
      </c>
      <c r="D542" t="n">
        <v>0</v>
      </c>
      <c r="E542" t="inlineStr">
        <is>
          <t>ANTECIPADO</t>
        </is>
      </c>
    </row>
    <row r="543">
      <c r="A543" t="n">
        <v>148</v>
      </c>
      <c r="B543" t="inlineStr">
        <is>
          <t>Bar Brahma - Granja</t>
        </is>
      </c>
      <c r="C543" s="27" t="n">
        <v>46027</v>
      </c>
      <c r="D543" t="n">
        <v>0</v>
      </c>
      <c r="E543" t="inlineStr">
        <is>
          <t>VOUCHER</t>
        </is>
      </c>
    </row>
    <row r="544">
      <c r="A544" t="n">
        <v>148</v>
      </c>
      <c r="B544" t="inlineStr">
        <is>
          <t>Bar Brahma - Granja</t>
        </is>
      </c>
      <c r="C544" s="27" t="n">
        <v>46027</v>
      </c>
      <c r="D544" t="n">
        <v>704.87</v>
      </c>
      <c r="E544" t="inlineStr">
        <is>
          <t>DÉBITO</t>
        </is>
      </c>
    </row>
    <row r="545">
      <c r="A545" t="n">
        <v>148</v>
      </c>
      <c r="B545" t="inlineStr">
        <is>
          <t>Bar Brahma - Granja</t>
        </is>
      </c>
      <c r="C545" s="27" t="n">
        <v>46027</v>
      </c>
      <c r="D545" t="n">
        <v>0</v>
      </c>
      <c r="E545" t="inlineStr">
        <is>
          <t>ANTECIPADO</t>
        </is>
      </c>
    </row>
    <row r="546">
      <c r="A546" t="n">
        <v>148</v>
      </c>
      <c r="B546" t="inlineStr">
        <is>
          <t>Bar Brahma - Granja</t>
        </is>
      </c>
      <c r="C546" s="27" t="n">
        <v>46027</v>
      </c>
      <c r="D546" t="n">
        <v>0</v>
      </c>
      <c r="E546" t="inlineStr">
        <is>
          <t>OUTROS</t>
        </is>
      </c>
    </row>
    <row r="547">
      <c r="A547" t="n">
        <v>148</v>
      </c>
      <c r="B547" t="inlineStr">
        <is>
          <t>Bar Brahma - Granja</t>
        </is>
      </c>
      <c r="C547" s="27" t="n">
        <v>46027</v>
      </c>
      <c r="D547" t="n">
        <v>0</v>
      </c>
      <c r="E547" t="inlineStr">
        <is>
          <t>AME</t>
        </is>
      </c>
    </row>
    <row r="548">
      <c r="A548" t="n">
        <v>148</v>
      </c>
      <c r="B548" t="inlineStr">
        <is>
          <t>Bar Brahma - Granja</t>
        </is>
      </c>
      <c r="C548" s="27" t="n">
        <v>46027</v>
      </c>
      <c r="D548" t="n">
        <v>0</v>
      </c>
      <c r="E548" t="inlineStr">
        <is>
          <t>NOTAS MANUAIS + SERVIÇO</t>
        </is>
      </c>
    </row>
    <row r="549">
      <c r="A549" t="n">
        <v>148</v>
      </c>
      <c r="B549" t="inlineStr">
        <is>
          <t>Bar Brahma - Granja</t>
        </is>
      </c>
      <c r="C549" s="27" t="n">
        <v>46027</v>
      </c>
      <c r="D549" t="n">
        <v>0</v>
      </c>
      <c r="E549" t="inlineStr">
        <is>
          <t>RECARGAS DEVOLVIDAS</t>
        </is>
      </c>
    </row>
    <row r="550">
      <c r="A550" t="n">
        <v>148</v>
      </c>
      <c r="B550" t="inlineStr">
        <is>
          <t>Bar Brahma - Granja</t>
        </is>
      </c>
      <c r="C550" s="27" t="n">
        <v>46027</v>
      </c>
      <c r="D550" t="n">
        <v>0</v>
      </c>
      <c r="E550" t="inlineStr">
        <is>
          <t>VOUCHER INTEGRADO</t>
        </is>
      </c>
    </row>
    <row r="551">
      <c r="A551" t="n">
        <v>148</v>
      </c>
      <c r="B551" t="inlineStr">
        <is>
          <t>Bar Brahma - Granja</t>
        </is>
      </c>
      <c r="C551" s="27" t="n">
        <v>46027</v>
      </c>
      <c r="D551" t="n">
        <v>0</v>
      </c>
      <c r="E551" t="inlineStr">
        <is>
          <t>MBWAY</t>
        </is>
      </c>
    </row>
    <row r="552">
      <c r="A552" t="n">
        <v>148</v>
      </c>
      <c r="B552" t="inlineStr">
        <is>
          <t>Bar Brahma - Granja</t>
        </is>
      </c>
      <c r="C552" s="27" t="n">
        <v>46027</v>
      </c>
      <c r="D552" t="n">
        <v>0</v>
      </c>
      <c r="E552" t="inlineStr">
        <is>
          <t>BÔNUS</t>
        </is>
      </c>
    </row>
    <row r="553">
      <c r="A553" t="n">
        <v>148</v>
      </c>
      <c r="B553" t="inlineStr">
        <is>
          <t>Bar Brahma - Granja</t>
        </is>
      </c>
      <c r="C553" s="27" t="n">
        <v>46026</v>
      </c>
      <c r="D553" t="n">
        <v>264.19</v>
      </c>
      <c r="E553" t="inlineStr">
        <is>
          <t>VOUCHER</t>
        </is>
      </c>
    </row>
    <row r="554">
      <c r="A554" t="n">
        <v>148</v>
      </c>
      <c r="B554" t="inlineStr">
        <is>
          <t>Bar Brahma - Granja</t>
        </is>
      </c>
      <c r="C554" s="27" t="n">
        <v>46026</v>
      </c>
      <c r="D554" t="n">
        <v>4322.2</v>
      </c>
      <c r="E554" t="inlineStr">
        <is>
          <t>DÉBITO</t>
        </is>
      </c>
    </row>
    <row r="555">
      <c r="A555" t="n">
        <v>148</v>
      </c>
      <c r="B555" t="inlineStr">
        <is>
          <t>Bar Brahma - Granja</t>
        </is>
      </c>
      <c r="C555" s="27" t="n">
        <v>46026</v>
      </c>
      <c r="D555" t="n">
        <v>0</v>
      </c>
      <c r="E555" t="inlineStr">
        <is>
          <t>BÔNUS</t>
        </is>
      </c>
    </row>
    <row r="556">
      <c r="A556" t="n">
        <v>148</v>
      </c>
      <c r="B556" t="inlineStr">
        <is>
          <t>Bar Brahma - Granja</t>
        </is>
      </c>
      <c r="C556" s="27" t="n">
        <v>46026</v>
      </c>
      <c r="D556" t="n">
        <v>0</v>
      </c>
      <c r="E556" t="inlineStr">
        <is>
          <t>ANTECIPADO</t>
        </is>
      </c>
    </row>
    <row r="557">
      <c r="A557" t="n">
        <v>148</v>
      </c>
      <c r="B557" t="inlineStr">
        <is>
          <t>Bar Brahma - Granja</t>
        </is>
      </c>
      <c r="C557" s="27" t="n">
        <v>46026</v>
      </c>
      <c r="D557" t="n">
        <v>0</v>
      </c>
      <c r="E557" t="inlineStr">
        <is>
          <t>OUTROS</t>
        </is>
      </c>
    </row>
    <row r="558">
      <c r="A558" t="n">
        <v>148</v>
      </c>
      <c r="B558" t="inlineStr">
        <is>
          <t>Bar Brahma - Granja</t>
        </is>
      </c>
      <c r="C558" s="27" t="n">
        <v>46026</v>
      </c>
      <c r="D558" t="n">
        <v>0</v>
      </c>
      <c r="E558" t="inlineStr">
        <is>
          <t>MBWAY</t>
        </is>
      </c>
    </row>
    <row r="559">
      <c r="A559" t="n">
        <v>148</v>
      </c>
      <c r="B559" t="inlineStr">
        <is>
          <t>Bar Brahma - Granja</t>
        </is>
      </c>
      <c r="C559" s="27" t="n">
        <v>46026</v>
      </c>
      <c r="D559" t="n">
        <v>0</v>
      </c>
      <c r="E559" t="inlineStr">
        <is>
          <t>VOUCHER INTEGRADO</t>
        </is>
      </c>
    </row>
    <row r="560">
      <c r="A560" t="n">
        <v>148</v>
      </c>
      <c r="B560" t="inlineStr">
        <is>
          <t>Bar Brahma - Granja</t>
        </is>
      </c>
      <c r="C560" s="27" t="n">
        <v>46026</v>
      </c>
      <c r="D560" t="n">
        <v>0</v>
      </c>
      <c r="E560" t="inlineStr">
        <is>
          <t>RECARGAS DEVOLVIDAS</t>
        </is>
      </c>
    </row>
    <row r="561">
      <c r="A561" t="n">
        <v>148</v>
      </c>
      <c r="B561" t="inlineStr">
        <is>
          <t>Bar Brahma - Granja</t>
        </is>
      </c>
      <c r="C561" s="27" t="n">
        <v>46026</v>
      </c>
      <c r="D561" t="n">
        <v>0</v>
      </c>
      <c r="E561" t="inlineStr">
        <is>
          <t>NOTAS MANUAIS + SERVIÇO</t>
        </is>
      </c>
    </row>
    <row r="562">
      <c r="A562" t="n">
        <v>148</v>
      </c>
      <c r="B562" t="inlineStr">
        <is>
          <t>Bar Brahma - Granja</t>
        </is>
      </c>
      <c r="C562" s="27" t="n">
        <v>46026</v>
      </c>
      <c r="D562" t="n">
        <v>0</v>
      </c>
      <c r="E562" t="inlineStr">
        <is>
          <t>AME</t>
        </is>
      </c>
    </row>
    <row r="563">
      <c r="A563" t="n">
        <v>148</v>
      </c>
      <c r="B563" t="inlineStr">
        <is>
          <t>Bar Brahma - Granja</t>
        </is>
      </c>
      <c r="C563" s="27" t="n">
        <v>46026</v>
      </c>
      <c r="D563" t="n">
        <v>0</v>
      </c>
      <c r="E563" t="inlineStr">
        <is>
          <t>ANTECIPADO</t>
        </is>
      </c>
    </row>
    <row r="564">
      <c r="A564" t="n">
        <v>148</v>
      </c>
      <c r="B564" t="inlineStr">
        <is>
          <t>Bar Brahma - Granja</t>
        </is>
      </c>
      <c r="C564" s="27" t="n">
        <v>46026</v>
      </c>
      <c r="D564" t="n">
        <v>0</v>
      </c>
      <c r="E564" t="inlineStr">
        <is>
          <t>UBER</t>
        </is>
      </c>
    </row>
    <row r="565">
      <c r="A565" t="n">
        <v>148</v>
      </c>
      <c r="B565" t="inlineStr">
        <is>
          <t>Bar Brahma - Granja</t>
        </is>
      </c>
      <c r="C565" s="27" t="n">
        <v>46026</v>
      </c>
      <c r="D565" t="n">
        <v>0</v>
      </c>
      <c r="E565" t="inlineStr">
        <is>
          <t>RAPPI</t>
        </is>
      </c>
    </row>
    <row r="566">
      <c r="A566" t="n">
        <v>148</v>
      </c>
      <c r="B566" t="inlineStr">
        <is>
          <t>Bar Brahma - Granja</t>
        </is>
      </c>
      <c r="C566" s="27" t="n">
        <v>46026</v>
      </c>
      <c r="D566" t="n">
        <v>970.5</v>
      </c>
      <c r="E566" t="inlineStr">
        <is>
          <t>PIX</t>
        </is>
      </c>
    </row>
    <row r="567">
      <c r="A567" t="n">
        <v>148</v>
      </c>
      <c r="B567" t="inlineStr">
        <is>
          <t>Bar Brahma - Granja</t>
        </is>
      </c>
      <c r="C567" s="27" t="n">
        <v>46026</v>
      </c>
      <c r="D567" t="n">
        <v>0</v>
      </c>
      <c r="E567" t="inlineStr">
        <is>
          <t>IFOOD</t>
        </is>
      </c>
    </row>
    <row r="568">
      <c r="A568" t="n">
        <v>148</v>
      </c>
      <c r="B568" t="inlineStr">
        <is>
          <t>Bar Brahma - Granja</t>
        </is>
      </c>
      <c r="C568" s="27" t="n">
        <v>46026</v>
      </c>
      <c r="D568" t="n">
        <v>0</v>
      </c>
      <c r="E568" t="inlineStr">
        <is>
          <t>DELIVERY ONLINE</t>
        </is>
      </c>
    </row>
    <row r="569">
      <c r="A569" t="n">
        <v>148</v>
      </c>
      <c r="B569" t="inlineStr">
        <is>
          <t>Bar Brahma - Granja</t>
        </is>
      </c>
      <c r="C569" s="27" t="n">
        <v>46026</v>
      </c>
      <c r="D569" t="n">
        <v>0</v>
      </c>
      <c r="E569" t="inlineStr">
        <is>
          <t>APP</t>
        </is>
      </c>
    </row>
    <row r="570">
      <c r="A570" t="n">
        <v>148</v>
      </c>
      <c r="B570" t="inlineStr">
        <is>
          <t>Bar Brahma - Granja</t>
        </is>
      </c>
      <c r="C570" s="27" t="n">
        <v>46026</v>
      </c>
      <c r="D570" t="n">
        <v>120.91</v>
      </c>
      <c r="E570" t="inlineStr">
        <is>
          <t>DINHEIRO</t>
        </is>
      </c>
    </row>
    <row r="571">
      <c r="A571" t="n">
        <v>148</v>
      </c>
      <c r="B571" t="inlineStr">
        <is>
          <t>Bar Brahma - Granja</t>
        </is>
      </c>
      <c r="C571" s="27" t="n">
        <v>46026</v>
      </c>
      <c r="D571" t="n">
        <v>9800.23</v>
      </c>
      <c r="E571" t="inlineStr">
        <is>
          <t>CRÉDITO</t>
        </is>
      </c>
    </row>
    <row r="572">
      <c r="A572" t="n">
        <v>148</v>
      </c>
      <c r="B572" t="inlineStr">
        <is>
          <t>Bar Brahma - Granja</t>
        </is>
      </c>
      <c r="C572" s="27" t="n">
        <v>46025</v>
      </c>
      <c r="D572" t="n">
        <v>0</v>
      </c>
      <c r="E572" t="inlineStr">
        <is>
          <t>BÔNUS</t>
        </is>
      </c>
    </row>
    <row r="573">
      <c r="A573" t="n">
        <v>148</v>
      </c>
      <c r="B573" t="inlineStr">
        <is>
          <t>Bar Brahma - Granja</t>
        </is>
      </c>
      <c r="C573" s="27" t="n">
        <v>46025</v>
      </c>
      <c r="D573" t="n">
        <v>0</v>
      </c>
      <c r="E573" t="inlineStr">
        <is>
          <t>MBWAY</t>
        </is>
      </c>
    </row>
    <row r="574">
      <c r="A574" t="n">
        <v>148</v>
      </c>
      <c r="B574" t="inlineStr">
        <is>
          <t>Bar Brahma - Granja</t>
        </is>
      </c>
      <c r="C574" s="27" t="n">
        <v>46025</v>
      </c>
      <c r="D574" t="n">
        <v>0</v>
      </c>
      <c r="E574" t="inlineStr">
        <is>
          <t>RECARGAS DEVOLVIDAS</t>
        </is>
      </c>
    </row>
    <row r="575">
      <c r="A575" t="n">
        <v>148</v>
      </c>
      <c r="B575" t="inlineStr">
        <is>
          <t>Bar Brahma - Granja</t>
        </is>
      </c>
      <c r="C575" s="27" t="n">
        <v>46025</v>
      </c>
      <c r="D575" t="n">
        <v>2163.79</v>
      </c>
      <c r="E575" t="inlineStr">
        <is>
          <t>DINHEIRO</t>
        </is>
      </c>
    </row>
    <row r="576">
      <c r="A576" t="n">
        <v>148</v>
      </c>
      <c r="B576" t="inlineStr">
        <is>
          <t>Bar Brahma - Granja</t>
        </is>
      </c>
      <c r="C576" s="27" t="n">
        <v>46025</v>
      </c>
      <c r="D576" t="n">
        <v>28340.73</v>
      </c>
      <c r="E576" t="inlineStr">
        <is>
          <t>CRÉDITO</t>
        </is>
      </c>
    </row>
    <row r="577">
      <c r="A577" t="n">
        <v>148</v>
      </c>
      <c r="B577" t="inlineStr">
        <is>
          <t>Bar Brahma - Granja</t>
        </is>
      </c>
      <c r="C577" s="27" t="n">
        <v>46025</v>
      </c>
      <c r="D577" t="n">
        <v>55</v>
      </c>
      <c r="E577" t="inlineStr">
        <is>
          <t>APP</t>
        </is>
      </c>
    </row>
    <row r="578">
      <c r="A578" t="n">
        <v>148</v>
      </c>
      <c r="B578" t="inlineStr">
        <is>
          <t>Bar Brahma - Granja</t>
        </is>
      </c>
      <c r="C578" s="27" t="n">
        <v>46025</v>
      </c>
      <c r="D578" t="n">
        <v>0</v>
      </c>
      <c r="E578" t="inlineStr">
        <is>
          <t>DELIVERY ONLINE</t>
        </is>
      </c>
    </row>
    <row r="579">
      <c r="A579" t="n">
        <v>148</v>
      </c>
      <c r="B579" t="inlineStr">
        <is>
          <t>Bar Brahma - Granja</t>
        </is>
      </c>
      <c r="C579" s="27" t="n">
        <v>46025</v>
      </c>
      <c r="D579" t="n">
        <v>0</v>
      </c>
      <c r="E579" t="inlineStr">
        <is>
          <t>IFOOD</t>
        </is>
      </c>
    </row>
    <row r="580">
      <c r="A580" t="n">
        <v>148</v>
      </c>
      <c r="B580" t="inlineStr">
        <is>
          <t>Bar Brahma - Granja</t>
        </is>
      </c>
      <c r="C580" s="27" t="n">
        <v>46025</v>
      </c>
      <c r="D580" t="n">
        <v>6473.62</v>
      </c>
      <c r="E580" t="inlineStr">
        <is>
          <t>PIX</t>
        </is>
      </c>
    </row>
    <row r="581">
      <c r="A581" t="n">
        <v>148</v>
      </c>
      <c r="B581" t="inlineStr">
        <is>
          <t>Bar Brahma - Granja</t>
        </is>
      </c>
      <c r="C581" s="27" t="n">
        <v>46025</v>
      </c>
      <c r="D581" t="n">
        <v>0</v>
      </c>
      <c r="E581" t="inlineStr">
        <is>
          <t>RAPPI</t>
        </is>
      </c>
    </row>
    <row r="582">
      <c r="A582" t="n">
        <v>148</v>
      </c>
      <c r="B582" t="inlineStr">
        <is>
          <t>Bar Brahma - Granja</t>
        </is>
      </c>
      <c r="C582" s="27" t="n">
        <v>46025</v>
      </c>
      <c r="D582" t="n">
        <v>0</v>
      </c>
      <c r="E582" t="inlineStr">
        <is>
          <t>UBER</t>
        </is>
      </c>
    </row>
    <row r="583">
      <c r="A583" t="n">
        <v>148</v>
      </c>
      <c r="B583" t="inlineStr">
        <is>
          <t>Bar Brahma - Granja</t>
        </is>
      </c>
      <c r="C583" s="27" t="n">
        <v>46025</v>
      </c>
      <c r="D583" t="n">
        <v>0</v>
      </c>
      <c r="E583" t="inlineStr">
        <is>
          <t>ANTECIPADO</t>
        </is>
      </c>
    </row>
    <row r="584">
      <c r="A584" t="n">
        <v>148</v>
      </c>
      <c r="B584" t="inlineStr">
        <is>
          <t>Bar Brahma - Granja</t>
        </is>
      </c>
      <c r="C584" s="27" t="n">
        <v>46025</v>
      </c>
      <c r="D584" t="n">
        <v>1261.15</v>
      </c>
      <c r="E584" t="inlineStr">
        <is>
          <t>VOUCHER</t>
        </is>
      </c>
    </row>
    <row r="585">
      <c r="A585" t="n">
        <v>148</v>
      </c>
      <c r="B585" t="inlineStr">
        <is>
          <t>Bar Brahma - Granja</t>
        </is>
      </c>
      <c r="C585" s="27" t="n">
        <v>46025</v>
      </c>
      <c r="D585" t="n">
        <v>10114.81</v>
      </c>
      <c r="E585" t="inlineStr">
        <is>
          <t>DÉBITO</t>
        </is>
      </c>
    </row>
    <row r="586">
      <c r="A586" t="n">
        <v>148</v>
      </c>
      <c r="B586" t="inlineStr">
        <is>
          <t>Bar Brahma - Granja</t>
        </is>
      </c>
      <c r="C586" s="27" t="n">
        <v>46025</v>
      </c>
      <c r="D586" t="n">
        <v>0</v>
      </c>
      <c r="E586" t="inlineStr">
        <is>
          <t>VOUCHER INTEGRADO</t>
        </is>
      </c>
    </row>
    <row r="587">
      <c r="A587" t="n">
        <v>148</v>
      </c>
      <c r="B587" t="inlineStr">
        <is>
          <t>Bar Brahma - Granja</t>
        </is>
      </c>
      <c r="C587" s="27" t="n">
        <v>46025</v>
      </c>
      <c r="D587" t="n">
        <v>0</v>
      </c>
      <c r="E587" t="inlineStr">
        <is>
          <t>ANTECIPADO</t>
        </is>
      </c>
    </row>
    <row r="588">
      <c r="A588" t="n">
        <v>148</v>
      </c>
      <c r="B588" t="inlineStr">
        <is>
          <t>Bar Brahma - Granja</t>
        </is>
      </c>
      <c r="C588" s="27" t="n">
        <v>46025</v>
      </c>
      <c r="D588" t="n">
        <v>0</v>
      </c>
      <c r="E588" t="inlineStr">
        <is>
          <t>OUTROS</t>
        </is>
      </c>
    </row>
    <row r="589">
      <c r="A589" t="n">
        <v>148</v>
      </c>
      <c r="B589" t="inlineStr">
        <is>
          <t>Bar Brahma - Granja</t>
        </is>
      </c>
      <c r="C589" s="27" t="n">
        <v>46025</v>
      </c>
      <c r="D589" t="n">
        <v>0</v>
      </c>
      <c r="E589" t="inlineStr">
        <is>
          <t>AME</t>
        </is>
      </c>
    </row>
    <row r="590">
      <c r="A590" t="n">
        <v>148</v>
      </c>
      <c r="B590" t="inlineStr">
        <is>
          <t>Bar Brahma - Granja</t>
        </is>
      </c>
      <c r="C590" s="27" t="n">
        <v>46025</v>
      </c>
      <c r="D590" t="n">
        <v>0</v>
      </c>
      <c r="E590" t="inlineStr">
        <is>
          <t>NOTAS MANUAIS + SERVIÇO</t>
        </is>
      </c>
    </row>
    <row r="591">
      <c r="A591" t="n">
        <v>148</v>
      </c>
      <c r="B591" t="inlineStr">
        <is>
          <t>Bar Brahma - Granja</t>
        </is>
      </c>
      <c r="C591" s="27" t="n">
        <v>46024</v>
      </c>
      <c r="D591" t="n">
        <v>499.42</v>
      </c>
      <c r="E591" t="inlineStr">
        <is>
          <t>DINHEIRO</t>
        </is>
      </c>
    </row>
    <row r="592">
      <c r="A592" t="n">
        <v>148</v>
      </c>
      <c r="B592" t="inlineStr">
        <is>
          <t>Bar Brahma - Granja</t>
        </is>
      </c>
      <c r="C592" s="27" t="n">
        <v>46024</v>
      </c>
      <c r="D592" t="n">
        <v>0</v>
      </c>
      <c r="E592" t="inlineStr">
        <is>
          <t>APP</t>
        </is>
      </c>
    </row>
    <row r="593">
      <c r="A593" t="n">
        <v>148</v>
      </c>
      <c r="B593" t="inlineStr">
        <is>
          <t>Bar Brahma - Granja</t>
        </is>
      </c>
      <c r="C593" s="27" t="n">
        <v>46024</v>
      </c>
      <c r="D593" t="n">
        <v>0</v>
      </c>
      <c r="E593" t="inlineStr">
        <is>
          <t>DELIVERY ONLINE</t>
        </is>
      </c>
    </row>
    <row r="594">
      <c r="A594" t="n">
        <v>148</v>
      </c>
      <c r="B594" t="inlineStr">
        <is>
          <t>Bar Brahma - Granja</t>
        </is>
      </c>
      <c r="C594" s="27" t="n">
        <v>46024</v>
      </c>
      <c r="D594" t="n">
        <v>0</v>
      </c>
      <c r="E594" t="inlineStr">
        <is>
          <t>IFOOD</t>
        </is>
      </c>
    </row>
    <row r="595">
      <c r="A595" t="n">
        <v>148</v>
      </c>
      <c r="B595" t="inlineStr">
        <is>
          <t>Bar Brahma - Granja</t>
        </is>
      </c>
      <c r="C595" s="27" t="n">
        <v>46024</v>
      </c>
      <c r="D595" t="n">
        <v>2025.59</v>
      </c>
      <c r="E595" t="inlineStr">
        <is>
          <t>PIX</t>
        </is>
      </c>
    </row>
    <row r="596">
      <c r="A596" t="n">
        <v>148</v>
      </c>
      <c r="B596" t="inlineStr">
        <is>
          <t>Bar Brahma - Granja</t>
        </is>
      </c>
      <c r="C596" s="27" t="n">
        <v>46024</v>
      </c>
      <c r="D596" t="n">
        <v>9326.1</v>
      </c>
      <c r="E596" t="inlineStr">
        <is>
          <t>CRÉDITO</t>
        </is>
      </c>
    </row>
    <row r="597">
      <c r="A597" t="n">
        <v>148</v>
      </c>
      <c r="B597" t="inlineStr">
        <is>
          <t>Bar Brahma - Granja</t>
        </is>
      </c>
      <c r="C597" s="27" t="n">
        <v>46024</v>
      </c>
      <c r="D597" t="n">
        <v>0</v>
      </c>
      <c r="E597" t="inlineStr">
        <is>
          <t>UBER</t>
        </is>
      </c>
    </row>
    <row r="598">
      <c r="A598" t="n">
        <v>148</v>
      </c>
      <c r="B598" t="inlineStr">
        <is>
          <t>Bar Brahma - Granja</t>
        </is>
      </c>
      <c r="C598" s="27" t="n">
        <v>46024</v>
      </c>
      <c r="D598" t="n">
        <v>0</v>
      </c>
      <c r="E598" t="inlineStr">
        <is>
          <t>ANTECIPADO</t>
        </is>
      </c>
    </row>
    <row r="599">
      <c r="A599" t="n">
        <v>148</v>
      </c>
      <c r="B599" t="inlineStr">
        <is>
          <t>Bar Brahma - Granja</t>
        </is>
      </c>
      <c r="C599" s="27" t="n">
        <v>46024</v>
      </c>
      <c r="D599" t="n">
        <v>348.06</v>
      </c>
      <c r="E599" t="inlineStr">
        <is>
          <t>VOUCHER</t>
        </is>
      </c>
    </row>
    <row r="600">
      <c r="A600" t="n">
        <v>148</v>
      </c>
      <c r="B600" t="inlineStr">
        <is>
          <t>Bar Brahma - Granja</t>
        </is>
      </c>
      <c r="C600" s="27" t="n">
        <v>46024</v>
      </c>
      <c r="D600" t="n">
        <v>4153.97</v>
      </c>
      <c r="E600" t="inlineStr">
        <is>
          <t>DÉBITO</t>
        </is>
      </c>
    </row>
    <row r="601">
      <c r="A601" t="n">
        <v>148</v>
      </c>
      <c r="B601" t="inlineStr">
        <is>
          <t>Bar Brahma - Granja</t>
        </is>
      </c>
      <c r="C601" s="27" t="n">
        <v>46024</v>
      </c>
      <c r="D601" t="n">
        <v>0</v>
      </c>
      <c r="E601" t="inlineStr">
        <is>
          <t>BÔNUS</t>
        </is>
      </c>
    </row>
    <row r="602">
      <c r="A602" t="n">
        <v>148</v>
      </c>
      <c r="B602" t="inlineStr">
        <is>
          <t>Bar Brahma - Granja</t>
        </is>
      </c>
      <c r="C602" s="27" t="n">
        <v>46024</v>
      </c>
      <c r="D602" t="n">
        <v>0</v>
      </c>
      <c r="E602" t="inlineStr">
        <is>
          <t>ANTECIPADO</t>
        </is>
      </c>
    </row>
    <row r="603">
      <c r="A603" t="n">
        <v>148</v>
      </c>
      <c r="B603" t="inlineStr">
        <is>
          <t>Bar Brahma - Granja</t>
        </is>
      </c>
      <c r="C603" s="27" t="n">
        <v>46024</v>
      </c>
      <c r="D603" t="n">
        <v>0</v>
      </c>
      <c r="E603" t="inlineStr">
        <is>
          <t>OUTROS</t>
        </is>
      </c>
    </row>
    <row r="604">
      <c r="A604" t="n">
        <v>148</v>
      </c>
      <c r="B604" t="inlineStr">
        <is>
          <t>Bar Brahma - Granja</t>
        </is>
      </c>
      <c r="C604" s="27" t="n">
        <v>46024</v>
      </c>
      <c r="D604" t="n">
        <v>0</v>
      </c>
      <c r="E604" t="inlineStr">
        <is>
          <t>AME</t>
        </is>
      </c>
    </row>
    <row r="605">
      <c r="A605" t="n">
        <v>148</v>
      </c>
      <c r="B605" t="inlineStr">
        <is>
          <t>Bar Brahma - Granja</t>
        </is>
      </c>
      <c r="C605" s="27" t="n">
        <v>46024</v>
      </c>
      <c r="D605" t="n">
        <v>0</v>
      </c>
      <c r="E605" t="inlineStr">
        <is>
          <t>NOTAS MANUAIS + SERVIÇO</t>
        </is>
      </c>
    </row>
    <row r="606">
      <c r="A606" t="n">
        <v>148</v>
      </c>
      <c r="B606" t="inlineStr">
        <is>
          <t>Bar Brahma - Granja</t>
        </is>
      </c>
      <c r="C606" s="27" t="n">
        <v>46024</v>
      </c>
      <c r="D606" t="n">
        <v>0</v>
      </c>
      <c r="E606" t="inlineStr">
        <is>
          <t>RECARGAS DEVOLVIDAS</t>
        </is>
      </c>
    </row>
    <row r="607">
      <c r="A607" t="n">
        <v>148</v>
      </c>
      <c r="B607" t="inlineStr">
        <is>
          <t>Bar Brahma - Granja</t>
        </is>
      </c>
      <c r="C607" s="27" t="n">
        <v>46024</v>
      </c>
      <c r="D607" t="n">
        <v>0</v>
      </c>
      <c r="E607" t="inlineStr">
        <is>
          <t>VOUCHER INTEGRADO</t>
        </is>
      </c>
    </row>
    <row r="608">
      <c r="A608" t="n">
        <v>148</v>
      </c>
      <c r="B608" t="inlineStr">
        <is>
          <t>Bar Brahma - Granja</t>
        </is>
      </c>
      <c r="C608" s="27" t="n">
        <v>46024</v>
      </c>
      <c r="D608" t="n">
        <v>0</v>
      </c>
      <c r="E608" t="inlineStr">
        <is>
          <t>MBWAY</t>
        </is>
      </c>
    </row>
    <row r="609">
      <c r="A609" t="n">
        <v>148</v>
      </c>
      <c r="B609" t="inlineStr">
        <is>
          <t>Bar Brahma - Granja</t>
        </is>
      </c>
      <c r="C609" s="27" t="n">
        <v>46024</v>
      </c>
      <c r="D609" t="n">
        <v>0</v>
      </c>
      <c r="E609" t="inlineStr">
        <is>
          <t>RAPPI</t>
        </is>
      </c>
    </row>
    <row r="610">
      <c r="A610" t="n">
        <v>148</v>
      </c>
      <c r="B610" t="inlineStr">
        <is>
          <t>Bar Brahma - Granja</t>
        </is>
      </c>
      <c r="C610" s="27" t="n">
        <v>46023</v>
      </c>
      <c r="D610" t="n">
        <v>0</v>
      </c>
      <c r="E610" t="inlineStr">
        <is>
          <t>NOTAS MANUAIS + SERVIÇO</t>
        </is>
      </c>
    </row>
    <row r="611">
      <c r="A611" t="n">
        <v>148</v>
      </c>
      <c r="B611" t="inlineStr">
        <is>
          <t>Bar Brahma - Granja</t>
        </is>
      </c>
      <c r="C611" s="27" t="n">
        <v>46023</v>
      </c>
      <c r="D611" t="n">
        <v>0</v>
      </c>
      <c r="E611" t="inlineStr">
        <is>
          <t>RECARGAS DEVOLVIDAS</t>
        </is>
      </c>
    </row>
    <row r="612">
      <c r="A612" t="n">
        <v>148</v>
      </c>
      <c r="B612" t="inlineStr">
        <is>
          <t>Bar Brahma - Granja</t>
        </is>
      </c>
      <c r="C612" s="27" t="n">
        <v>46023</v>
      </c>
      <c r="D612" t="n">
        <v>0</v>
      </c>
      <c r="E612" t="inlineStr">
        <is>
          <t>VOUCHER INTEGRADO</t>
        </is>
      </c>
    </row>
    <row r="613">
      <c r="A613" t="n">
        <v>148</v>
      </c>
      <c r="B613" t="inlineStr">
        <is>
          <t>Bar Brahma - Granja</t>
        </is>
      </c>
      <c r="C613" s="27" t="n">
        <v>46023</v>
      </c>
      <c r="D613" t="n">
        <v>0</v>
      </c>
      <c r="E613" t="inlineStr">
        <is>
          <t>MBWAY</t>
        </is>
      </c>
    </row>
    <row r="614">
      <c r="A614" t="n">
        <v>148</v>
      </c>
      <c r="B614" t="inlineStr">
        <is>
          <t>Bar Brahma - Granja</t>
        </is>
      </c>
      <c r="C614" s="27" t="n">
        <v>46023</v>
      </c>
      <c r="D614" t="n">
        <v>0</v>
      </c>
      <c r="E614" t="inlineStr">
        <is>
          <t>CRÉDITO</t>
        </is>
      </c>
    </row>
    <row r="615">
      <c r="A615" t="n">
        <v>148</v>
      </c>
      <c r="B615" t="inlineStr">
        <is>
          <t>Bar Brahma - Granja</t>
        </is>
      </c>
      <c r="C615" s="27" t="n">
        <v>46023</v>
      </c>
      <c r="D615" t="n">
        <v>0</v>
      </c>
      <c r="E615" t="inlineStr">
        <is>
          <t>DINHEIRO</t>
        </is>
      </c>
    </row>
    <row r="616">
      <c r="A616" t="n">
        <v>148</v>
      </c>
      <c r="B616" t="inlineStr">
        <is>
          <t>Bar Brahma - Granja</t>
        </is>
      </c>
      <c r="C616" s="27" t="n">
        <v>46023</v>
      </c>
      <c r="D616" t="n">
        <v>0</v>
      </c>
      <c r="E616" t="inlineStr">
        <is>
          <t>APP</t>
        </is>
      </c>
    </row>
    <row r="617">
      <c r="A617" t="n">
        <v>148</v>
      </c>
      <c r="B617" t="inlineStr">
        <is>
          <t>Bar Brahma - Granja</t>
        </is>
      </c>
      <c r="C617" s="27" t="n">
        <v>46023</v>
      </c>
      <c r="D617" t="n">
        <v>0</v>
      </c>
      <c r="E617" t="inlineStr">
        <is>
          <t>DELIVERY ONLINE</t>
        </is>
      </c>
    </row>
    <row r="618">
      <c r="A618" t="n">
        <v>148</v>
      </c>
      <c r="B618" t="inlineStr">
        <is>
          <t>Bar Brahma - Granja</t>
        </is>
      </c>
      <c r="C618" s="27" t="n">
        <v>46023</v>
      </c>
      <c r="D618" t="n">
        <v>0</v>
      </c>
      <c r="E618" t="inlineStr">
        <is>
          <t>IFOOD</t>
        </is>
      </c>
    </row>
    <row r="619">
      <c r="A619" t="n">
        <v>148</v>
      </c>
      <c r="B619" t="inlineStr">
        <is>
          <t>Bar Brahma - Granja</t>
        </is>
      </c>
      <c r="C619" s="27" t="n">
        <v>46023</v>
      </c>
      <c r="D619" t="n">
        <v>0</v>
      </c>
      <c r="E619" t="inlineStr">
        <is>
          <t>PIX</t>
        </is>
      </c>
    </row>
    <row r="620">
      <c r="A620" t="n">
        <v>148</v>
      </c>
      <c r="B620" t="inlineStr">
        <is>
          <t>Bar Brahma - Granja</t>
        </is>
      </c>
      <c r="C620" s="27" t="n">
        <v>46023</v>
      </c>
      <c r="D620" t="n">
        <v>0</v>
      </c>
      <c r="E620" t="inlineStr">
        <is>
          <t>UBER</t>
        </is>
      </c>
    </row>
    <row r="621">
      <c r="A621" t="n">
        <v>148</v>
      </c>
      <c r="B621" t="inlineStr">
        <is>
          <t>Bar Brahma - Granja</t>
        </is>
      </c>
      <c r="C621" s="27" t="n">
        <v>46023</v>
      </c>
      <c r="D621" t="n">
        <v>0</v>
      </c>
      <c r="E621" t="inlineStr">
        <is>
          <t>AME</t>
        </is>
      </c>
    </row>
    <row r="622">
      <c r="A622" t="n">
        <v>148</v>
      </c>
      <c r="B622" t="inlineStr">
        <is>
          <t>Bar Brahma - Granja</t>
        </is>
      </c>
      <c r="C622" s="27" t="n">
        <v>46023</v>
      </c>
      <c r="D622" t="n">
        <v>0</v>
      </c>
      <c r="E622" t="inlineStr">
        <is>
          <t>OUTROS</t>
        </is>
      </c>
    </row>
    <row r="623">
      <c r="A623" t="n">
        <v>148</v>
      </c>
      <c r="B623" t="inlineStr">
        <is>
          <t>Bar Brahma - Granja</t>
        </is>
      </c>
      <c r="C623" s="27" t="n">
        <v>46023</v>
      </c>
      <c r="D623" t="n">
        <v>0</v>
      </c>
      <c r="E623" t="inlineStr">
        <is>
          <t>RAPPI</t>
        </is>
      </c>
    </row>
    <row r="624">
      <c r="A624" t="n">
        <v>148</v>
      </c>
      <c r="B624" t="inlineStr">
        <is>
          <t>Bar Brahma - Granja</t>
        </is>
      </c>
      <c r="C624" s="27" t="n">
        <v>46023</v>
      </c>
      <c r="D624" t="n">
        <v>0</v>
      </c>
      <c r="E624" t="inlineStr">
        <is>
          <t>ANTECIPADO</t>
        </is>
      </c>
    </row>
    <row r="625">
      <c r="A625" t="n">
        <v>148</v>
      </c>
      <c r="B625" t="inlineStr">
        <is>
          <t>Bar Brahma - Granja</t>
        </is>
      </c>
      <c r="C625" s="27" t="n">
        <v>46023</v>
      </c>
      <c r="D625" t="n">
        <v>0</v>
      </c>
      <c r="E625" t="inlineStr">
        <is>
          <t>BÔNUS</t>
        </is>
      </c>
    </row>
    <row r="626">
      <c r="A626" t="n">
        <v>148</v>
      </c>
      <c r="B626" t="inlineStr">
        <is>
          <t>Bar Brahma - Granja</t>
        </is>
      </c>
      <c r="C626" s="27" t="n">
        <v>46023</v>
      </c>
      <c r="D626" t="n">
        <v>0</v>
      </c>
      <c r="E626" t="inlineStr">
        <is>
          <t>DÉBITO</t>
        </is>
      </c>
    </row>
    <row r="627">
      <c r="A627" t="n">
        <v>148</v>
      </c>
      <c r="B627" t="inlineStr">
        <is>
          <t>Bar Brahma - Granja</t>
        </is>
      </c>
      <c r="C627" s="27" t="n">
        <v>46023</v>
      </c>
      <c r="D627" t="n">
        <v>0</v>
      </c>
      <c r="E627" t="inlineStr">
        <is>
          <t>VOUCHER</t>
        </is>
      </c>
    </row>
    <row r="628">
      <c r="A628" t="n">
        <v>148</v>
      </c>
      <c r="B628" t="inlineStr">
        <is>
          <t>Bar Brahma - Granja</t>
        </is>
      </c>
      <c r="C628" s="27" t="n">
        <v>46023</v>
      </c>
      <c r="D628" t="n">
        <v>0</v>
      </c>
      <c r="E628" t="inlineStr">
        <is>
          <t>ANTECIPADO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ID_Casa</t>
        </is>
      </c>
      <c r="C1" t="inlineStr">
        <is>
          <t>Casa</t>
        </is>
      </c>
      <c r="D1" t="inlineStr">
        <is>
          <t>Cliente</t>
        </is>
      </c>
      <c r="E1" t="inlineStr">
        <is>
          <t>Data_Ocorrencia</t>
        </is>
      </c>
      <c r="F1" t="inlineStr">
        <is>
          <t>Vencimento_Parcela</t>
        </is>
      </c>
      <c r="G1" t="inlineStr">
        <is>
          <t>Recebimento_Parcela</t>
        </is>
      </c>
      <c r="H1" t="inlineStr">
        <is>
          <t>Valor_Parcela</t>
        </is>
      </c>
      <c r="I1" t="inlineStr">
        <is>
          <t>Doc_NF</t>
        </is>
      </c>
      <c r="J1" t="inlineStr">
        <is>
          <t>Classif_Receita</t>
        </is>
      </c>
      <c r="K1" t="inlineStr">
        <is>
          <t>Forma_Pagamento</t>
        </is>
      </c>
      <c r="L1" t="inlineStr">
        <is>
          <t>Status_Pgto</t>
        </is>
      </c>
      <c r="M1" t="inlineStr">
        <is>
          <t>Conta_Bancaria</t>
        </is>
      </c>
      <c r="N1" t="inlineStr">
        <is>
          <t>Observacoes</t>
        </is>
      </c>
    </row>
    <row r="2">
      <c r="A2" t="n">
        <v>10703</v>
      </c>
      <c r="B2" t="n">
        <v>148</v>
      </c>
      <c r="C2" t="inlineStr">
        <is>
          <t>Bar Brahma - Granja</t>
        </is>
      </c>
      <c r="D2" t="inlineStr">
        <is>
          <t>TOTAL ACESSO</t>
        </is>
      </c>
      <c r="E2" s="27" t="n">
        <v>46044</v>
      </c>
      <c r="F2" s="27" t="n">
        <v>46051</v>
      </c>
      <c r="G2" s="27" t="n">
        <v>46051</v>
      </c>
      <c r="H2" t="n">
        <v>1594.5</v>
      </c>
      <c r="J2" t="inlineStr">
        <is>
          <t>Bilheteria</t>
        </is>
      </c>
      <c r="K2" t="inlineStr">
        <is>
          <t>Transferência Bancária ou Pix</t>
        </is>
      </c>
      <c r="L2" t="inlineStr">
        <is>
          <t>Pago</t>
        </is>
      </c>
      <c r="M2" t="inlineStr">
        <is>
          <t>Bar Brahma Granja - FDB Novo - Banco do Brasil</t>
        </is>
      </c>
    </row>
    <row r="3">
      <c r="A3" t="n">
        <v>10702</v>
      </c>
      <c r="B3" t="n">
        <v>148</v>
      </c>
      <c r="C3" t="inlineStr">
        <is>
          <t>Bar Brahma - Granja</t>
        </is>
      </c>
      <c r="D3" t="inlineStr">
        <is>
          <t>ALELO</t>
        </is>
      </c>
      <c r="E3" s="27" t="n"/>
      <c r="F3" s="27" t="n">
        <v>46051</v>
      </c>
      <c r="G3" s="27" t="n">
        <v>46051</v>
      </c>
      <c r="H3" t="n">
        <v>239.87</v>
      </c>
      <c r="J3" t="inlineStr">
        <is>
          <t>Voucher</t>
        </is>
      </c>
      <c r="K3" t="inlineStr">
        <is>
          <t>Transferência Bancária ou Pix</t>
        </is>
      </c>
      <c r="L3" t="inlineStr">
        <is>
          <t>Pago</t>
        </is>
      </c>
      <c r="M3" t="inlineStr">
        <is>
          <t>Bar Brahma Granja - FDB Novo - Banco do Brasil</t>
        </is>
      </c>
    </row>
    <row r="4">
      <c r="A4" t="n">
        <v>10657</v>
      </c>
      <c r="B4" t="n">
        <v>148</v>
      </c>
      <c r="C4" t="inlineStr">
        <is>
          <t>Bar Brahma - Granja</t>
        </is>
      </c>
      <c r="D4" t="inlineStr">
        <is>
          <t>ALELO</t>
        </is>
      </c>
      <c r="E4" s="27" t="n"/>
      <c r="F4" s="27" t="n">
        <v>46050</v>
      </c>
      <c r="G4" s="27" t="n">
        <v>46050</v>
      </c>
      <c r="H4" t="n">
        <v>782.86</v>
      </c>
      <c r="J4" t="inlineStr">
        <is>
          <t>Voucher</t>
        </is>
      </c>
      <c r="K4" t="inlineStr">
        <is>
          <t>Transferência Bancária ou Pix</t>
        </is>
      </c>
      <c r="L4" t="inlineStr">
        <is>
          <t>Pago</t>
        </is>
      </c>
      <c r="M4" t="inlineStr">
        <is>
          <t>Bar Brahma Granja - FDB Novo - Banco do Brasil</t>
        </is>
      </c>
    </row>
    <row r="5">
      <c r="A5" t="n">
        <v>10656</v>
      </c>
      <c r="B5" t="n">
        <v>148</v>
      </c>
      <c r="C5" t="inlineStr">
        <is>
          <t>Bar Brahma - Granja</t>
        </is>
      </c>
      <c r="D5" t="inlineStr">
        <is>
          <t>IFOOD - PLATAFORMA DELIVERY</t>
        </is>
      </c>
      <c r="E5" s="27" t="n"/>
      <c r="F5" s="27" t="n">
        <v>46050</v>
      </c>
      <c r="G5" s="27" t="n">
        <v>46050</v>
      </c>
      <c r="H5" t="n">
        <v>495.84</v>
      </c>
      <c r="J5" t="inlineStr">
        <is>
          <t>Plataforma Ifood</t>
        </is>
      </c>
      <c r="K5" t="inlineStr">
        <is>
          <t>Transferência Bancária ou Pix</t>
        </is>
      </c>
      <c r="L5" t="inlineStr">
        <is>
          <t>Pago</t>
        </is>
      </c>
      <c r="M5" t="inlineStr">
        <is>
          <t>Bar Brahma Granja - FDB Novo - Caixa</t>
        </is>
      </c>
    </row>
    <row r="6">
      <c r="A6" t="n">
        <v>10644</v>
      </c>
      <c r="B6" t="n">
        <v>148</v>
      </c>
      <c r="C6" t="inlineStr">
        <is>
          <t>Bar Brahma - Granja</t>
        </is>
      </c>
      <c r="D6" t="inlineStr">
        <is>
          <t xml:space="preserve">VR Benefícios e Serviços </t>
        </is>
      </c>
      <c r="E6" s="27" t="n"/>
      <c r="F6" s="27" t="n">
        <v>46049</v>
      </c>
      <c r="G6" s="27" t="n">
        <v>46049</v>
      </c>
      <c r="H6" t="n">
        <v>1172.1</v>
      </c>
      <c r="J6" t="inlineStr">
        <is>
          <t>Voucher</t>
        </is>
      </c>
      <c r="K6" t="inlineStr">
        <is>
          <t>Transferência Bancária ou Pix</t>
        </is>
      </c>
      <c r="L6" t="inlineStr">
        <is>
          <t>Pago</t>
        </is>
      </c>
      <c r="M6" t="inlineStr">
        <is>
          <t>Bar Brahma Granja - FDB Novo - Banco do Brasil</t>
        </is>
      </c>
    </row>
    <row r="7">
      <c r="A7" t="n">
        <v>10643</v>
      </c>
      <c r="B7" t="n">
        <v>148</v>
      </c>
      <c r="C7" t="inlineStr">
        <is>
          <t>Bar Brahma - Granja</t>
        </is>
      </c>
      <c r="D7" t="inlineStr">
        <is>
          <t>ALELO</t>
        </is>
      </c>
      <c r="E7" s="27" t="n"/>
      <c r="F7" s="27" t="n">
        <v>46049</v>
      </c>
      <c r="G7" s="27" t="n">
        <v>46049</v>
      </c>
      <c r="H7" t="n">
        <v>662.87</v>
      </c>
      <c r="J7" t="inlineStr">
        <is>
          <t>Voucher</t>
        </is>
      </c>
      <c r="K7" t="inlineStr">
        <is>
          <t>Transferência Bancária ou Pix</t>
        </is>
      </c>
      <c r="L7" t="inlineStr">
        <is>
          <t>Pago</t>
        </is>
      </c>
      <c r="M7" t="inlineStr">
        <is>
          <t>Bar Brahma Granja - FDB Novo - Banco do Brasil</t>
        </is>
      </c>
    </row>
    <row r="8">
      <c r="A8" t="n">
        <v>10635</v>
      </c>
      <c r="B8" t="n">
        <v>148</v>
      </c>
      <c r="C8" t="inlineStr">
        <is>
          <t>Bar Brahma - Granja</t>
        </is>
      </c>
      <c r="D8" t="inlineStr">
        <is>
          <t>TICKET SERVICO SA</t>
        </is>
      </c>
      <c r="E8" s="27" t="n"/>
      <c r="F8" s="27" t="n">
        <v>46048</v>
      </c>
      <c r="G8" s="27" t="n">
        <v>46048</v>
      </c>
      <c r="H8" t="n">
        <v>994.46</v>
      </c>
      <c r="J8" t="inlineStr">
        <is>
          <t>Voucher</t>
        </is>
      </c>
      <c r="K8" t="inlineStr">
        <is>
          <t>Transferência Bancária ou Pix</t>
        </is>
      </c>
      <c r="L8" t="inlineStr">
        <is>
          <t>Pago</t>
        </is>
      </c>
      <c r="M8" t="inlineStr">
        <is>
          <t>Bar Brahma Granja - FDB Novo - Banco do Brasil</t>
        </is>
      </c>
    </row>
    <row r="9">
      <c r="A9" t="n">
        <v>10634</v>
      </c>
      <c r="B9" t="n">
        <v>148</v>
      </c>
      <c r="C9" t="inlineStr">
        <is>
          <t>Bar Brahma - Granja</t>
        </is>
      </c>
      <c r="D9" t="inlineStr">
        <is>
          <t>ALELO</t>
        </is>
      </c>
      <c r="E9" s="27" t="n"/>
      <c r="F9" s="27" t="n">
        <v>46048</v>
      </c>
      <c r="G9" s="27" t="n">
        <v>46048</v>
      </c>
      <c r="H9" t="n">
        <v>535.5599999999999</v>
      </c>
      <c r="J9" t="inlineStr">
        <is>
          <t>Voucher</t>
        </is>
      </c>
      <c r="K9" t="inlineStr">
        <is>
          <t>Transferência Bancária ou Pix</t>
        </is>
      </c>
      <c r="L9" t="inlineStr">
        <is>
          <t>Pago</t>
        </is>
      </c>
      <c r="M9" t="inlineStr">
        <is>
          <t>Bar Brahma Granja - FDB Novo - Banco do Brasil</t>
        </is>
      </c>
    </row>
    <row r="10">
      <c r="A10" t="n">
        <v>10593</v>
      </c>
      <c r="B10" t="n">
        <v>148</v>
      </c>
      <c r="C10" t="inlineStr">
        <is>
          <t>Bar Brahma - Granja</t>
        </is>
      </c>
      <c r="D10" t="inlineStr">
        <is>
          <t>PLUXEE BENEFICIOS BRASIL S.A. (SODEXO)</t>
        </is>
      </c>
      <c r="E10" s="27" t="n"/>
      <c r="F10" s="27" t="n">
        <v>46045</v>
      </c>
      <c r="G10" s="27" t="n">
        <v>46045</v>
      </c>
      <c r="H10" t="n">
        <v>2462.71</v>
      </c>
      <c r="J10" t="inlineStr">
        <is>
          <t>Voucher</t>
        </is>
      </c>
      <c r="K10" t="inlineStr">
        <is>
          <t>Transferência Bancária ou Pix</t>
        </is>
      </c>
      <c r="L10" t="inlineStr">
        <is>
          <t>Pago</t>
        </is>
      </c>
      <c r="M10" t="inlineStr">
        <is>
          <t>Bar Brahma Granja - FDB Novo - Banco do Brasil</t>
        </is>
      </c>
    </row>
    <row r="11">
      <c r="A11" t="n">
        <v>10589</v>
      </c>
      <c r="B11" t="n">
        <v>148</v>
      </c>
      <c r="C11" t="inlineStr">
        <is>
          <t>Bar Brahma - Granja</t>
        </is>
      </c>
      <c r="D11" t="inlineStr">
        <is>
          <t>ALELO</t>
        </is>
      </c>
      <c r="E11" s="27" t="n"/>
      <c r="F11" s="27" t="n">
        <v>46044</v>
      </c>
      <c r="G11" s="27" t="n">
        <v>46044</v>
      </c>
      <c r="H11" t="n">
        <v>302.58</v>
      </c>
      <c r="J11" t="inlineStr">
        <is>
          <t>Voucher</t>
        </is>
      </c>
      <c r="K11" t="inlineStr">
        <is>
          <t>Transferência Bancária ou Pix</t>
        </is>
      </c>
      <c r="L11" t="inlineStr">
        <is>
          <t>Pago</t>
        </is>
      </c>
      <c r="M11" t="inlineStr">
        <is>
          <t>Bar Brahma Granja - FDB Novo - Banco do Brasil</t>
        </is>
      </c>
    </row>
    <row r="12">
      <c r="A12" t="n">
        <v>10553</v>
      </c>
      <c r="B12" t="n">
        <v>148</v>
      </c>
      <c r="C12" t="inlineStr">
        <is>
          <t>Bar Brahma - Granja</t>
        </is>
      </c>
      <c r="D12" t="inlineStr">
        <is>
          <t>IFOOD - PLATAFORMA DELIVERY</t>
        </is>
      </c>
      <c r="E12" s="27" t="n"/>
      <c r="F12" s="27" t="n">
        <v>46043</v>
      </c>
      <c r="G12" s="27" t="n">
        <v>46043</v>
      </c>
      <c r="H12" t="n">
        <v>256.46</v>
      </c>
      <c r="J12" t="inlineStr">
        <is>
          <t>Plataforma Ifood</t>
        </is>
      </c>
      <c r="K12" t="inlineStr">
        <is>
          <t>Transferência Bancária ou Pix</t>
        </is>
      </c>
      <c r="L12" t="inlineStr">
        <is>
          <t>Pago</t>
        </is>
      </c>
      <c r="M12" t="inlineStr">
        <is>
          <t>Bar Brahma Granja - FDB Novo - Caixa</t>
        </is>
      </c>
    </row>
    <row r="13">
      <c r="A13" t="n">
        <v>10554</v>
      </c>
      <c r="B13" t="n">
        <v>148</v>
      </c>
      <c r="C13" t="inlineStr">
        <is>
          <t>Bar Brahma - Granja</t>
        </is>
      </c>
      <c r="D13" t="inlineStr">
        <is>
          <t>ALELO</t>
        </is>
      </c>
      <c r="E13" s="27" t="n"/>
      <c r="F13" s="27" t="n">
        <v>46043</v>
      </c>
      <c r="G13" s="27" t="n">
        <v>46043</v>
      </c>
      <c r="H13" t="n">
        <v>187.96</v>
      </c>
      <c r="J13" t="inlineStr">
        <is>
          <t>Voucher</t>
        </is>
      </c>
      <c r="K13" t="inlineStr">
        <is>
          <t>Transferência Bancária ou Pix</t>
        </is>
      </c>
      <c r="L13" t="inlineStr">
        <is>
          <t>Pago</t>
        </is>
      </c>
      <c r="M13" t="inlineStr">
        <is>
          <t>Bar Brahma Granja - FDB Novo - Banco do Brasil</t>
        </is>
      </c>
    </row>
    <row r="14">
      <c r="A14" t="n">
        <v>10536</v>
      </c>
      <c r="B14" t="n">
        <v>148</v>
      </c>
      <c r="C14" t="inlineStr">
        <is>
          <t>Bar Brahma - Granja</t>
        </is>
      </c>
      <c r="D14" t="inlineStr">
        <is>
          <t xml:space="preserve">VR Benefícios e Serviços </t>
        </is>
      </c>
      <c r="E14" s="27" t="n"/>
      <c r="F14" s="27" t="n">
        <v>46042</v>
      </c>
      <c r="G14" s="27" t="n">
        <v>46042</v>
      </c>
      <c r="H14" t="n">
        <v>316.16</v>
      </c>
      <c r="J14" t="inlineStr">
        <is>
          <t>Voucher</t>
        </is>
      </c>
      <c r="K14" t="inlineStr">
        <is>
          <t>Transferência Bancária ou Pix</t>
        </is>
      </c>
      <c r="L14" t="inlineStr">
        <is>
          <t>Pago</t>
        </is>
      </c>
      <c r="M14" t="inlineStr">
        <is>
          <t>Bar Brahma Granja - FDB Novo - Banco do Brasil</t>
        </is>
      </c>
    </row>
    <row r="15">
      <c r="A15" t="n">
        <v>10535</v>
      </c>
      <c r="B15" t="n">
        <v>148</v>
      </c>
      <c r="C15" t="inlineStr">
        <is>
          <t>Bar Brahma - Granja</t>
        </is>
      </c>
      <c r="D15" t="inlineStr">
        <is>
          <t>CIELO</t>
        </is>
      </c>
      <c r="E15" s="27" t="n"/>
      <c r="F15" s="27" t="n">
        <v>46042</v>
      </c>
      <c r="G15" s="27" t="n">
        <v>46042</v>
      </c>
      <c r="H15" t="n">
        <v>188.38</v>
      </c>
      <c r="J15" t="inlineStr">
        <is>
          <t>Voucher</t>
        </is>
      </c>
      <c r="K15" t="inlineStr">
        <is>
          <t>Transferência Bancária ou Pix</t>
        </is>
      </c>
      <c r="L15" t="inlineStr">
        <is>
          <t>Pago</t>
        </is>
      </c>
      <c r="M15" t="inlineStr">
        <is>
          <t>Bar Brahma Granja - FDB Novo - Banco do Brasil</t>
        </is>
      </c>
    </row>
    <row r="16">
      <c r="A16" t="n">
        <v>10534</v>
      </c>
      <c r="B16" t="n">
        <v>148</v>
      </c>
      <c r="C16" t="inlineStr">
        <is>
          <t>Bar Brahma - Granja</t>
        </is>
      </c>
      <c r="D16" t="inlineStr">
        <is>
          <t>ALELO</t>
        </is>
      </c>
      <c r="E16" s="27" t="n"/>
      <c r="F16" s="27" t="n">
        <v>46042</v>
      </c>
      <c r="G16" s="27" t="n">
        <v>46042</v>
      </c>
      <c r="H16" t="n">
        <v>700.51</v>
      </c>
      <c r="J16" t="inlineStr">
        <is>
          <t>Voucher</t>
        </is>
      </c>
      <c r="K16" t="inlineStr">
        <is>
          <t>Transferência Bancária ou Pix</t>
        </is>
      </c>
      <c r="L16" t="inlineStr">
        <is>
          <t>Pago</t>
        </is>
      </c>
      <c r="M16" t="inlineStr">
        <is>
          <t>Bar Brahma Granja - FDB Novo - Banco do Brasil</t>
        </is>
      </c>
    </row>
    <row r="17">
      <c r="A17" t="n">
        <v>10529</v>
      </c>
      <c r="B17" t="n">
        <v>148</v>
      </c>
      <c r="C17" t="inlineStr">
        <is>
          <t>Bar Brahma - Granja</t>
        </is>
      </c>
      <c r="D17" t="inlineStr">
        <is>
          <t>TICKET SERVICO SA</t>
        </is>
      </c>
      <c r="E17" s="27" t="n"/>
      <c r="F17" s="27" t="n">
        <v>46041</v>
      </c>
      <c r="G17" s="27" t="n">
        <v>46041</v>
      </c>
      <c r="H17" t="n">
        <v>1663.17</v>
      </c>
      <c r="J17" t="inlineStr">
        <is>
          <t>Voucher</t>
        </is>
      </c>
      <c r="K17" t="inlineStr">
        <is>
          <t>Transferência Bancária ou Pix</t>
        </is>
      </c>
      <c r="L17" t="inlineStr">
        <is>
          <t>Pago</t>
        </is>
      </c>
      <c r="M17" t="inlineStr">
        <is>
          <t>Bar Brahma Granja - FDB Novo - Banco do Brasil</t>
        </is>
      </c>
    </row>
    <row r="18">
      <c r="A18" t="n">
        <v>10528</v>
      </c>
      <c r="B18" t="n">
        <v>148</v>
      </c>
      <c r="C18" t="inlineStr">
        <is>
          <t>Bar Brahma - Granja</t>
        </is>
      </c>
      <c r="D18" t="inlineStr">
        <is>
          <t>ALELO</t>
        </is>
      </c>
      <c r="E18" s="27" t="n"/>
      <c r="F18" s="27" t="n">
        <v>46041</v>
      </c>
      <c r="G18" s="27" t="n">
        <v>46041</v>
      </c>
      <c r="H18" t="n">
        <v>2176.54</v>
      </c>
      <c r="J18" t="inlineStr">
        <is>
          <t>Voucher</t>
        </is>
      </c>
      <c r="K18" t="inlineStr">
        <is>
          <t>Transferência Bancária ou Pix</t>
        </is>
      </c>
      <c r="L18" t="inlineStr">
        <is>
          <t>Pago</t>
        </is>
      </c>
      <c r="M18" t="inlineStr">
        <is>
          <t>Bar Brahma Granja - FDB Novo - Banco do Brasil</t>
        </is>
      </c>
    </row>
    <row r="19">
      <c r="A19" t="n">
        <v>10473</v>
      </c>
      <c r="B19" t="n">
        <v>148</v>
      </c>
      <c r="C19" t="inlineStr">
        <is>
          <t>Bar Brahma - Granja</t>
        </is>
      </c>
      <c r="D19" t="inlineStr">
        <is>
          <t>TICKET SERVICO SA</t>
        </is>
      </c>
      <c r="E19" s="27" t="n"/>
      <c r="F19" s="27" t="n">
        <v>46038</v>
      </c>
      <c r="G19" s="27" t="n">
        <v>46038</v>
      </c>
      <c r="H19" t="n">
        <v>48.17</v>
      </c>
      <c r="J19" t="inlineStr">
        <is>
          <t>Voucher</t>
        </is>
      </c>
      <c r="K19" t="inlineStr">
        <is>
          <t>Transferência Bancária ou Pix</t>
        </is>
      </c>
      <c r="L19" t="inlineStr">
        <is>
          <t>Pago</t>
        </is>
      </c>
      <c r="M19" t="inlineStr">
        <is>
          <t>Bar Brahma Granja - FDB Novo - Banco do Brasil</t>
        </is>
      </c>
    </row>
    <row r="20">
      <c r="A20" t="n">
        <v>10472</v>
      </c>
      <c r="B20" t="n">
        <v>148</v>
      </c>
      <c r="C20" t="inlineStr">
        <is>
          <t>Bar Brahma - Granja</t>
        </is>
      </c>
      <c r="D20" t="inlineStr">
        <is>
          <t>ALELO</t>
        </is>
      </c>
      <c r="E20" s="27" t="n"/>
      <c r="F20" s="27" t="n">
        <v>46038</v>
      </c>
      <c r="G20" s="27" t="n">
        <v>46038</v>
      </c>
      <c r="H20" t="n">
        <v>204.73</v>
      </c>
      <c r="J20" t="inlineStr">
        <is>
          <t>Voucher</t>
        </is>
      </c>
      <c r="K20" t="inlineStr">
        <is>
          <t>Transferência Bancária ou Pix</t>
        </is>
      </c>
      <c r="L20" t="inlineStr">
        <is>
          <t>Pago</t>
        </is>
      </c>
      <c r="M20" t="inlineStr">
        <is>
          <t>Bar Brahma Granja - FDB Novo - Banco do Brasil</t>
        </is>
      </c>
    </row>
    <row r="21">
      <c r="A21" t="n">
        <v>10471</v>
      </c>
      <c r="B21" t="n">
        <v>148</v>
      </c>
      <c r="C21" t="inlineStr">
        <is>
          <t>Bar Brahma - Granja</t>
        </is>
      </c>
      <c r="D21" t="inlineStr">
        <is>
          <t>PLUXEE BENEFICIOS BRASIL S.A. (SODEXO)</t>
        </is>
      </c>
      <c r="E21" s="27" t="n"/>
      <c r="F21" s="27" t="n">
        <v>46038</v>
      </c>
      <c r="G21" s="27" t="n">
        <v>46038</v>
      </c>
      <c r="H21" t="n">
        <v>961.22</v>
      </c>
      <c r="J21" t="inlineStr">
        <is>
          <t>Voucher</t>
        </is>
      </c>
      <c r="K21" t="inlineStr">
        <is>
          <t>Transferência Bancária ou Pix</t>
        </is>
      </c>
      <c r="L21" t="inlineStr">
        <is>
          <t>Pago</t>
        </is>
      </c>
      <c r="M21" t="inlineStr">
        <is>
          <t>Bar Brahma Granja - FDB Novo - Banco do Brasil</t>
        </is>
      </c>
    </row>
    <row r="22">
      <c r="A22" t="n">
        <v>10469</v>
      </c>
      <c r="B22" t="n">
        <v>148</v>
      </c>
      <c r="C22" t="inlineStr">
        <is>
          <t>Bar Brahma - Granja</t>
        </is>
      </c>
      <c r="D22" t="inlineStr">
        <is>
          <t>ALELO</t>
        </is>
      </c>
      <c r="E22" s="27" t="n"/>
      <c r="F22" s="27" t="n">
        <v>46037</v>
      </c>
      <c r="G22" s="27" t="n">
        <v>46037</v>
      </c>
      <c r="H22" t="n">
        <v>458.33</v>
      </c>
      <c r="J22" t="inlineStr">
        <is>
          <t>Voucher</t>
        </is>
      </c>
      <c r="K22" t="inlineStr">
        <is>
          <t>Transferência Bancária ou Pix</t>
        </is>
      </c>
      <c r="L22" t="inlineStr">
        <is>
          <t>Pago</t>
        </is>
      </c>
      <c r="M22" t="inlineStr">
        <is>
          <t>Bar Brahma Granja - FDB Novo - Banco do Brasil</t>
        </is>
      </c>
    </row>
    <row r="23">
      <c r="A23" t="n">
        <v>10438</v>
      </c>
      <c r="B23" t="n">
        <v>148</v>
      </c>
      <c r="C23" t="inlineStr">
        <is>
          <t>Bar Brahma - Granja</t>
        </is>
      </c>
      <c r="D23" t="inlineStr">
        <is>
          <t>ALELO</t>
        </is>
      </c>
      <c r="E23" s="27" t="n"/>
      <c r="F23" s="27" t="n">
        <v>46036</v>
      </c>
      <c r="G23" s="27" t="n">
        <v>46036</v>
      </c>
      <c r="H23" t="n">
        <v>186.73</v>
      </c>
      <c r="J23" t="inlineStr">
        <is>
          <t>Voucher</t>
        </is>
      </c>
      <c r="K23" t="inlineStr">
        <is>
          <t>Transferência Bancária ou Pix</t>
        </is>
      </c>
      <c r="L23" t="inlineStr">
        <is>
          <t>Pago</t>
        </is>
      </c>
      <c r="M23" t="inlineStr">
        <is>
          <t>Bar Brahma Granja - FDB Novo - Banco do Brasil</t>
        </is>
      </c>
    </row>
    <row r="24">
      <c r="A24" t="n">
        <v>10492</v>
      </c>
      <c r="B24" t="n">
        <v>148</v>
      </c>
      <c r="C24" t="inlineStr">
        <is>
          <t>Bar Brahma - Granja</t>
        </is>
      </c>
      <c r="D24" t="inlineStr">
        <is>
          <t>IFOOD - PLATAFORMA DELIVERY</t>
        </is>
      </c>
      <c r="E24" s="27" t="n"/>
      <c r="F24" s="27" t="n">
        <v>46036</v>
      </c>
      <c r="G24" s="27" t="n">
        <v>46036</v>
      </c>
      <c r="H24" t="n">
        <v>1691.72</v>
      </c>
      <c r="J24" t="inlineStr">
        <is>
          <t>Plataforma Ifood</t>
        </is>
      </c>
      <c r="K24" t="inlineStr">
        <is>
          <t>Transferência Bancária ou Pix</t>
        </is>
      </c>
      <c r="L24" t="inlineStr">
        <is>
          <t>Pago</t>
        </is>
      </c>
      <c r="M24" t="inlineStr">
        <is>
          <t>Bar Brahma Granja - FDB Novo - Caixa</t>
        </is>
      </c>
    </row>
    <row r="25">
      <c r="A25" t="n">
        <v>10439</v>
      </c>
      <c r="B25" t="n">
        <v>148</v>
      </c>
      <c r="C25" t="inlineStr">
        <is>
          <t>Bar Brahma - Granja</t>
        </is>
      </c>
      <c r="D25" t="inlineStr">
        <is>
          <t>TICKET SERVICO SA</t>
        </is>
      </c>
      <c r="E25" s="27" t="n"/>
      <c r="F25" s="27" t="n">
        <v>46036</v>
      </c>
      <c r="G25" s="27" t="n">
        <v>46036</v>
      </c>
      <c r="H25" t="n">
        <v>65.34999999999999</v>
      </c>
      <c r="J25" t="inlineStr">
        <is>
          <t>Voucher</t>
        </is>
      </c>
      <c r="K25" t="inlineStr">
        <is>
          <t>Transferência Bancária ou Pix</t>
        </is>
      </c>
      <c r="L25" t="inlineStr">
        <is>
          <t>Pago</t>
        </is>
      </c>
      <c r="M25" t="inlineStr">
        <is>
          <t>Bar Brahma Granja - FDB Novo - Banco do Brasil</t>
        </is>
      </c>
    </row>
    <row r="26">
      <c r="A26" t="n">
        <v>10300</v>
      </c>
      <c r="B26" t="n">
        <v>148</v>
      </c>
      <c r="C26" t="inlineStr">
        <is>
          <t>Bar Brahma - Granja</t>
        </is>
      </c>
      <c r="D26" t="inlineStr">
        <is>
          <t>LIRIUM RECICLAGEM</t>
        </is>
      </c>
      <c r="E26" s="27" t="n">
        <v>46022</v>
      </c>
      <c r="F26" s="27" t="n">
        <v>46032</v>
      </c>
      <c r="G26" s="27" t="n">
        <v>46036</v>
      </c>
      <c r="H26" t="n">
        <v>850.5</v>
      </c>
      <c r="J26" t="inlineStr">
        <is>
          <t>Coleta de Óleo</t>
        </is>
      </c>
      <c r="K26" t="inlineStr">
        <is>
          <t>Transferência Bancária ou Pix</t>
        </is>
      </c>
      <c r="L26" t="inlineStr">
        <is>
          <t>Pago</t>
        </is>
      </c>
      <c r="M26" t="inlineStr">
        <is>
          <t>Bar Brahma Granja - FDB Novo - Banco do Brasil</t>
        </is>
      </c>
    </row>
    <row r="27">
      <c r="A27" t="n">
        <v>10408</v>
      </c>
      <c r="B27" t="n">
        <v>148</v>
      </c>
      <c r="C27" t="inlineStr">
        <is>
          <t>Bar Brahma - Granja</t>
        </is>
      </c>
      <c r="D27" t="inlineStr">
        <is>
          <t xml:space="preserve">VR Benefícios e Serviços </t>
        </is>
      </c>
      <c r="E27" s="27" t="n"/>
      <c r="F27" s="27" t="n">
        <v>46035</v>
      </c>
      <c r="G27" s="27" t="n">
        <v>46035</v>
      </c>
      <c r="H27" t="n">
        <v>233.84</v>
      </c>
      <c r="J27" t="inlineStr">
        <is>
          <t>Voucher</t>
        </is>
      </c>
      <c r="K27" t="inlineStr">
        <is>
          <t>Transferência Bancária ou Pix</t>
        </is>
      </c>
      <c r="L27" t="inlineStr">
        <is>
          <t>Pago</t>
        </is>
      </c>
      <c r="M27" t="inlineStr">
        <is>
          <t>Bar Brahma Granja - FDB Novo - Banco do Brasil</t>
        </is>
      </c>
    </row>
    <row r="28">
      <c r="A28" t="n">
        <v>10407</v>
      </c>
      <c r="B28" t="n">
        <v>148</v>
      </c>
      <c r="C28" t="inlineStr">
        <is>
          <t>Bar Brahma - Granja</t>
        </is>
      </c>
      <c r="D28" t="inlineStr">
        <is>
          <t>ALELO</t>
        </is>
      </c>
      <c r="E28" s="27" t="n"/>
      <c r="F28" s="27" t="n">
        <v>46035</v>
      </c>
      <c r="G28" s="27" t="n">
        <v>46035</v>
      </c>
      <c r="H28" t="n">
        <v>728.74</v>
      </c>
      <c r="J28" t="inlineStr">
        <is>
          <t>Voucher</t>
        </is>
      </c>
      <c r="K28" t="inlineStr">
        <is>
          <t>Transferência Bancária ou Pix</t>
        </is>
      </c>
      <c r="L28" t="inlineStr">
        <is>
          <t>Pago</t>
        </is>
      </c>
      <c r="M28" t="inlineStr">
        <is>
          <t>Bar Brahma Granja - FDB Novo - Banco do Brasil</t>
        </is>
      </c>
    </row>
    <row r="29">
      <c r="A29" t="n">
        <v>10400</v>
      </c>
      <c r="B29" t="n">
        <v>148</v>
      </c>
      <c r="C29" t="inlineStr">
        <is>
          <t>Bar Brahma - Granja</t>
        </is>
      </c>
      <c r="D29" t="inlineStr">
        <is>
          <t>TICKET SERVICO SA</t>
        </is>
      </c>
      <c r="E29" s="27" t="n"/>
      <c r="F29" s="27" t="n">
        <v>46034</v>
      </c>
      <c r="G29" s="27" t="n">
        <v>46034</v>
      </c>
      <c r="H29" t="n">
        <v>2356.92</v>
      </c>
      <c r="J29" t="inlineStr">
        <is>
          <t>Voucher</t>
        </is>
      </c>
      <c r="K29" t="inlineStr">
        <is>
          <t>Transferência Bancária ou Pix</t>
        </is>
      </c>
      <c r="L29" t="inlineStr">
        <is>
          <t>Pago</t>
        </is>
      </c>
      <c r="M29" t="inlineStr">
        <is>
          <t>Bar Brahma Granja - FDB Novo - Banco do Brasil</t>
        </is>
      </c>
    </row>
    <row r="30">
      <c r="A30" t="n">
        <v>10399</v>
      </c>
      <c r="B30" t="n">
        <v>148</v>
      </c>
      <c r="C30" t="inlineStr">
        <is>
          <t>Bar Brahma - Granja</t>
        </is>
      </c>
      <c r="D30" t="inlineStr">
        <is>
          <t>ALELO</t>
        </is>
      </c>
      <c r="E30" s="27" t="n"/>
      <c r="F30" s="27" t="n">
        <v>46034</v>
      </c>
      <c r="G30" s="27" t="n">
        <v>46034</v>
      </c>
      <c r="H30" t="n">
        <v>2055.44</v>
      </c>
      <c r="J30" t="inlineStr">
        <is>
          <t>Voucher</t>
        </is>
      </c>
      <c r="K30" t="inlineStr">
        <is>
          <t>Transferência Bancária ou Pix</t>
        </is>
      </c>
      <c r="L30" t="inlineStr">
        <is>
          <t>Pago</t>
        </is>
      </c>
      <c r="M30" t="inlineStr">
        <is>
          <t>Bar Brahma Granja - FDB Novo - Banco do Brasil</t>
        </is>
      </c>
    </row>
    <row r="31">
      <c r="A31" t="n">
        <v>10362</v>
      </c>
      <c r="B31" t="n">
        <v>148</v>
      </c>
      <c r="C31" t="inlineStr">
        <is>
          <t>Bar Brahma - Granja</t>
        </is>
      </c>
      <c r="D31" t="inlineStr">
        <is>
          <t>PLUXEE BENEFICIOS BRASIL S.A. (SODEXO)</t>
        </is>
      </c>
      <c r="E31" s="27" t="n"/>
      <c r="F31" s="27" t="n">
        <v>46031</v>
      </c>
      <c r="G31" s="27" t="n">
        <v>46031</v>
      </c>
      <c r="H31" t="n">
        <v>625.08</v>
      </c>
      <c r="J31" t="inlineStr">
        <is>
          <t>Voucher</t>
        </is>
      </c>
      <c r="K31" t="inlineStr">
        <is>
          <t>Transferência Bancária ou Pix</t>
        </is>
      </c>
      <c r="L31" t="inlineStr">
        <is>
          <t>Pago</t>
        </is>
      </c>
      <c r="M31" t="inlineStr">
        <is>
          <t>Bar Brahma Granja - FDB Novo - Banco do Brasil</t>
        </is>
      </c>
    </row>
    <row r="32">
      <c r="A32" t="n">
        <v>10363</v>
      </c>
      <c r="B32" t="n">
        <v>148</v>
      </c>
      <c r="C32" t="inlineStr">
        <is>
          <t>Bar Brahma - Granja</t>
        </is>
      </c>
      <c r="D32" t="inlineStr">
        <is>
          <t>ALELO</t>
        </is>
      </c>
      <c r="E32" s="27" t="n"/>
      <c r="F32" s="27" t="n">
        <v>46031</v>
      </c>
      <c r="G32" s="27" t="n">
        <v>46031</v>
      </c>
      <c r="H32" t="n">
        <v>33.12</v>
      </c>
      <c r="J32" t="inlineStr">
        <is>
          <t>Voucher</t>
        </is>
      </c>
      <c r="K32" t="inlineStr">
        <is>
          <t>Transferência Bancária ou Pix</t>
        </is>
      </c>
      <c r="L32" t="inlineStr">
        <is>
          <t>Pago</t>
        </is>
      </c>
      <c r="M32" t="inlineStr">
        <is>
          <t>Bar Brahma Granja - FDB Novo - Banco do Brasil</t>
        </is>
      </c>
    </row>
    <row r="33">
      <c r="A33" t="n">
        <v>10364</v>
      </c>
      <c r="B33" t="n">
        <v>148</v>
      </c>
      <c r="C33" t="inlineStr">
        <is>
          <t>Bar Brahma - Granja</t>
        </is>
      </c>
      <c r="D33" t="inlineStr">
        <is>
          <t>ALELO</t>
        </is>
      </c>
      <c r="E33" s="27" t="n"/>
      <c r="F33" s="27" t="n">
        <v>46031</v>
      </c>
      <c r="G33" s="27" t="n">
        <v>46031</v>
      </c>
      <c r="H33" t="n">
        <v>148.04</v>
      </c>
      <c r="J33" t="inlineStr">
        <is>
          <t>Voucher</t>
        </is>
      </c>
      <c r="K33" t="inlineStr">
        <is>
          <t>Transferência Bancária ou Pix</t>
        </is>
      </c>
      <c r="L33" t="inlineStr">
        <is>
          <t>Pago</t>
        </is>
      </c>
      <c r="M33" t="inlineStr">
        <is>
          <t>Bar Brahma Granja - FDB Novo - Banco do Brasil</t>
        </is>
      </c>
    </row>
    <row r="34">
      <c r="A34" t="n">
        <v>10352</v>
      </c>
      <c r="B34" t="n">
        <v>148</v>
      </c>
      <c r="C34" t="inlineStr">
        <is>
          <t>Bar Brahma - Granja</t>
        </is>
      </c>
      <c r="D34" t="inlineStr">
        <is>
          <t>ALELO</t>
        </is>
      </c>
      <c r="E34" s="27" t="n"/>
      <c r="F34" s="27" t="n">
        <v>46030</v>
      </c>
      <c r="G34" s="27" t="n">
        <v>46030</v>
      </c>
      <c r="H34" t="n">
        <v>105.38</v>
      </c>
      <c r="J34" t="inlineStr">
        <is>
          <t>Voucher</t>
        </is>
      </c>
      <c r="K34" t="inlineStr">
        <is>
          <t>Transferência Bancária ou Pix</t>
        </is>
      </c>
      <c r="L34" t="inlineStr">
        <is>
          <t>Pago</t>
        </is>
      </c>
      <c r="M34" t="inlineStr">
        <is>
          <t>Bar Brahma Granja - FDB Novo - Banco do Brasil</t>
        </is>
      </c>
    </row>
    <row r="35">
      <c r="A35" t="n">
        <v>10345</v>
      </c>
      <c r="B35" t="n">
        <v>148</v>
      </c>
      <c r="C35" t="inlineStr">
        <is>
          <t>Bar Brahma - Granja</t>
        </is>
      </c>
      <c r="D35" t="inlineStr">
        <is>
          <t>ALELO</t>
        </is>
      </c>
      <c r="E35" s="27" t="n"/>
      <c r="F35" s="27" t="n">
        <v>46029</v>
      </c>
      <c r="G35" s="27" t="n">
        <v>46029</v>
      </c>
      <c r="H35" t="n">
        <v>96.76000000000001</v>
      </c>
      <c r="J35" t="inlineStr">
        <is>
          <t>Voucher</t>
        </is>
      </c>
      <c r="K35" t="inlineStr">
        <is>
          <t>Transferência Bancária ou Pix</t>
        </is>
      </c>
      <c r="L35" t="inlineStr">
        <is>
          <t>Pago</t>
        </is>
      </c>
      <c r="M35" t="inlineStr">
        <is>
          <t>Bar Brahma Granja - FDB Novo - Banco do Brasil</t>
        </is>
      </c>
    </row>
    <row r="36">
      <c r="A36" t="n">
        <v>10347</v>
      </c>
      <c r="B36" t="n">
        <v>148</v>
      </c>
      <c r="C36" t="inlineStr">
        <is>
          <t>Bar Brahma - Granja</t>
        </is>
      </c>
      <c r="D36" t="inlineStr">
        <is>
          <t>IFOOD - PLATAFORMA DELIVERY</t>
        </is>
      </c>
      <c r="E36" s="27" t="n"/>
      <c r="F36" s="27" t="n">
        <v>46029</v>
      </c>
      <c r="G36" s="27" t="n">
        <v>46029</v>
      </c>
      <c r="H36" t="n">
        <v>1966.36</v>
      </c>
      <c r="J36" t="inlineStr">
        <is>
          <t>Plataforma Ifood</t>
        </is>
      </c>
      <c r="K36" t="inlineStr">
        <is>
          <t>Transferência Bancária ou Pix</t>
        </is>
      </c>
      <c r="L36" t="inlineStr">
        <is>
          <t>Pago</t>
        </is>
      </c>
      <c r="M36" t="inlineStr">
        <is>
          <t>Bar Brahma Granja - FDB Novo - Caixa</t>
        </is>
      </c>
    </row>
    <row r="37">
      <c r="A37" t="n">
        <v>10299</v>
      </c>
      <c r="B37" t="n">
        <v>148</v>
      </c>
      <c r="C37" t="inlineStr">
        <is>
          <t>Bar Brahma - Granja</t>
        </is>
      </c>
      <c r="D37" t="inlineStr">
        <is>
          <t xml:space="preserve">VR Benefícios e Serviços </t>
        </is>
      </c>
      <c r="E37" s="27" t="n"/>
      <c r="F37" s="27" t="n">
        <v>46028</v>
      </c>
      <c r="G37" s="27" t="n">
        <v>46028</v>
      </c>
      <c r="H37" t="n">
        <v>493.09</v>
      </c>
      <c r="J37" t="inlineStr">
        <is>
          <t>Voucher</t>
        </is>
      </c>
      <c r="K37" t="inlineStr">
        <is>
          <t>Transferência Bancária ou Pix</t>
        </is>
      </c>
      <c r="L37" t="inlineStr">
        <is>
          <t>Pago</t>
        </is>
      </c>
      <c r="M37" t="inlineStr">
        <is>
          <t>Bar Brahma Granja - FDB Novo - Banco do Brasil</t>
        </is>
      </c>
    </row>
    <row r="38">
      <c r="A38" t="n">
        <v>10298</v>
      </c>
      <c r="B38" t="n">
        <v>148</v>
      </c>
      <c r="C38" t="inlineStr">
        <is>
          <t>Bar Brahma - Granja</t>
        </is>
      </c>
      <c r="D38" t="inlineStr">
        <is>
          <t>ALELO</t>
        </is>
      </c>
      <c r="E38" s="27" t="n"/>
      <c r="F38" s="27" t="n">
        <v>46028</v>
      </c>
      <c r="G38" s="27" t="n">
        <v>46028</v>
      </c>
      <c r="H38" t="n">
        <v>302.79</v>
      </c>
      <c r="J38" t="inlineStr">
        <is>
          <t>Voucher</t>
        </is>
      </c>
      <c r="K38" t="inlineStr">
        <is>
          <t>Transferência Bancária ou Pix</t>
        </is>
      </c>
      <c r="L38" t="inlineStr">
        <is>
          <t>Pago</t>
        </is>
      </c>
      <c r="M38" t="inlineStr">
        <is>
          <t>Bar Brahma Granja - FDB Novo - Banco do Brasil</t>
        </is>
      </c>
    </row>
    <row r="39">
      <c r="A39" t="n">
        <v>10275</v>
      </c>
      <c r="B39" t="n">
        <v>148</v>
      </c>
      <c r="C39" t="inlineStr">
        <is>
          <t>Bar Brahma - Granja</t>
        </is>
      </c>
      <c r="D39" t="inlineStr">
        <is>
          <t>TICKET SERVICO SA</t>
        </is>
      </c>
      <c r="E39" s="27" t="n">
        <v>46027</v>
      </c>
      <c r="F39" s="27" t="n">
        <v>46027</v>
      </c>
      <c r="G39" s="27" t="n">
        <v>46027</v>
      </c>
      <c r="H39" t="n">
        <v>1676.41</v>
      </c>
      <c r="J39" t="inlineStr">
        <is>
          <t>Voucher</t>
        </is>
      </c>
      <c r="K39" t="inlineStr">
        <is>
          <t>Transferência Bancária ou Pix</t>
        </is>
      </c>
      <c r="L39" t="inlineStr">
        <is>
          <t>Pago</t>
        </is>
      </c>
      <c r="M39" t="inlineStr">
        <is>
          <t>Bar Brahma Granja - FDB Novo - Banco do Brasil</t>
        </is>
      </c>
      <c r="N39" t="inlineStr">
        <is>
          <t>TICKET - 01/2025</t>
        </is>
      </c>
    </row>
    <row r="40">
      <c r="A40" t="n">
        <v>10274</v>
      </c>
      <c r="B40" t="n">
        <v>148</v>
      </c>
      <c r="C40" t="inlineStr">
        <is>
          <t>Bar Brahma - Granja</t>
        </is>
      </c>
      <c r="D40" t="inlineStr">
        <is>
          <t>ALELO</t>
        </is>
      </c>
      <c r="E40" s="27" t="n">
        <v>46027</v>
      </c>
      <c r="F40" s="27" t="n">
        <v>46027</v>
      </c>
      <c r="G40" s="27" t="n">
        <v>46027</v>
      </c>
      <c r="H40" t="n">
        <v>2242.58</v>
      </c>
      <c r="J40" t="inlineStr">
        <is>
          <t>Voucher</t>
        </is>
      </c>
      <c r="K40" t="inlineStr">
        <is>
          <t>Transferência Bancária ou Pix</t>
        </is>
      </c>
      <c r="L40" t="inlineStr">
        <is>
          <t>Pago</t>
        </is>
      </c>
      <c r="M40" t="inlineStr">
        <is>
          <t>Bar Brahma Granja - FDB Novo - Banco do Brasil</t>
        </is>
      </c>
      <c r="N40" t="inlineStr">
        <is>
          <t>ALELO - 01/2026</t>
        </is>
      </c>
    </row>
    <row r="41">
      <c r="A41" t="n">
        <v>10268</v>
      </c>
      <c r="B41" t="n">
        <v>148</v>
      </c>
      <c r="C41" t="inlineStr">
        <is>
          <t>Bar Brahma - Granja</t>
        </is>
      </c>
      <c r="D41" t="inlineStr">
        <is>
          <t>ALELO</t>
        </is>
      </c>
      <c r="E41" s="27" t="n">
        <v>46024</v>
      </c>
      <c r="F41" s="27" t="n">
        <v>46024</v>
      </c>
      <c r="G41" s="27" t="n">
        <v>46024</v>
      </c>
      <c r="H41" t="n">
        <v>1170.24</v>
      </c>
      <c r="J41" t="inlineStr">
        <is>
          <t>Voucher</t>
        </is>
      </c>
      <c r="K41" t="inlineStr">
        <is>
          <t>Transferência Bancária ou Pix</t>
        </is>
      </c>
      <c r="L41" t="inlineStr">
        <is>
          <t>Pago</t>
        </is>
      </c>
      <c r="M41" t="inlineStr">
        <is>
          <t>Bar Brahma Granja - FDB Novo - Banco do Brasil</t>
        </is>
      </c>
      <c r="N41" t="inlineStr">
        <is>
          <t>ALELO - 01/2026</t>
        </is>
      </c>
    </row>
    <row r="42">
      <c r="A42" t="n">
        <v>10269</v>
      </c>
      <c r="B42" t="n">
        <v>148</v>
      </c>
      <c r="C42" t="inlineStr">
        <is>
          <t>Bar Brahma - Granja</t>
        </is>
      </c>
      <c r="D42" t="inlineStr">
        <is>
          <t>PLUXEE BENEFICIOS BRASIL S.A. (SODEXO)</t>
        </is>
      </c>
      <c r="E42" s="27" t="n">
        <v>46024</v>
      </c>
      <c r="F42" s="27" t="n">
        <v>46024</v>
      </c>
      <c r="G42" s="27" t="n">
        <v>46024</v>
      </c>
      <c r="H42" t="n">
        <v>2366.65</v>
      </c>
      <c r="J42" t="inlineStr">
        <is>
          <t>Voucher</t>
        </is>
      </c>
      <c r="K42" t="inlineStr">
        <is>
          <t>Transferência Bancária ou Pix</t>
        </is>
      </c>
      <c r="L42" t="inlineStr">
        <is>
          <t>Pago</t>
        </is>
      </c>
      <c r="M42" t="inlineStr">
        <is>
          <t>Bar Brahma Granja - FDB Novo - Banco do Brasil</t>
        </is>
      </c>
      <c r="N42" t="inlineStr">
        <is>
          <t>SODEXO - 01/2026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ID_Evento</t>
        </is>
      </c>
      <c r="B1" t="inlineStr">
        <is>
          <t>Nome_Evento</t>
        </is>
      </c>
      <c r="C1" t="inlineStr">
        <is>
          <t>ID_Casa</t>
        </is>
      </c>
      <c r="D1" t="inlineStr">
        <is>
          <t>Casa</t>
        </is>
      </c>
      <c r="E1" t="inlineStr">
        <is>
          <t>ID_Parcela</t>
        </is>
      </c>
      <c r="F1" t="inlineStr">
        <is>
          <t>Valor_Parcela</t>
        </is>
      </c>
      <c r="G1" t="inlineStr">
        <is>
          <t>Vencimento_Parcela</t>
        </is>
      </c>
      <c r="H1" t="inlineStr">
        <is>
          <t>Recebimento_Parcela</t>
        </is>
      </c>
      <c r="I1" t="inlineStr">
        <is>
          <t>Status_Pgto</t>
        </is>
      </c>
      <c r="J1" t="inlineStr">
        <is>
          <t>Forma_Pgto</t>
        </is>
      </c>
      <c r="K1" t="inlineStr">
        <is>
          <t>ID_Conta_Bancaria</t>
        </is>
      </c>
      <c r="L1" t="inlineStr">
        <is>
          <t>Conta_Bancaria</t>
        </is>
      </c>
      <c r="M1" t="inlineStr">
        <is>
          <t>Observacoes</t>
        </is>
      </c>
    </row>
    <row r="2">
      <c r="A2" t="n">
        <v>458</v>
      </c>
      <c r="B2" t="inlineStr">
        <is>
          <t>PRO2508001_POLO ARQUITETURA</t>
        </is>
      </c>
      <c r="C2" t="n">
        <v>148</v>
      </c>
      <c r="D2" t="inlineStr">
        <is>
          <t>Bar Brahma - Granja</t>
        </is>
      </c>
      <c r="E2" t="n">
        <v>616</v>
      </c>
      <c r="F2" t="n">
        <v>23345</v>
      </c>
      <c r="G2" s="27" t="n">
        <v>46047</v>
      </c>
      <c r="H2" s="27" t="n">
        <v>46048</v>
      </c>
      <c r="I2" t="inlineStr">
        <is>
          <t>Pago</t>
        </is>
      </c>
      <c r="J2" t="inlineStr">
        <is>
          <t>Transferência Bancária ou Pix</t>
        </is>
      </c>
      <c r="K2" t="n">
        <v>153</v>
      </c>
      <c r="L2" t="inlineStr">
        <is>
          <t>Bar Brahma Granja - FDB Novo - Banco do Brasil</t>
        </is>
      </c>
      <c r="M2" t="inlineStr">
        <is>
          <t xml:space="preserve">        Primeiro contato realizado.
Informações do evento: 
Evento: Cerimônia de Premiação do Programa de Relacionamento Polo Mais Você 2025
Data: 04/02/2026
Horário: das19h30 às 0h00
Início da premiação: 20h30
Convidados: 170 (Arquitetos, Designers de Interiores, Engenheiros e Empresários da região)
Formato: Palco (extensão de madeira do próprio Brahma) | 1 púlpito| 3 microfone | 4 mesas de apoio
Projeção nas TVs: dos premiados à medida que subirão ao palco para receber o seu prêmio.
Menu Samba + Opção 2 de adicional de bebidas.
Apoio/ Patrocínio 7k -( locação do espaço e taxa rolha) - Patrocínio Master 5K| Estaremos em todos material de comunicação do evento. 
Contratação artística - Escola de samba nenê da Vila Matilde R$6,500 + DJ Serginho R$ 1.000,00 + Técnico de som R$ 300,00
Concedido 10% desconto sobre o A&amp;B por ser empresa conveniada.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</t>
        </is>
      </c>
      <c r="B1" t="inlineStr">
        <is>
          <t>ID_Casa</t>
        </is>
      </c>
      <c r="C1" t="inlineStr">
        <is>
          <t>Casa</t>
        </is>
      </c>
      <c r="D1" t="inlineStr">
        <is>
          <t>Fornecedor</t>
        </is>
      </c>
      <c r="E1" t="inlineStr">
        <is>
          <t>Valor</t>
        </is>
      </c>
      <c r="F1" t="inlineStr">
        <is>
          <t>Data_Vencimento</t>
        </is>
      </c>
      <c r="G1" t="inlineStr">
        <is>
          <t>Previsao_Pgto</t>
        </is>
      </c>
      <c r="H1" t="inlineStr">
        <is>
          <t>Realizacao_Pgto</t>
        </is>
      </c>
      <c r="I1" t="inlineStr">
        <is>
          <t>Data_Competencia</t>
        </is>
      </c>
      <c r="J1" t="inlineStr">
        <is>
          <t>Data_Lancamento</t>
        </is>
      </c>
      <c r="K1" t="inlineStr">
        <is>
          <t>Forma_Pagamento</t>
        </is>
      </c>
      <c r="L1" t="inlineStr">
        <is>
          <t>Class_Cont_1</t>
        </is>
      </c>
      <c r="M1" t="inlineStr">
        <is>
          <t>Class_Cont_2</t>
        </is>
      </c>
      <c r="N1" t="inlineStr">
        <is>
          <t>Doc_NF</t>
        </is>
      </c>
      <c r="O1" t="inlineStr">
        <is>
          <t>Status_Conf_Document</t>
        </is>
      </c>
      <c r="P1" t="inlineStr">
        <is>
          <t>Status_Aprov_Diret</t>
        </is>
      </c>
      <c r="Q1" t="inlineStr">
        <is>
          <t>Status_Aprov_Caixa</t>
        </is>
      </c>
      <c r="R1" t="inlineStr">
        <is>
          <t>Status_Pgto</t>
        </is>
      </c>
      <c r="S1" t="inlineStr">
        <is>
          <t>ID_Conta_Bancaria</t>
        </is>
      </c>
      <c r="T1" t="inlineStr">
        <is>
          <t>Conta_Bancaria</t>
        </is>
      </c>
      <c r="U1" t="inlineStr">
        <is>
          <t>CNPJ_Loja</t>
        </is>
      </c>
    </row>
    <row r="2">
      <c r="A2" t="n">
        <v>146849</v>
      </c>
      <c r="B2" t="n">
        <v>148</v>
      </c>
      <c r="C2" t="inlineStr">
        <is>
          <t>Bar Brahma - Granja</t>
        </is>
      </c>
      <c r="D2" t="inlineStr">
        <is>
          <t xml:space="preserve">MINISTERIO DA FAZENDA </t>
        </is>
      </c>
      <c r="E2" t="n">
        <v>2502.22</v>
      </c>
      <c r="F2" s="27" t="n">
        <v>46052</v>
      </c>
      <c r="G2" s="27" t="n">
        <v>46051</v>
      </c>
      <c r="H2" s="27" t="n">
        <v>46051</v>
      </c>
      <c r="I2" s="27" t="n">
        <v>46037</v>
      </c>
      <c r="J2" s="27" t="n"/>
      <c r="K2" t="inlineStr">
        <is>
          <t>Boleto Bancário</t>
        </is>
      </c>
      <c r="L2" t="inlineStr">
        <is>
          <t>Endividamento</t>
        </is>
      </c>
      <c r="M2" t="inlineStr">
        <is>
          <t>Endividamento Geral</t>
        </is>
      </c>
      <c r="N2" t="inlineStr">
        <is>
          <t>7/60</t>
        </is>
      </c>
      <c r="O2" t="inlineStr">
        <is>
          <t>Documentação Aprovada</t>
        </is>
      </c>
      <c r="P2" t="inlineStr">
        <is>
          <t>Aprovado Diretoria</t>
        </is>
      </c>
      <c r="Q2" t="inlineStr">
        <is>
          <t>Aprovado Caixa</t>
        </is>
      </c>
      <c r="R2" t="inlineStr">
        <is>
          <t>Pago</t>
        </is>
      </c>
      <c r="S2" t="n">
        <v>164</v>
      </c>
      <c r="T2" t="inlineStr">
        <is>
          <t>Bar Brahma Granja - FDB Filial - Kamino</t>
        </is>
      </c>
    </row>
    <row r="3">
      <c r="A3" t="n">
        <v>185383</v>
      </c>
      <c r="B3" t="n">
        <v>148</v>
      </c>
      <c r="C3" t="inlineStr">
        <is>
          <t>Bar Brahma - Granja</t>
        </is>
      </c>
      <c r="D3" t="inlineStr">
        <is>
          <t>Flash Tecnologia e Instituição de Pagamento LTDA</t>
        </is>
      </c>
      <c r="E3" t="n">
        <v>2350</v>
      </c>
      <c r="F3" s="27" t="n">
        <v>46052</v>
      </c>
      <c r="G3" s="27" t="n">
        <v>46051</v>
      </c>
      <c r="H3" s="27" t="n">
        <v>46051</v>
      </c>
      <c r="I3" s="27" t="n">
        <v>45962</v>
      </c>
      <c r="J3" s="27" t="n">
        <v>45962</v>
      </c>
      <c r="K3" t="inlineStr">
        <is>
          <t>Boleto Bancário</t>
        </is>
      </c>
      <c r="L3" t="inlineStr">
        <is>
          <t>Mão de Obra - Benefícios</t>
        </is>
      </c>
      <c r="M3" t="inlineStr">
        <is>
          <t xml:space="preserve">  -  Gratificações</t>
        </is>
      </c>
      <c r="N3" t="inlineStr">
        <is>
          <t>235000 112025</t>
        </is>
      </c>
      <c r="O3" t="inlineStr">
        <is>
          <t>Documentação Aprovada</t>
        </is>
      </c>
      <c r="P3" t="inlineStr">
        <is>
          <t>Aprovado Diretoria</t>
        </is>
      </c>
      <c r="Q3" t="inlineStr">
        <is>
          <t>Aprovado Caixa</t>
        </is>
      </c>
      <c r="R3" t="inlineStr">
        <is>
          <t>Pago</t>
        </is>
      </c>
      <c r="S3" t="n">
        <v>148</v>
      </c>
      <c r="T3" t="inlineStr">
        <is>
          <t>Bar Brahma Granja - Tutum Filial - Kamino</t>
        </is>
      </c>
    </row>
    <row r="4">
      <c r="A4" t="n">
        <v>188712</v>
      </c>
      <c r="B4" t="n">
        <v>148</v>
      </c>
      <c r="C4" t="inlineStr">
        <is>
          <t>Bar Brahma - Granja</t>
        </is>
      </c>
      <c r="D4" t="inlineStr">
        <is>
          <t>IMPERIAL BAKERY COMERCIO DE PRODUTOS ALIM LTDA</t>
        </is>
      </c>
      <c r="E4" t="n">
        <v>468</v>
      </c>
      <c r="F4" s="27" t="n">
        <v>46052</v>
      </c>
      <c r="G4" s="27" t="n">
        <v>46051</v>
      </c>
      <c r="H4" s="27" t="n">
        <v>46051</v>
      </c>
      <c r="I4" s="27" t="n">
        <v>46022</v>
      </c>
      <c r="J4" s="27" t="n">
        <v>46027</v>
      </c>
      <c r="K4" t="inlineStr">
        <is>
          <t>Boleto Bancário</t>
        </is>
      </c>
      <c r="L4" t="inlineStr">
        <is>
          <t>Custo Mercadoria Vendida</t>
        </is>
      </c>
      <c r="M4" t="inlineStr">
        <is>
          <t>Insumos - Alimentos</t>
        </is>
      </c>
      <c r="N4" t="inlineStr">
        <is>
          <t>1641729</t>
        </is>
      </c>
      <c r="O4" t="inlineStr">
        <is>
          <t>Documentação Aprovada</t>
        </is>
      </c>
      <c r="P4" t="inlineStr">
        <is>
          <t>Aprovado Diretoria</t>
        </is>
      </c>
      <c r="Q4" t="inlineStr">
        <is>
          <t>Aprovado Caixa</t>
        </is>
      </c>
      <c r="R4" t="inlineStr">
        <is>
          <t>Pago</t>
        </is>
      </c>
      <c r="S4" t="n">
        <v>164</v>
      </c>
      <c r="T4" t="inlineStr">
        <is>
          <t>Bar Brahma Granja - FDB Filial - Kamino</t>
        </is>
      </c>
    </row>
    <row r="5">
      <c r="A5" t="n">
        <v>187635</v>
      </c>
      <c r="B5" t="n">
        <v>148</v>
      </c>
      <c r="C5" t="inlineStr">
        <is>
          <t>Bar Brahma - Granja</t>
        </is>
      </c>
      <c r="D5" t="inlineStr">
        <is>
          <t>COMPANHIA DE GAS DE SAO PAULO</t>
        </is>
      </c>
      <c r="E5" t="n">
        <v>8786.51</v>
      </c>
      <c r="F5" s="27" t="n">
        <v>46051</v>
      </c>
      <c r="G5" s="27" t="n">
        <v>46051</v>
      </c>
      <c r="H5" s="27" t="n">
        <v>46051</v>
      </c>
      <c r="I5" s="27" t="n">
        <v>46044</v>
      </c>
      <c r="J5" s="27" t="n">
        <v>46044</v>
      </c>
      <c r="K5" t="inlineStr">
        <is>
          <t>Boleto Bancário</t>
        </is>
      </c>
      <c r="L5" t="inlineStr">
        <is>
          <t>Utilidades</t>
        </is>
      </c>
      <c r="M5" t="inlineStr">
        <is>
          <t>Gas de Cozinha</t>
        </is>
      </c>
      <c r="N5" t="inlineStr">
        <is>
          <t>138647822</t>
        </is>
      </c>
      <c r="O5" t="inlineStr">
        <is>
          <t>Documentação Aprovada</t>
        </is>
      </c>
      <c r="P5" t="inlineStr">
        <is>
          <t>Aprovado Diretoria</t>
        </is>
      </c>
      <c r="Q5" t="inlineStr">
        <is>
          <t>Aprovado Caixa</t>
        </is>
      </c>
      <c r="R5" t="inlineStr">
        <is>
          <t>Pago</t>
        </is>
      </c>
      <c r="S5" t="n">
        <v>164</v>
      </c>
      <c r="T5" t="inlineStr">
        <is>
          <t>Bar Brahma Granja - FDB Filial - Kamino</t>
        </is>
      </c>
    </row>
    <row r="6">
      <c r="A6" t="n">
        <v>197804</v>
      </c>
      <c r="B6" t="n">
        <v>148</v>
      </c>
      <c r="C6" t="inlineStr">
        <is>
          <t>Bar Brahma - Granja</t>
        </is>
      </c>
      <c r="D6" t="inlineStr">
        <is>
          <t>LATICINIOS PIRAMIDE LTDA</t>
        </is>
      </c>
      <c r="E6" t="n">
        <v>2309.6</v>
      </c>
      <c r="F6" s="27" t="n">
        <v>46052</v>
      </c>
      <c r="G6" s="27" t="n">
        <v>46051</v>
      </c>
      <c r="H6" s="27" t="n">
        <v>46051</v>
      </c>
      <c r="I6" s="27" t="n">
        <v>46038</v>
      </c>
      <c r="J6" s="27" t="n">
        <v>46048</v>
      </c>
      <c r="K6" t="inlineStr">
        <is>
          <t>Boleto Bancário</t>
        </is>
      </c>
      <c r="L6" t="inlineStr">
        <is>
          <t>Custo Mercadoria Vendida</t>
        </is>
      </c>
      <c r="M6" t="inlineStr">
        <is>
          <t>Insumos - Alimentos</t>
        </is>
      </c>
      <c r="N6" t="inlineStr">
        <is>
          <t>81041</t>
        </is>
      </c>
      <c r="O6" t="inlineStr">
        <is>
          <t>Documentação Aprovada</t>
        </is>
      </c>
      <c r="P6" t="inlineStr">
        <is>
          <t>Aprovado Diretoria</t>
        </is>
      </c>
      <c r="Q6" t="inlineStr">
        <is>
          <t>Aprovado Caixa</t>
        </is>
      </c>
      <c r="R6" t="inlineStr">
        <is>
          <t>Pago</t>
        </is>
      </c>
      <c r="S6" t="n">
        <v>164</v>
      </c>
      <c r="T6" t="inlineStr">
        <is>
          <t>Bar Brahma Granja - FDB Filial - Kamino</t>
        </is>
      </c>
    </row>
    <row r="7">
      <c r="A7" t="n">
        <v>196114</v>
      </c>
      <c r="B7" t="n">
        <v>148</v>
      </c>
      <c r="C7" t="inlineStr">
        <is>
          <t>Bar Brahma - Granja</t>
        </is>
      </c>
      <c r="D7" t="inlineStr">
        <is>
          <t>VALE TRANSPORTE</t>
        </is>
      </c>
      <c r="E7" t="n">
        <v>286.34</v>
      </c>
      <c r="F7" s="27" t="n">
        <v>46051</v>
      </c>
      <c r="G7" s="27" t="n">
        <v>46051</v>
      </c>
      <c r="H7" s="27" t="n">
        <v>46051</v>
      </c>
      <c r="I7" s="27" t="n">
        <v>46054</v>
      </c>
      <c r="J7" s="27" t="n">
        <v>46045</v>
      </c>
      <c r="K7" t="inlineStr">
        <is>
          <t>Boleto Bancário</t>
        </is>
      </c>
      <c r="L7" t="inlineStr">
        <is>
          <t>Mão de Obra - Benefícios</t>
        </is>
      </c>
      <c r="M7" t="inlineStr">
        <is>
          <t xml:space="preserve">  -  Vale-transporte</t>
        </is>
      </c>
      <c r="N7" t="inlineStr">
        <is>
          <t>28634 022026</t>
        </is>
      </c>
      <c r="O7" t="inlineStr">
        <is>
          <t>Documentação Aprovada</t>
        </is>
      </c>
      <c r="P7" t="inlineStr">
        <is>
          <t>Aprovado Diretoria</t>
        </is>
      </c>
      <c r="Q7" t="inlineStr">
        <is>
          <t>Aprovado Caixa</t>
        </is>
      </c>
      <c r="R7" t="inlineStr">
        <is>
          <t>Pago</t>
        </is>
      </c>
      <c r="S7" t="n">
        <v>148</v>
      </c>
      <c r="T7" t="inlineStr">
        <is>
          <t>Bar Brahma Granja - Tutum Filial - Kamino</t>
        </is>
      </c>
    </row>
    <row r="8">
      <c r="A8" t="n">
        <v>194585</v>
      </c>
      <c r="B8" t="n">
        <v>148</v>
      </c>
      <c r="C8" t="inlineStr">
        <is>
          <t>Bar Brahma - Granja</t>
        </is>
      </c>
      <c r="D8" t="inlineStr">
        <is>
          <t>ESTAFF SOLUCOES TECNOLOGICAS DE AGENCIAMENTO LTDA</t>
        </is>
      </c>
      <c r="E8" t="n">
        <v>7406.67</v>
      </c>
      <c r="F8" s="27" t="n">
        <v>46051</v>
      </c>
      <c r="G8" s="27" t="n">
        <v>46051</v>
      </c>
      <c r="H8" s="27" t="n">
        <v>46051</v>
      </c>
      <c r="I8" s="27" t="n">
        <v>46041</v>
      </c>
      <c r="J8" s="27" t="n">
        <v>46043</v>
      </c>
      <c r="K8" t="inlineStr">
        <is>
          <t>Boleto Bancário</t>
        </is>
      </c>
      <c r="L8" t="inlineStr">
        <is>
          <t>Mão de Obra - Extra</t>
        </is>
      </c>
      <c r="M8" t="inlineStr">
        <is>
          <t>Mão de Obra Extra</t>
        </is>
      </c>
      <c r="N8" t="inlineStr">
        <is>
          <t>28668</t>
        </is>
      </c>
      <c r="O8" t="inlineStr">
        <is>
          <t>Documentação Aprovada</t>
        </is>
      </c>
      <c r="P8" t="inlineStr">
        <is>
          <t>Aprovado Diretoria</t>
        </is>
      </c>
      <c r="Q8" t="inlineStr">
        <is>
          <t>Aprovado Caixa</t>
        </is>
      </c>
      <c r="R8" t="inlineStr">
        <is>
          <t>Pago</t>
        </is>
      </c>
      <c r="S8" t="n">
        <v>164</v>
      </c>
      <c r="T8" t="inlineStr">
        <is>
          <t>Bar Brahma Granja - FDB Filial - Kamino</t>
        </is>
      </c>
    </row>
    <row r="9">
      <c r="A9" t="n">
        <v>194615</v>
      </c>
      <c r="B9" t="n">
        <v>148</v>
      </c>
      <c r="C9" t="inlineStr">
        <is>
          <t>Bar Brahma - Granja</t>
        </is>
      </c>
      <c r="D9" t="inlineStr">
        <is>
          <t>PORTO SEGURO CIA DE SEGUROS GERAIS</t>
        </is>
      </c>
      <c r="E9" t="n">
        <v>332.24</v>
      </c>
      <c r="F9" s="27" t="n">
        <v>46052</v>
      </c>
      <c r="G9" s="27" t="n">
        <v>46051</v>
      </c>
      <c r="H9" s="27" t="n">
        <v>46051</v>
      </c>
      <c r="I9" s="27" t="n">
        <v>46023</v>
      </c>
      <c r="J9" s="27" t="n">
        <v>46043</v>
      </c>
      <c r="K9" t="inlineStr">
        <is>
          <t>Boleto Bancário</t>
        </is>
      </c>
      <c r="L9" t="inlineStr">
        <is>
          <t>Mão de Obra - Benefícios</t>
        </is>
      </c>
      <c r="M9" t="inlineStr">
        <is>
          <t xml:space="preserve">  -  Seguro de Vida</t>
        </is>
      </c>
      <c r="N9" t="inlineStr">
        <is>
          <t>33224 012026</t>
        </is>
      </c>
      <c r="O9" t="inlineStr">
        <is>
          <t>Documentação Aprovada</t>
        </is>
      </c>
      <c r="P9" t="inlineStr">
        <is>
          <t>Aprovado Diretoria</t>
        </is>
      </c>
      <c r="Q9" t="inlineStr">
        <is>
          <t>Aprovado Caixa</t>
        </is>
      </c>
      <c r="R9" t="inlineStr">
        <is>
          <t>Pago</t>
        </is>
      </c>
      <c r="S9" t="n">
        <v>148</v>
      </c>
      <c r="T9" t="inlineStr">
        <is>
          <t>Bar Brahma Granja - Tutum Filial - Kamino</t>
        </is>
      </c>
    </row>
    <row r="10">
      <c r="A10" t="n">
        <v>193827</v>
      </c>
      <c r="B10" t="n">
        <v>148</v>
      </c>
      <c r="C10" t="inlineStr">
        <is>
          <t>Bar Brahma - Granja</t>
        </is>
      </c>
      <c r="D10" t="inlineStr">
        <is>
          <t xml:space="preserve">REGINALDO SILVA DO NASCIMENTO </t>
        </is>
      </c>
      <c r="E10" t="n">
        <v>1000</v>
      </c>
      <c r="F10" s="27" t="n">
        <v>46052</v>
      </c>
      <c r="G10" s="27" t="n">
        <v>46051</v>
      </c>
      <c r="H10" s="27" t="n">
        <v>46051</v>
      </c>
      <c r="I10" s="27" t="n">
        <v>46037</v>
      </c>
      <c r="J10" s="27" t="n">
        <v>46038</v>
      </c>
      <c r="K10" t="inlineStr">
        <is>
          <t>Transferência Bancária ou Pix</t>
        </is>
      </c>
      <c r="L10" t="inlineStr">
        <is>
          <t>Utilidades</t>
        </is>
      </c>
      <c r="M10" t="inlineStr">
        <is>
          <t>Serviços de Limpeza</t>
        </is>
      </c>
      <c r="N10" t="inlineStr">
        <is>
          <t>79</t>
        </is>
      </c>
      <c r="O10" t="inlineStr">
        <is>
          <t>Documentação Aprovada</t>
        </is>
      </c>
      <c r="P10" t="inlineStr">
        <is>
          <t>Aprovado Diretoria</t>
        </is>
      </c>
      <c r="Q10" t="inlineStr">
        <is>
          <t>Aprovado Caixa</t>
        </is>
      </c>
      <c r="R10" t="inlineStr">
        <is>
          <t>Pago</t>
        </is>
      </c>
      <c r="S10" t="n">
        <v>164</v>
      </c>
      <c r="T10" t="inlineStr">
        <is>
          <t>Bar Brahma Granja - FDB Filial - Kamino</t>
        </is>
      </c>
    </row>
    <row r="11">
      <c r="A11" t="n">
        <v>193822</v>
      </c>
      <c r="B11" t="n">
        <v>148</v>
      </c>
      <c r="C11" t="inlineStr">
        <is>
          <t>Bar Brahma - Granja</t>
        </is>
      </c>
      <c r="D11" t="inlineStr">
        <is>
          <t>NOVA COMERCIAL PESCADOS LTDA</t>
        </is>
      </c>
      <c r="E11" t="n">
        <v>1018.5</v>
      </c>
      <c r="F11" s="27" t="n">
        <v>46051</v>
      </c>
      <c r="G11" s="27" t="n">
        <v>46051</v>
      </c>
      <c r="H11" s="27" t="n">
        <v>46051</v>
      </c>
      <c r="I11" s="27" t="n">
        <v>46037</v>
      </c>
      <c r="J11" s="27" t="n">
        <v>46038</v>
      </c>
      <c r="K11" t="inlineStr">
        <is>
          <t>Boleto Bancário</t>
        </is>
      </c>
      <c r="L11" t="inlineStr">
        <is>
          <t>Custo Mercadoria Vendida</t>
        </is>
      </c>
      <c r="M11" t="inlineStr">
        <is>
          <t>Insumos - Alimentos</t>
        </is>
      </c>
      <c r="N11" t="inlineStr">
        <is>
          <t>30629</t>
        </is>
      </c>
      <c r="O11" t="inlineStr">
        <is>
          <t>Documentação Aprovada</t>
        </is>
      </c>
      <c r="P11" t="inlineStr">
        <is>
          <t>Aprovado Diretoria</t>
        </is>
      </c>
      <c r="Q11" t="inlineStr">
        <is>
          <t>Aprovado Caixa</t>
        </is>
      </c>
      <c r="R11" t="inlineStr">
        <is>
          <t>Pago</t>
        </is>
      </c>
      <c r="S11" t="n">
        <v>164</v>
      </c>
      <c r="T11" t="inlineStr">
        <is>
          <t>Bar Brahma Granja - FDB Filial - Kamino</t>
        </is>
      </c>
    </row>
    <row r="12">
      <c r="A12" t="n">
        <v>193870</v>
      </c>
      <c r="B12" t="n">
        <v>148</v>
      </c>
      <c r="C12" t="inlineStr">
        <is>
          <t>Bar Brahma - Granja</t>
        </is>
      </c>
      <c r="D12" t="inlineStr">
        <is>
          <t>MULTIFRANGOS COMERCIO DE ALIMENTOS LTDA</t>
        </is>
      </c>
      <c r="E12" t="n">
        <v>723.61</v>
      </c>
      <c r="F12" s="27" t="n">
        <v>46052</v>
      </c>
      <c r="G12" s="27" t="n">
        <v>46051</v>
      </c>
      <c r="H12" s="27" t="n">
        <v>46051</v>
      </c>
      <c r="I12" s="27" t="n">
        <v>46038</v>
      </c>
      <c r="J12" s="27" t="n">
        <v>46038</v>
      </c>
      <c r="K12" t="inlineStr">
        <is>
          <t>Boleto Bancário</t>
        </is>
      </c>
      <c r="L12" t="inlineStr">
        <is>
          <t>Custo Mercadoria Vendida</t>
        </is>
      </c>
      <c r="M12" t="inlineStr">
        <is>
          <t>Insumos - Alimentos</t>
        </is>
      </c>
      <c r="N12" t="inlineStr">
        <is>
          <t>940095</t>
        </is>
      </c>
      <c r="O12" t="inlineStr">
        <is>
          <t>Documentação Aprovada</t>
        </is>
      </c>
      <c r="P12" t="inlineStr">
        <is>
          <t>Aprovado Diretoria</t>
        </is>
      </c>
      <c r="Q12" t="inlineStr">
        <is>
          <t>Aprovado Caixa</t>
        </is>
      </c>
      <c r="R12" t="inlineStr">
        <is>
          <t>Pago</t>
        </is>
      </c>
      <c r="S12" t="n">
        <v>164</v>
      </c>
      <c r="T12" t="inlineStr">
        <is>
          <t>Bar Brahma Granja - FDB Filial - Kamino</t>
        </is>
      </c>
    </row>
    <row r="13">
      <c r="A13" t="n">
        <v>189603</v>
      </c>
      <c r="B13" t="n">
        <v>148</v>
      </c>
      <c r="C13" t="inlineStr">
        <is>
          <t>Bar Brahma - Granja</t>
        </is>
      </c>
      <c r="D13" t="inlineStr">
        <is>
          <t>CECILIA TSUYACO ARAKI SILVA LTDA</t>
        </is>
      </c>
      <c r="E13" t="n">
        <v>326.33</v>
      </c>
      <c r="F13" s="27" t="n">
        <v>46052</v>
      </c>
      <c r="G13" s="27" t="n">
        <v>46051</v>
      </c>
      <c r="H13" s="27" t="n">
        <v>46051</v>
      </c>
      <c r="I13" s="27" t="n">
        <v>46024</v>
      </c>
      <c r="J13" s="27" t="n">
        <v>46029</v>
      </c>
      <c r="K13" t="inlineStr">
        <is>
          <t>Boleto Bancário</t>
        </is>
      </c>
      <c r="L13" t="inlineStr">
        <is>
          <t>Custo Mercadoria Vendida</t>
        </is>
      </c>
      <c r="M13" t="inlineStr">
        <is>
          <t>Insumos - Alimentos</t>
        </is>
      </c>
      <c r="N13" t="inlineStr">
        <is>
          <t>384369</t>
        </is>
      </c>
      <c r="O13" t="inlineStr">
        <is>
          <t>Documentação Aprovada</t>
        </is>
      </c>
      <c r="P13" t="inlineStr">
        <is>
          <t>Aprovado Diretoria</t>
        </is>
      </c>
      <c r="Q13" t="inlineStr">
        <is>
          <t>Aprovado Caixa</t>
        </is>
      </c>
      <c r="R13" t="inlineStr">
        <is>
          <t>Pago</t>
        </is>
      </c>
      <c r="S13" t="n">
        <v>164</v>
      </c>
      <c r="T13" t="inlineStr">
        <is>
          <t>Bar Brahma Granja - FDB Filial - Kamino</t>
        </is>
      </c>
    </row>
    <row r="14">
      <c r="A14" t="n">
        <v>189584</v>
      </c>
      <c r="B14" t="n">
        <v>148</v>
      </c>
      <c r="C14" t="inlineStr">
        <is>
          <t>Bar Brahma - Granja</t>
        </is>
      </c>
      <c r="D14" t="inlineStr">
        <is>
          <t>B.B DISTRIBUIDORA DE CARNES LTDA</t>
        </is>
      </c>
      <c r="E14" t="n">
        <v>4638.12</v>
      </c>
      <c r="F14" s="27" t="n">
        <v>46052</v>
      </c>
      <c r="G14" s="27" t="n">
        <v>46051</v>
      </c>
      <c r="H14" s="27" t="n">
        <v>46051</v>
      </c>
      <c r="I14" s="27" t="n">
        <v>46024</v>
      </c>
      <c r="J14" s="27" t="n">
        <v>46029</v>
      </c>
      <c r="K14" t="inlineStr">
        <is>
          <t>Boleto Bancário</t>
        </is>
      </c>
      <c r="L14" t="inlineStr">
        <is>
          <t>Custo Mercadoria Vendida</t>
        </is>
      </c>
      <c r="M14" t="inlineStr">
        <is>
          <t>Insumos - Alimentos</t>
        </is>
      </c>
      <c r="N14" t="inlineStr">
        <is>
          <t>411392</t>
        </is>
      </c>
      <c r="O14" t="inlineStr">
        <is>
          <t>Documentação Aprovada</t>
        </is>
      </c>
      <c r="P14" t="inlineStr">
        <is>
          <t>Aprovado Diretoria</t>
        </is>
      </c>
      <c r="Q14" t="inlineStr">
        <is>
          <t>Aprovado Caixa</t>
        </is>
      </c>
      <c r="R14" t="inlineStr">
        <is>
          <t>Pago</t>
        </is>
      </c>
      <c r="S14" t="n">
        <v>164</v>
      </c>
      <c r="T14" t="inlineStr">
        <is>
          <t>Bar Brahma Granja - FDB Filial - Kamino</t>
        </is>
      </c>
    </row>
    <row r="15">
      <c r="A15" t="n">
        <v>189791</v>
      </c>
      <c r="B15" t="n">
        <v>148</v>
      </c>
      <c r="C15" t="inlineStr">
        <is>
          <t>Bar Brahma - Granja</t>
        </is>
      </c>
      <c r="D15" t="inlineStr">
        <is>
          <t>DTK COMERCIO DE ALIMENTOS LTDA</t>
        </is>
      </c>
      <c r="E15" t="n">
        <v>104.1</v>
      </c>
      <c r="F15" s="27" t="n">
        <v>46052</v>
      </c>
      <c r="G15" s="27" t="n">
        <v>46051</v>
      </c>
      <c r="H15" s="27" t="n">
        <v>46051</v>
      </c>
      <c r="I15" s="27" t="n">
        <v>46024</v>
      </c>
      <c r="J15" s="27" t="n">
        <v>46030</v>
      </c>
      <c r="K15" t="inlineStr">
        <is>
          <t>Boleto Bancário</t>
        </is>
      </c>
      <c r="L15" t="inlineStr">
        <is>
          <t>Custo Mercadoria Vendida</t>
        </is>
      </c>
      <c r="M15" t="inlineStr">
        <is>
          <t>Insumos - Alimentos</t>
        </is>
      </c>
      <c r="N15" t="inlineStr">
        <is>
          <t>59183</t>
        </is>
      </c>
      <c r="O15" t="inlineStr">
        <is>
          <t>Documentação Aprovada</t>
        </is>
      </c>
      <c r="P15" t="inlineStr">
        <is>
          <t>Aprovado Diretoria</t>
        </is>
      </c>
      <c r="Q15" t="inlineStr">
        <is>
          <t>Aprovado Caixa</t>
        </is>
      </c>
      <c r="R15" t="inlineStr">
        <is>
          <t>Pago</t>
        </is>
      </c>
      <c r="S15" t="n">
        <v>164</v>
      </c>
      <c r="T15" t="inlineStr">
        <is>
          <t>Bar Brahma Granja - FDB Filial - Kamino</t>
        </is>
      </c>
    </row>
    <row r="16">
      <c r="A16" t="n">
        <v>189792</v>
      </c>
      <c r="B16" t="n">
        <v>148</v>
      </c>
      <c r="C16" t="inlineStr">
        <is>
          <t>Bar Brahma - Granja</t>
        </is>
      </c>
      <c r="D16" t="inlineStr">
        <is>
          <t>MARIO PEDRO FELICIANO - HORTIFRUTI</t>
        </is>
      </c>
      <c r="E16" t="n">
        <v>440.5</v>
      </c>
      <c r="F16" s="27" t="n">
        <v>46052</v>
      </c>
      <c r="G16" s="27" t="n">
        <v>46051</v>
      </c>
      <c r="H16" s="27" t="n">
        <v>46051</v>
      </c>
      <c r="I16" s="27" t="n">
        <v>46024</v>
      </c>
      <c r="J16" s="27" t="n">
        <v>46030</v>
      </c>
      <c r="K16" t="inlineStr">
        <is>
          <t>Boleto Bancário</t>
        </is>
      </c>
      <c r="L16" t="inlineStr">
        <is>
          <t>Custo Mercadoria Vendida</t>
        </is>
      </c>
      <c r="M16" t="inlineStr">
        <is>
          <t>Insumos - Alimentos</t>
        </is>
      </c>
      <c r="N16" t="inlineStr">
        <is>
          <t>463563</t>
        </is>
      </c>
      <c r="O16" t="inlineStr">
        <is>
          <t>Documentação Aprovada</t>
        </is>
      </c>
      <c r="P16" t="inlineStr">
        <is>
          <t>Aprovado Diretoria</t>
        </is>
      </c>
      <c r="Q16" t="inlineStr">
        <is>
          <t>Aprovado Caixa</t>
        </is>
      </c>
      <c r="R16" t="inlineStr">
        <is>
          <t>Pago</t>
        </is>
      </c>
      <c r="S16" t="n">
        <v>164</v>
      </c>
      <c r="T16" t="inlineStr">
        <is>
          <t>Bar Brahma Granja - FDB Filial - Kamino</t>
        </is>
      </c>
    </row>
    <row r="17">
      <c r="A17" t="n">
        <v>189789</v>
      </c>
      <c r="B17" t="n">
        <v>148</v>
      </c>
      <c r="C17" t="inlineStr">
        <is>
          <t>Bar Brahma - Granja</t>
        </is>
      </c>
      <c r="D17" t="inlineStr">
        <is>
          <t>EMPORIO M&amp;L COMERCIO DE ALIM E BEBIDAS LTDA</t>
        </is>
      </c>
      <c r="E17" t="n">
        <v>812.52</v>
      </c>
      <c r="F17" s="27" t="n">
        <v>46052</v>
      </c>
      <c r="G17" s="27" t="n">
        <v>46051</v>
      </c>
      <c r="H17" s="27" t="n">
        <v>46051</v>
      </c>
      <c r="I17" s="27" t="n">
        <v>46024</v>
      </c>
      <c r="J17" s="27" t="n">
        <v>46030</v>
      </c>
      <c r="K17" t="inlineStr">
        <is>
          <t>Boleto Bancário</t>
        </is>
      </c>
      <c r="L17" t="inlineStr">
        <is>
          <t>Custo Mercadoria Vendida</t>
        </is>
      </c>
      <c r="M17" t="inlineStr">
        <is>
          <t>Insumos - Alimentos</t>
        </is>
      </c>
      <c r="N17" t="inlineStr">
        <is>
          <t>489561</t>
        </is>
      </c>
      <c r="O17" t="inlineStr">
        <is>
          <t>Documentação Aprovada</t>
        </is>
      </c>
      <c r="P17" t="inlineStr">
        <is>
          <t>Aprovado Diretoria</t>
        </is>
      </c>
      <c r="Q17" t="inlineStr">
        <is>
          <t>Aprovado Caixa</t>
        </is>
      </c>
      <c r="R17" t="inlineStr">
        <is>
          <t>Pago</t>
        </is>
      </c>
      <c r="S17" t="n">
        <v>164</v>
      </c>
      <c r="T17" t="inlineStr">
        <is>
          <t>Bar Brahma Granja - FDB Filial - Kamino</t>
        </is>
      </c>
    </row>
    <row r="18">
      <c r="A18" t="n">
        <v>189596</v>
      </c>
      <c r="B18" t="n">
        <v>148</v>
      </c>
      <c r="C18" t="inlineStr">
        <is>
          <t>Bar Brahma - Granja</t>
        </is>
      </c>
      <c r="D18" t="inlineStr">
        <is>
          <t>B.B DISTRIBUIDORA DE CARNES LTDA</t>
        </is>
      </c>
      <c r="E18" t="n">
        <v>3372</v>
      </c>
      <c r="F18" s="27" t="n">
        <v>46052</v>
      </c>
      <c r="G18" s="27" t="n">
        <v>46051</v>
      </c>
      <c r="H18" s="27" t="n">
        <v>46051</v>
      </c>
      <c r="I18" s="27" t="n">
        <v>46024</v>
      </c>
      <c r="J18" s="27" t="n">
        <v>46029</v>
      </c>
      <c r="K18" t="inlineStr">
        <is>
          <t>Boleto Bancário</t>
        </is>
      </c>
      <c r="L18" t="inlineStr">
        <is>
          <t>Custo Mercadoria Vendida</t>
        </is>
      </c>
      <c r="M18" t="inlineStr">
        <is>
          <t>Insumos - Alimentos</t>
        </is>
      </c>
      <c r="N18" t="inlineStr">
        <is>
          <t>411406</t>
        </is>
      </c>
      <c r="O18" t="inlineStr">
        <is>
          <t>Documentação Aprovada</t>
        </is>
      </c>
      <c r="P18" t="inlineStr">
        <is>
          <t>Aprovado Diretoria</t>
        </is>
      </c>
      <c r="Q18" t="inlineStr">
        <is>
          <t>Aprovado Caixa</t>
        </is>
      </c>
      <c r="R18" t="inlineStr">
        <is>
          <t>Pago</t>
        </is>
      </c>
      <c r="S18" t="n">
        <v>164</v>
      </c>
      <c r="T18" t="inlineStr">
        <is>
          <t>Bar Brahma Granja - FDB Filial - Kamino</t>
        </is>
      </c>
    </row>
    <row r="19">
      <c r="A19" t="n">
        <v>189813</v>
      </c>
      <c r="B19" t="n">
        <v>148</v>
      </c>
      <c r="C19" t="inlineStr">
        <is>
          <t>Bar Brahma - Granja</t>
        </is>
      </c>
      <c r="D19" t="inlineStr">
        <is>
          <t>EMPORIO M&amp;L COMERCIO DE ALIM E BEBIDAS LTDA</t>
        </is>
      </c>
      <c r="E19" t="n">
        <v>4258.77</v>
      </c>
      <c r="F19" s="27" t="n">
        <v>46052</v>
      </c>
      <c r="G19" s="27" t="n">
        <v>46051</v>
      </c>
      <c r="H19" s="27" t="n">
        <v>46051</v>
      </c>
      <c r="I19" s="27" t="n">
        <v>46024</v>
      </c>
      <c r="J19" s="27" t="n">
        <v>46030</v>
      </c>
      <c r="K19" t="inlineStr">
        <is>
          <t>Boleto Bancário</t>
        </is>
      </c>
      <c r="L19" t="inlineStr">
        <is>
          <t>Custo Mercadoria Vendida</t>
        </is>
      </c>
      <c r="M19" t="inlineStr">
        <is>
          <t>Insumos - Alimentos</t>
        </is>
      </c>
      <c r="N19" t="inlineStr">
        <is>
          <t>489557</t>
        </is>
      </c>
      <c r="O19" t="inlineStr">
        <is>
          <t>Documentação Aprovada</t>
        </is>
      </c>
      <c r="P19" t="inlineStr">
        <is>
          <t>Aprovado Diretoria</t>
        </is>
      </c>
      <c r="Q19" t="inlineStr">
        <is>
          <t>Aprovado Caixa</t>
        </is>
      </c>
      <c r="R19" t="inlineStr">
        <is>
          <t>Pago</t>
        </is>
      </c>
      <c r="S19" t="n">
        <v>164</v>
      </c>
      <c r="T19" t="inlineStr">
        <is>
          <t>Bar Brahma Granja - FDB Filial - Kamino</t>
        </is>
      </c>
    </row>
    <row r="20">
      <c r="A20" t="n">
        <v>189816</v>
      </c>
      <c r="B20" t="n">
        <v>148</v>
      </c>
      <c r="C20" t="inlineStr">
        <is>
          <t>Bar Brahma - Granja</t>
        </is>
      </c>
      <c r="D20" t="inlineStr">
        <is>
          <t>CECILIA TSUYACO ARAKI SILVA LTDA</t>
        </is>
      </c>
      <c r="E20" t="n">
        <v>225.03</v>
      </c>
      <c r="F20" s="27" t="n">
        <v>46052</v>
      </c>
      <c r="G20" s="27" t="n">
        <v>46051</v>
      </c>
      <c r="H20" s="27" t="n">
        <v>46051</v>
      </c>
      <c r="I20" s="27" t="n">
        <v>46025</v>
      </c>
      <c r="J20" s="27" t="n">
        <v>46030</v>
      </c>
      <c r="K20" t="inlineStr">
        <is>
          <t>Boleto Bancário</t>
        </is>
      </c>
      <c r="L20" t="inlineStr">
        <is>
          <t>Custo Mercadoria Vendida</t>
        </is>
      </c>
      <c r="M20" t="inlineStr">
        <is>
          <t>Insumos - Alimentos</t>
        </is>
      </c>
      <c r="N20" t="inlineStr">
        <is>
          <t>384384</t>
        </is>
      </c>
      <c r="O20" t="inlineStr">
        <is>
          <t>Documentação Aprovada</t>
        </is>
      </c>
      <c r="P20" t="inlineStr">
        <is>
          <t>Aprovado Diretoria</t>
        </is>
      </c>
      <c r="Q20" t="inlineStr">
        <is>
          <t>Aprovado Caixa</t>
        </is>
      </c>
      <c r="R20" t="inlineStr">
        <is>
          <t>Pago</t>
        </is>
      </c>
      <c r="S20" t="n">
        <v>164</v>
      </c>
      <c r="T20" t="inlineStr">
        <is>
          <t>Bar Brahma Granja - FDB Filial - Kamino</t>
        </is>
      </c>
    </row>
    <row r="21">
      <c r="A21" t="n">
        <v>189183</v>
      </c>
      <c r="B21" t="n">
        <v>148</v>
      </c>
      <c r="C21" t="inlineStr">
        <is>
          <t>Bar Brahma - Granja</t>
        </is>
      </c>
      <c r="D21" t="inlineStr">
        <is>
          <t>PJ40068068000127</t>
        </is>
      </c>
      <c r="E21" t="n">
        <v>2270</v>
      </c>
      <c r="F21" s="27" t="n">
        <v>46049</v>
      </c>
      <c r="G21" s="27" t="n">
        <v>46050</v>
      </c>
      <c r="H21" s="27" t="n">
        <v>46050</v>
      </c>
      <c r="I21" s="27" t="n">
        <v>45992</v>
      </c>
      <c r="J21" s="27" t="n">
        <v>46028</v>
      </c>
      <c r="K21" t="inlineStr">
        <is>
          <t>Transferência Bancária ou Pix</t>
        </is>
      </c>
      <c r="L21" t="inlineStr">
        <is>
          <t>Gorjeta</t>
        </is>
      </c>
      <c r="M21" t="inlineStr">
        <is>
          <t xml:space="preserve">  -  Comissões e Gorjeta</t>
        </is>
      </c>
      <c r="N21" t="inlineStr">
        <is>
          <t>227000 122025</t>
        </is>
      </c>
      <c r="O21" t="inlineStr">
        <is>
          <t>Documentação Aprovada</t>
        </is>
      </c>
      <c r="P21" t="inlineStr">
        <is>
          <t>Aprovado Diretoria</t>
        </is>
      </c>
      <c r="Q21" t="inlineStr">
        <is>
          <t>Aprovado Caixa</t>
        </is>
      </c>
      <c r="R21" t="inlineStr">
        <is>
          <t>Pago</t>
        </is>
      </c>
      <c r="S21" t="n">
        <v>148</v>
      </c>
      <c r="T21" t="inlineStr">
        <is>
          <t>Bar Brahma Granja - Tutum Filial - Kamino</t>
        </is>
      </c>
    </row>
    <row r="22">
      <c r="A22" t="n">
        <v>198056</v>
      </c>
      <c r="B22" t="n">
        <v>148</v>
      </c>
      <c r="C22" t="inlineStr">
        <is>
          <t>Bar Brahma - Granja</t>
        </is>
      </c>
      <c r="D22" t="inlineStr">
        <is>
          <t>INSTITUTO DE ESTUDOS DE PROTESTO DE TITULOS DO BRASIL - SECAO SAO PAULO - IEPTB - SP</t>
        </is>
      </c>
      <c r="E22" t="n">
        <v>19.66</v>
      </c>
      <c r="F22" s="27" t="n">
        <v>46050</v>
      </c>
      <c r="G22" s="27" t="n">
        <v>46050</v>
      </c>
      <c r="H22" s="27" t="n">
        <v>46050</v>
      </c>
      <c r="I22" s="27" t="n">
        <v>46048</v>
      </c>
      <c r="J22" s="27" t="n">
        <v>46049</v>
      </c>
      <c r="K22" t="inlineStr">
        <is>
          <t>Boleto Bancário</t>
        </is>
      </c>
      <c r="L22" t="inlineStr">
        <is>
          <t>Despesas Financeiras</t>
        </is>
      </c>
      <c r="M22" t="inlineStr">
        <is>
          <t>Custas Cartórios / Protestos</t>
        </is>
      </c>
      <c r="N22" t="inlineStr">
        <is>
          <t>1977568</t>
        </is>
      </c>
      <c r="O22" t="inlineStr">
        <is>
          <t>Documentação Aprovada</t>
        </is>
      </c>
      <c r="P22" t="inlineStr">
        <is>
          <t>Aprovado Diretoria</t>
        </is>
      </c>
      <c r="Q22" t="inlineStr">
        <is>
          <t>Aprovado Caixa</t>
        </is>
      </c>
      <c r="R22" t="inlineStr">
        <is>
          <t>Pago</t>
        </is>
      </c>
      <c r="S22" t="n">
        <v>164</v>
      </c>
      <c r="T22" t="inlineStr">
        <is>
          <t>Bar Brahma Granja - FDB Filial - Kamino</t>
        </is>
      </c>
    </row>
    <row r="23">
      <c r="A23" t="n">
        <v>202423</v>
      </c>
      <c r="B23" t="n">
        <v>148</v>
      </c>
      <c r="C23" t="inlineStr">
        <is>
          <t>Bar Brahma - Granja</t>
        </is>
      </c>
      <c r="D23" t="inlineStr">
        <is>
          <t xml:space="preserve">KAMINO INSTITUICAO DE PAGAMENTO LTDA </t>
        </is>
      </c>
      <c r="E23" t="n">
        <v>0.5</v>
      </c>
      <c r="F23" s="27" t="n">
        <v>46050</v>
      </c>
      <c r="G23" s="27" t="n"/>
      <c r="H23" s="27" t="n">
        <v>46050</v>
      </c>
      <c r="I23" s="27" t="n">
        <v>46050</v>
      </c>
      <c r="J23" s="27" t="n"/>
      <c r="K23" t="inlineStr">
        <is>
          <t xml:space="preserve">Debito Automático </t>
        </is>
      </c>
      <c r="L23" t="inlineStr">
        <is>
          <t>Despesas Financeiras</t>
        </is>
      </c>
      <c r="M23" t="inlineStr">
        <is>
          <t>Tarifas Bancárias</t>
        </is>
      </c>
      <c r="O23" t="inlineStr">
        <is>
          <t>Documentação Aprovada</t>
        </is>
      </c>
      <c r="P23" t="inlineStr">
        <is>
          <t>Aprovado Diretoria</t>
        </is>
      </c>
      <c r="Q23" t="inlineStr">
        <is>
          <t>Aprovado Caixa</t>
        </is>
      </c>
      <c r="R23" t="inlineStr">
        <is>
          <t>Pago</t>
        </is>
      </c>
      <c r="S23" t="n">
        <v>148</v>
      </c>
      <c r="T23" t="inlineStr">
        <is>
          <t>Bar Brahma Granja - Tutum Filial - Kamino</t>
        </is>
      </c>
    </row>
    <row r="24">
      <c r="A24" t="n">
        <v>196147</v>
      </c>
      <c r="B24" t="n">
        <v>148</v>
      </c>
      <c r="C24" t="inlineStr">
        <is>
          <t>Bar Brahma - Granja</t>
        </is>
      </c>
      <c r="D24" t="inlineStr">
        <is>
          <t>VALE TRANSPORTE</t>
        </is>
      </c>
      <c r="E24" t="n">
        <v>7322.91</v>
      </c>
      <c r="F24" s="27" t="n">
        <v>46049</v>
      </c>
      <c r="G24" s="27" t="n">
        <v>46049</v>
      </c>
      <c r="H24" s="27" t="n">
        <v>46049</v>
      </c>
      <c r="I24" s="27" t="n">
        <v>46054</v>
      </c>
      <c r="J24" s="27" t="n">
        <v>46045</v>
      </c>
      <c r="K24" t="inlineStr">
        <is>
          <t>Boleto Bancário</t>
        </is>
      </c>
      <c r="L24" t="inlineStr">
        <is>
          <t>Mão de Obra - Benefícios</t>
        </is>
      </c>
      <c r="M24" t="inlineStr">
        <is>
          <t xml:space="preserve">  -  Vale-transporte</t>
        </is>
      </c>
      <c r="N24" t="inlineStr">
        <is>
          <t>732291 022026</t>
        </is>
      </c>
      <c r="O24" t="inlineStr">
        <is>
          <t>Documentação Aprovada</t>
        </is>
      </c>
      <c r="P24" t="inlineStr">
        <is>
          <t>Aprovado Diretoria</t>
        </is>
      </c>
      <c r="Q24" t="inlineStr">
        <is>
          <t>Aprovado Caixa</t>
        </is>
      </c>
      <c r="R24" t="inlineStr">
        <is>
          <t>Pago</t>
        </is>
      </c>
      <c r="S24" t="n">
        <v>148</v>
      </c>
      <c r="T24" t="inlineStr">
        <is>
          <t>Bar Brahma Granja - Tutum Filial - Kamino</t>
        </is>
      </c>
    </row>
    <row r="25">
      <c r="A25" t="n">
        <v>188732</v>
      </c>
      <c r="B25" t="n">
        <v>148</v>
      </c>
      <c r="C25" t="inlineStr">
        <is>
          <t>Bar Brahma - Granja</t>
        </is>
      </c>
      <c r="D25" t="inlineStr">
        <is>
          <t>HORTA NOVA DISTRIBUIDORA DE HORTIFRUTI LTDA</t>
        </is>
      </c>
      <c r="E25" t="n">
        <v>405.75</v>
      </c>
      <c r="F25" s="27" t="n">
        <v>46050</v>
      </c>
      <c r="G25" s="27" t="n">
        <v>46049</v>
      </c>
      <c r="H25" s="27" t="n">
        <v>46049</v>
      </c>
      <c r="I25" s="27" t="n">
        <v>46020</v>
      </c>
      <c r="J25" s="27" t="n">
        <v>46027</v>
      </c>
      <c r="K25" t="inlineStr">
        <is>
          <t>Boleto Bancário</t>
        </is>
      </c>
      <c r="L25" t="inlineStr">
        <is>
          <t>Custo Mercadoria Vendida</t>
        </is>
      </c>
      <c r="M25" t="inlineStr">
        <is>
          <t>Insumos - Alimentos</t>
        </is>
      </c>
      <c r="N25" t="inlineStr">
        <is>
          <t>8261</t>
        </is>
      </c>
      <c r="O25" t="inlineStr">
        <is>
          <t>Documentação Aprovada</t>
        </is>
      </c>
      <c r="P25" t="inlineStr">
        <is>
          <t>Aprovado Diretoria</t>
        </is>
      </c>
      <c r="Q25" t="inlineStr">
        <is>
          <t>Aprovado Caixa</t>
        </is>
      </c>
      <c r="R25" t="inlineStr">
        <is>
          <t>Pago</t>
        </is>
      </c>
      <c r="S25" t="n">
        <v>164</v>
      </c>
      <c r="T25" t="inlineStr">
        <is>
          <t>Bar Brahma Granja - FDB Filial - Kamino</t>
        </is>
      </c>
    </row>
    <row r="26">
      <c r="A26" t="n">
        <v>194245</v>
      </c>
      <c r="B26" t="n">
        <v>148</v>
      </c>
      <c r="C26" t="inlineStr">
        <is>
          <t>Bar Brahma - Granja</t>
        </is>
      </c>
      <c r="D26" t="inlineStr">
        <is>
          <t>VALE TRANSPORTE</t>
        </is>
      </c>
      <c r="E26" t="n">
        <v>18.27</v>
      </c>
      <c r="F26" s="27" t="n">
        <v>46049</v>
      </c>
      <c r="G26" s="27" t="n">
        <v>46049</v>
      </c>
      <c r="H26" s="27" t="n">
        <v>46049</v>
      </c>
      <c r="I26" s="27" t="n">
        <v>46023</v>
      </c>
      <c r="J26" s="27" t="n">
        <v>46042</v>
      </c>
      <c r="K26" t="inlineStr">
        <is>
          <t>Boleto Bancário</t>
        </is>
      </c>
      <c r="L26" t="inlineStr">
        <is>
          <t>Mão de Obra - Benefícios</t>
        </is>
      </c>
      <c r="M26" t="inlineStr">
        <is>
          <t xml:space="preserve">  -  Vale-transporte</t>
        </is>
      </c>
      <c r="N26" t="inlineStr">
        <is>
          <t>1827 012026</t>
        </is>
      </c>
      <c r="O26" t="inlineStr">
        <is>
          <t>Documentação Aprovada</t>
        </is>
      </c>
      <c r="P26" t="inlineStr">
        <is>
          <t>Aprovado Diretoria</t>
        </is>
      </c>
      <c r="Q26" t="inlineStr">
        <is>
          <t>Aprovado Caixa</t>
        </is>
      </c>
      <c r="R26" t="inlineStr">
        <is>
          <t>Pago</t>
        </is>
      </c>
      <c r="S26" t="n">
        <v>148</v>
      </c>
      <c r="T26" t="inlineStr">
        <is>
          <t>Bar Brahma Granja - Tutum Filial - Kamino</t>
        </is>
      </c>
    </row>
    <row r="27">
      <c r="A27" t="n">
        <v>194445</v>
      </c>
      <c r="B27" t="n">
        <v>148</v>
      </c>
      <c r="C27" t="inlineStr">
        <is>
          <t>Bar Brahma - Granja</t>
        </is>
      </c>
      <c r="D27" t="inlineStr">
        <is>
          <t>PDO ALIMENTOS E COMERCIO LTDA</t>
        </is>
      </c>
      <c r="E27" t="n">
        <v>173.5</v>
      </c>
      <c r="F27" s="27" t="n">
        <v>46049</v>
      </c>
      <c r="G27" s="27" t="n">
        <v>46049</v>
      </c>
      <c r="H27" s="27" t="n">
        <v>46049</v>
      </c>
      <c r="I27" s="27" t="n">
        <v>46038</v>
      </c>
      <c r="J27" s="27" t="n">
        <v>46042</v>
      </c>
      <c r="K27" t="inlineStr">
        <is>
          <t>Boleto Bancário</t>
        </is>
      </c>
      <c r="L27" t="inlineStr">
        <is>
          <t>Custo Mercadoria Vendida</t>
        </is>
      </c>
      <c r="M27" t="inlineStr">
        <is>
          <t>Insumos - Alimentos</t>
        </is>
      </c>
      <c r="N27" t="inlineStr">
        <is>
          <t>46607</t>
        </is>
      </c>
      <c r="O27" t="inlineStr">
        <is>
          <t>Documentação Aprovada</t>
        </is>
      </c>
      <c r="P27" t="inlineStr">
        <is>
          <t>Aprovado Diretoria</t>
        </is>
      </c>
      <c r="Q27" t="inlineStr">
        <is>
          <t>Aprovado Caixa</t>
        </is>
      </c>
      <c r="R27" t="inlineStr">
        <is>
          <t>Pago</t>
        </is>
      </c>
      <c r="S27" t="n">
        <v>164</v>
      </c>
      <c r="T27" t="inlineStr">
        <is>
          <t>Bar Brahma Granja - FDB Filial - Kamino</t>
        </is>
      </c>
    </row>
    <row r="28">
      <c r="A28" t="n">
        <v>193275</v>
      </c>
      <c r="B28" t="n">
        <v>148</v>
      </c>
      <c r="C28" t="inlineStr">
        <is>
          <t>Bar Brahma - Granja</t>
        </is>
      </c>
      <c r="D28" t="inlineStr">
        <is>
          <t>MULTIFRANGOS COMERCIO DE ALIMENTOS LTDA</t>
        </is>
      </c>
      <c r="E28" t="n">
        <v>1240.22</v>
      </c>
      <c r="F28" s="27" t="n">
        <v>46049</v>
      </c>
      <c r="G28" s="27" t="n">
        <v>46049</v>
      </c>
      <c r="H28" s="27" t="n">
        <v>46049</v>
      </c>
      <c r="I28" s="27" t="n">
        <v>46035</v>
      </c>
      <c r="J28" s="27" t="n">
        <v>46037</v>
      </c>
      <c r="K28" t="inlineStr">
        <is>
          <t>Boleto Bancário</t>
        </is>
      </c>
      <c r="L28" t="inlineStr">
        <is>
          <t>Custo Mercadoria Vendida</t>
        </is>
      </c>
      <c r="M28" t="inlineStr">
        <is>
          <t>Insumos - Alimentos</t>
        </is>
      </c>
      <c r="N28" t="inlineStr">
        <is>
          <t>939339</t>
        </is>
      </c>
      <c r="O28" t="inlineStr">
        <is>
          <t>Documentação Aprovada</t>
        </is>
      </c>
      <c r="P28" t="inlineStr">
        <is>
          <t>Aprovado Diretoria</t>
        </is>
      </c>
      <c r="Q28" t="inlineStr">
        <is>
          <t>Aprovado Caixa</t>
        </is>
      </c>
      <c r="R28" t="inlineStr">
        <is>
          <t>Pago</t>
        </is>
      </c>
      <c r="S28" t="n">
        <v>164</v>
      </c>
      <c r="T28" t="inlineStr">
        <is>
          <t>Bar Brahma Granja - FDB Filial - Kamino</t>
        </is>
      </c>
    </row>
    <row r="29">
      <c r="A29" t="n">
        <v>189787</v>
      </c>
      <c r="B29" t="n">
        <v>148</v>
      </c>
      <c r="C29" t="inlineStr">
        <is>
          <t>Bar Brahma - Granja</t>
        </is>
      </c>
      <c r="D29" t="inlineStr">
        <is>
          <t>EMPORIO M&amp;L COMERCIO DE ALIM E BEBIDAS LTDA</t>
        </is>
      </c>
      <c r="E29" t="n">
        <v>2330.76</v>
      </c>
      <c r="F29" s="27" t="n">
        <v>46049</v>
      </c>
      <c r="G29" s="27" t="n">
        <v>46049</v>
      </c>
      <c r="H29" s="27" t="n">
        <v>46049</v>
      </c>
      <c r="I29" s="27" t="n">
        <v>46021</v>
      </c>
      <c r="J29" s="27" t="n">
        <v>46030</v>
      </c>
      <c r="K29" t="inlineStr">
        <is>
          <t>Boleto Bancário</t>
        </is>
      </c>
      <c r="L29" t="inlineStr">
        <is>
          <t>Custo Mercadoria Vendida</t>
        </is>
      </c>
      <c r="M29" t="inlineStr">
        <is>
          <t>Insumos - Alimentos</t>
        </is>
      </c>
      <c r="N29" t="inlineStr">
        <is>
          <t>489353</t>
        </is>
      </c>
      <c r="O29" t="inlineStr">
        <is>
          <t>Documentação Aprovada</t>
        </is>
      </c>
      <c r="P29" t="inlineStr">
        <is>
          <t>Aprovado Diretoria</t>
        </is>
      </c>
      <c r="Q29" t="inlineStr">
        <is>
          <t>Aprovado Caixa</t>
        </is>
      </c>
      <c r="R29" t="inlineStr">
        <is>
          <t>Pago</t>
        </is>
      </c>
      <c r="S29" t="n">
        <v>164</v>
      </c>
      <c r="T29" t="inlineStr">
        <is>
          <t>Bar Brahma Granja - FDB Filial - Kamino</t>
        </is>
      </c>
    </row>
    <row r="30">
      <c r="A30" t="n">
        <v>189788</v>
      </c>
      <c r="B30" t="n">
        <v>148</v>
      </c>
      <c r="C30" t="inlineStr">
        <is>
          <t>Bar Brahma - Granja</t>
        </is>
      </c>
      <c r="D30" t="inlineStr">
        <is>
          <t>EMPORIO M&amp;L COMERCIO DE ALIM E BEBIDAS LTDA</t>
        </is>
      </c>
      <c r="E30" t="n">
        <v>882.33</v>
      </c>
      <c r="F30" s="27" t="n">
        <v>46049</v>
      </c>
      <c r="G30" s="27" t="n">
        <v>46049</v>
      </c>
      <c r="H30" s="27" t="n">
        <v>46049</v>
      </c>
      <c r="I30" s="27" t="n">
        <v>46021</v>
      </c>
      <c r="J30" s="27" t="n">
        <v>46030</v>
      </c>
      <c r="K30" t="inlineStr">
        <is>
          <t>Boleto Bancário</t>
        </is>
      </c>
      <c r="L30" t="inlineStr">
        <is>
          <t>Custo Mercadoria Vendida</t>
        </is>
      </c>
      <c r="M30" t="inlineStr">
        <is>
          <t>Insumos - Alimentos</t>
        </is>
      </c>
      <c r="N30" t="inlineStr">
        <is>
          <t>489355</t>
        </is>
      </c>
      <c r="O30" t="inlineStr">
        <is>
          <t>Documentação Aprovada</t>
        </is>
      </c>
      <c r="P30" t="inlineStr">
        <is>
          <t>Aprovado Diretoria</t>
        </is>
      </c>
      <c r="Q30" t="inlineStr">
        <is>
          <t>Aprovado Caixa</t>
        </is>
      </c>
      <c r="R30" t="inlineStr">
        <is>
          <t>Pago</t>
        </is>
      </c>
      <c r="S30" t="n">
        <v>164</v>
      </c>
      <c r="T30" t="inlineStr">
        <is>
          <t>Bar Brahma Granja - FDB Filial - Kamino</t>
        </is>
      </c>
    </row>
    <row r="31">
      <c r="A31" t="n">
        <v>190212</v>
      </c>
      <c r="B31" t="n">
        <v>148</v>
      </c>
      <c r="C31" t="inlineStr">
        <is>
          <t>Bar Brahma - Granja</t>
        </is>
      </c>
      <c r="D31" t="inlineStr">
        <is>
          <t>NMULTIFIBRA TELECOMUNICACAO LTDA</t>
        </is>
      </c>
      <c r="E31" t="n">
        <v>357.09</v>
      </c>
      <c r="F31" s="27" t="n">
        <v>46048</v>
      </c>
      <c r="G31" s="27" t="n">
        <v>46049</v>
      </c>
      <c r="H31" s="27" t="n">
        <v>46049</v>
      </c>
      <c r="I31" s="27" t="n">
        <v>46036</v>
      </c>
      <c r="J31" s="27" t="n">
        <v>46036</v>
      </c>
      <c r="K31" t="inlineStr">
        <is>
          <t>Boleto Bancário</t>
        </is>
      </c>
      <c r="L31" t="inlineStr">
        <is>
          <t>Informática e TI</t>
        </is>
      </c>
      <c r="M31" t="inlineStr">
        <is>
          <t>Internet</t>
        </is>
      </c>
      <c r="N31" t="inlineStr">
        <is>
          <t>24525</t>
        </is>
      </c>
      <c r="O31" t="inlineStr">
        <is>
          <t>Documentação Aprovada</t>
        </is>
      </c>
      <c r="P31" t="inlineStr">
        <is>
          <t>Aprovado Diretoria</t>
        </is>
      </c>
      <c r="Q31" t="inlineStr">
        <is>
          <t>Aprovado Caixa</t>
        </is>
      </c>
      <c r="R31" t="inlineStr">
        <is>
          <t>Pago</t>
        </is>
      </c>
      <c r="S31" t="n">
        <v>164</v>
      </c>
      <c r="T31" t="inlineStr">
        <is>
          <t>Bar Brahma Granja - FDB Filial - Kamino</t>
        </is>
      </c>
    </row>
    <row r="32">
      <c r="A32" t="n">
        <v>193518</v>
      </c>
      <c r="B32" t="n">
        <v>148</v>
      </c>
      <c r="C32" t="inlineStr">
        <is>
          <t>Bar Brahma - Granja</t>
        </is>
      </c>
      <c r="D32" t="inlineStr">
        <is>
          <t xml:space="preserve">MS FRANGOS LTDA </t>
        </is>
      </c>
      <c r="E32" t="n">
        <v>348.74</v>
      </c>
      <c r="F32" s="27" t="n">
        <v>46050</v>
      </c>
      <c r="G32" s="27" t="n">
        <v>46049</v>
      </c>
      <c r="H32" s="27" t="n">
        <v>46049</v>
      </c>
      <c r="I32" s="27" t="n">
        <v>46035</v>
      </c>
      <c r="J32" s="27" t="n">
        <v>46037</v>
      </c>
      <c r="K32" t="inlineStr">
        <is>
          <t>Boleto Bancário</t>
        </is>
      </c>
      <c r="L32" t="inlineStr">
        <is>
          <t>Custo Mercadoria Vendida</t>
        </is>
      </c>
      <c r="M32" t="inlineStr">
        <is>
          <t>Insumos - Alimentos</t>
        </is>
      </c>
      <c r="N32" t="inlineStr">
        <is>
          <t>5383</t>
        </is>
      </c>
      <c r="O32" t="inlineStr">
        <is>
          <t>Documentação Aprovada</t>
        </is>
      </c>
      <c r="P32" t="inlineStr">
        <is>
          <t>Aprovado Diretoria</t>
        </is>
      </c>
      <c r="Q32" t="inlineStr">
        <is>
          <t>Aprovado Caixa</t>
        </is>
      </c>
      <c r="R32" t="inlineStr">
        <is>
          <t>Pago</t>
        </is>
      </c>
      <c r="S32" t="n">
        <v>164</v>
      </c>
      <c r="T32" t="inlineStr">
        <is>
          <t>Bar Brahma Granja - FDB Filial - Kamino</t>
        </is>
      </c>
    </row>
    <row r="33">
      <c r="A33" t="n">
        <v>193566</v>
      </c>
      <c r="B33" t="n">
        <v>148</v>
      </c>
      <c r="C33" t="inlineStr">
        <is>
          <t>Bar Brahma - Granja</t>
        </is>
      </c>
      <c r="D33" t="inlineStr">
        <is>
          <t>WIDE STOCK COMERCIO E DISTRIBUICAO LTDA</t>
        </is>
      </c>
      <c r="E33" t="n">
        <v>125.7</v>
      </c>
      <c r="F33" s="27" t="n">
        <v>46050</v>
      </c>
      <c r="G33" s="27" t="n">
        <v>46049</v>
      </c>
      <c r="H33" s="27" t="n">
        <v>46049</v>
      </c>
      <c r="I33" s="27" t="n">
        <v>46036</v>
      </c>
      <c r="J33" s="27" t="n">
        <v>46037</v>
      </c>
      <c r="K33" t="inlineStr">
        <is>
          <t>Boleto Bancário</t>
        </is>
      </c>
      <c r="L33" t="inlineStr">
        <is>
          <t>Utilidades</t>
        </is>
      </c>
      <c r="M33" t="inlineStr">
        <is>
          <t>Higiene e Limpeza</t>
        </is>
      </c>
      <c r="N33" t="inlineStr">
        <is>
          <t>424590</t>
        </is>
      </c>
      <c r="O33" t="inlineStr">
        <is>
          <t>Documentação Aprovada</t>
        </is>
      </c>
      <c r="P33" t="inlineStr">
        <is>
          <t>Aprovado Diretoria</t>
        </is>
      </c>
      <c r="Q33" t="inlineStr">
        <is>
          <t>Aprovado Caixa</t>
        </is>
      </c>
      <c r="R33" t="inlineStr">
        <is>
          <t>Pago</t>
        </is>
      </c>
      <c r="S33" t="n">
        <v>164</v>
      </c>
      <c r="T33" t="inlineStr">
        <is>
          <t>Bar Brahma Granja - FDB Filial - Kamino</t>
        </is>
      </c>
    </row>
    <row r="34">
      <c r="A34" t="n">
        <v>193437</v>
      </c>
      <c r="B34" t="n">
        <v>148</v>
      </c>
      <c r="C34" t="inlineStr">
        <is>
          <t>Bar Brahma - Granja</t>
        </is>
      </c>
      <c r="D34" t="inlineStr">
        <is>
          <t>MAR DIRETO POC COMERCIO DE PEIXES LTDA</t>
        </is>
      </c>
      <c r="E34" t="n">
        <v>620</v>
      </c>
      <c r="F34" s="27" t="n">
        <v>46049</v>
      </c>
      <c r="G34" s="27" t="n">
        <v>46049</v>
      </c>
      <c r="H34" s="27" t="n">
        <v>46049</v>
      </c>
      <c r="I34" s="27" t="n">
        <v>46034</v>
      </c>
      <c r="J34" s="27" t="n">
        <v>46037</v>
      </c>
      <c r="K34" t="inlineStr">
        <is>
          <t>Boleto Bancário</t>
        </is>
      </c>
      <c r="L34" t="inlineStr">
        <is>
          <t>Custo Mercadoria Vendida</t>
        </is>
      </c>
      <c r="M34" t="inlineStr">
        <is>
          <t>Insumos - Alimentos</t>
        </is>
      </c>
      <c r="N34" t="inlineStr">
        <is>
          <t>114563</t>
        </is>
      </c>
      <c r="O34" t="inlineStr">
        <is>
          <t>Documentação Aprovada</t>
        </is>
      </c>
      <c r="P34" t="inlineStr">
        <is>
          <t>Aprovado Diretoria</t>
        </is>
      </c>
      <c r="Q34" t="inlineStr">
        <is>
          <t>Aprovado Caixa</t>
        </is>
      </c>
      <c r="R34" t="inlineStr">
        <is>
          <t>Pago</t>
        </is>
      </c>
      <c r="S34" t="n">
        <v>164</v>
      </c>
      <c r="T34" t="inlineStr">
        <is>
          <t>Bar Brahma Granja - FDB Filial - Kamino</t>
        </is>
      </c>
    </row>
    <row r="35">
      <c r="A35" t="n">
        <v>193573</v>
      </c>
      <c r="B35" t="n">
        <v>148</v>
      </c>
      <c r="C35" t="inlineStr">
        <is>
          <t>Bar Brahma - Granja</t>
        </is>
      </c>
      <c r="D35" t="inlineStr">
        <is>
          <t>PSSS LTDA</t>
        </is>
      </c>
      <c r="E35" t="n">
        <v>1458.02</v>
      </c>
      <c r="F35" s="27" t="n">
        <v>46050</v>
      </c>
      <c r="G35" s="27" t="n">
        <v>46049</v>
      </c>
      <c r="H35" s="27" t="n">
        <v>46049</v>
      </c>
      <c r="I35" s="27" t="n">
        <v>46035</v>
      </c>
      <c r="J35" s="27" t="n">
        <v>46037</v>
      </c>
      <c r="K35" t="inlineStr">
        <is>
          <t>Boleto Bancário</t>
        </is>
      </c>
      <c r="L35" t="inlineStr">
        <is>
          <t>Utilidades</t>
        </is>
      </c>
      <c r="M35" t="inlineStr">
        <is>
          <t>Higiene e Limpeza</t>
        </is>
      </c>
      <c r="N35" t="inlineStr">
        <is>
          <t>2940</t>
        </is>
      </c>
      <c r="O35" t="inlineStr">
        <is>
          <t>Documentação Aprovada</t>
        </is>
      </c>
      <c r="P35" t="inlineStr">
        <is>
          <t>Aprovado Diretoria</t>
        </is>
      </c>
      <c r="Q35" t="inlineStr">
        <is>
          <t>Aprovado Caixa</t>
        </is>
      </c>
      <c r="R35" t="inlineStr">
        <is>
          <t>Pago</t>
        </is>
      </c>
      <c r="S35" t="n">
        <v>164</v>
      </c>
      <c r="T35" t="inlineStr">
        <is>
          <t>Bar Brahma Granja - FDB Filial - Kamino</t>
        </is>
      </c>
    </row>
    <row r="36">
      <c r="A36" t="n">
        <v>193572</v>
      </c>
      <c r="B36" t="n">
        <v>148</v>
      </c>
      <c r="C36" t="inlineStr">
        <is>
          <t>Bar Brahma - Granja</t>
        </is>
      </c>
      <c r="D36" t="inlineStr">
        <is>
          <t>PSSS LTDA</t>
        </is>
      </c>
      <c r="E36" t="n">
        <v>84</v>
      </c>
      <c r="F36" s="27" t="n">
        <v>46050</v>
      </c>
      <c r="G36" s="27" t="n">
        <v>46049</v>
      </c>
      <c r="H36" s="27" t="n">
        <v>46049</v>
      </c>
      <c r="I36" s="27" t="n">
        <v>46035</v>
      </c>
      <c r="J36" s="27" t="n">
        <v>46037</v>
      </c>
      <c r="K36" t="inlineStr">
        <is>
          <t>Boleto Bancário</t>
        </is>
      </c>
      <c r="L36" t="inlineStr">
        <is>
          <t>Utilidades</t>
        </is>
      </c>
      <c r="M36" t="inlineStr">
        <is>
          <t>Higiene e Limpeza</t>
        </is>
      </c>
      <c r="N36" t="inlineStr">
        <is>
          <t>2943</t>
        </is>
      </c>
      <c r="O36" t="inlineStr">
        <is>
          <t>Documentação Aprovada</t>
        </is>
      </c>
      <c r="P36" t="inlineStr">
        <is>
          <t>Aprovado Diretoria</t>
        </is>
      </c>
      <c r="Q36" t="inlineStr">
        <is>
          <t>Aprovado Caixa</t>
        </is>
      </c>
      <c r="R36" t="inlineStr">
        <is>
          <t>Pago</t>
        </is>
      </c>
      <c r="S36" t="n">
        <v>164</v>
      </c>
      <c r="T36" t="inlineStr">
        <is>
          <t>Bar Brahma Granja - FDB Filial - Kamino</t>
        </is>
      </c>
    </row>
    <row r="37">
      <c r="A37" t="n">
        <v>188720</v>
      </c>
      <c r="B37" t="n">
        <v>148</v>
      </c>
      <c r="C37" t="inlineStr">
        <is>
          <t>Bar Brahma - Granja</t>
        </is>
      </c>
      <c r="D37" t="inlineStr">
        <is>
          <t>B.B DISTRIBUIDORA DE CARNES LTDA</t>
        </is>
      </c>
      <c r="E37" t="n">
        <v>3205.91</v>
      </c>
      <c r="F37" s="27" t="n">
        <v>46049</v>
      </c>
      <c r="G37" s="27" t="n">
        <v>46049</v>
      </c>
      <c r="H37" s="27" t="n">
        <v>46049</v>
      </c>
      <c r="I37" s="27" t="n">
        <v>46021</v>
      </c>
      <c r="J37" s="27" t="n">
        <v>46027</v>
      </c>
      <c r="K37" t="inlineStr">
        <is>
          <t>Boleto Bancário</t>
        </is>
      </c>
      <c r="L37" t="inlineStr">
        <is>
          <t>Custo Mercadoria Vendida</t>
        </is>
      </c>
      <c r="M37" t="inlineStr">
        <is>
          <t>Insumos - Alimentos</t>
        </is>
      </c>
      <c r="N37" t="inlineStr">
        <is>
          <t>411299</t>
        </is>
      </c>
      <c r="O37" t="inlineStr">
        <is>
          <t>Documentação Aprovada</t>
        </is>
      </c>
      <c r="P37" t="inlineStr">
        <is>
          <t>Aprovado Diretoria</t>
        </is>
      </c>
      <c r="Q37" t="inlineStr">
        <is>
          <t>Aprovado Caixa</t>
        </is>
      </c>
      <c r="R37" t="inlineStr">
        <is>
          <t>Pago</t>
        </is>
      </c>
      <c r="S37" t="n">
        <v>164</v>
      </c>
      <c r="T37" t="inlineStr">
        <is>
          <t>Bar Brahma Granja - FDB Filial - Kamino</t>
        </is>
      </c>
    </row>
    <row r="38">
      <c r="A38" t="n">
        <v>187647</v>
      </c>
      <c r="B38" t="n">
        <v>148</v>
      </c>
      <c r="C38" t="inlineStr">
        <is>
          <t>Bar Brahma - Granja</t>
        </is>
      </c>
      <c r="D38" t="inlineStr">
        <is>
          <t xml:space="preserve">DENIS DOS SANTOS - ME </t>
        </is>
      </c>
      <c r="E38" t="n">
        <v>2140</v>
      </c>
      <c r="F38" s="27" t="n">
        <v>46050</v>
      </c>
      <c r="G38" s="27" t="n">
        <v>46049</v>
      </c>
      <c r="H38" s="27" t="n">
        <v>46049</v>
      </c>
      <c r="I38" s="27" t="n">
        <v>46027</v>
      </c>
      <c r="J38" s="27" t="n">
        <v>46027</v>
      </c>
      <c r="K38" t="inlineStr">
        <is>
          <t>Transferência Bancária ou Pix</t>
        </is>
      </c>
      <c r="L38" t="inlineStr">
        <is>
          <t>Manutenção</t>
        </is>
      </c>
      <c r="M38" t="inlineStr">
        <is>
          <t>Manutenção de Equipamentos</t>
        </is>
      </c>
      <c r="N38" t="inlineStr">
        <is>
          <t>127</t>
        </is>
      </c>
      <c r="O38" t="inlineStr">
        <is>
          <t>Documentação Aprovada</t>
        </is>
      </c>
      <c r="P38" t="inlineStr">
        <is>
          <t>Aprovado Diretoria</t>
        </is>
      </c>
      <c r="Q38" t="inlineStr">
        <is>
          <t>Aprovado Caixa</t>
        </is>
      </c>
      <c r="R38" t="inlineStr">
        <is>
          <t>Pago</t>
        </is>
      </c>
      <c r="S38" t="n">
        <v>164</v>
      </c>
      <c r="T38" t="inlineStr">
        <is>
          <t>Bar Brahma Granja - FDB Filial - Kamino</t>
        </is>
      </c>
    </row>
    <row r="39">
      <c r="A39" t="n">
        <v>188727</v>
      </c>
      <c r="B39" t="n">
        <v>148</v>
      </c>
      <c r="C39" t="inlineStr">
        <is>
          <t>Bar Brahma - Granja</t>
        </is>
      </c>
      <c r="D39" t="inlineStr">
        <is>
          <t>EMPORIO M&amp;L COMERCIO DE ALIM E BEBIDAS LTDA</t>
        </is>
      </c>
      <c r="E39" t="n">
        <v>613.9</v>
      </c>
      <c r="F39" s="27" t="n">
        <v>46049</v>
      </c>
      <c r="G39" s="27" t="n">
        <v>46049</v>
      </c>
      <c r="H39" s="27" t="n">
        <v>46049</v>
      </c>
      <c r="I39" s="27" t="n">
        <v>46020</v>
      </c>
      <c r="J39" s="27" t="n">
        <v>46027</v>
      </c>
      <c r="K39" t="inlineStr">
        <is>
          <t>Boleto Bancário</t>
        </is>
      </c>
      <c r="L39" t="inlineStr">
        <is>
          <t>Custo Mercadoria Vendida</t>
        </is>
      </c>
      <c r="M39" t="inlineStr">
        <is>
          <t>Insumos - Bebidas</t>
        </is>
      </c>
      <c r="N39" t="inlineStr">
        <is>
          <t>489227</t>
        </is>
      </c>
      <c r="O39" t="inlineStr">
        <is>
          <t>Documentação Aprovada</t>
        </is>
      </c>
      <c r="P39" t="inlineStr">
        <is>
          <t>Aprovado Diretoria</t>
        </is>
      </c>
      <c r="Q39" t="inlineStr">
        <is>
          <t>Aprovado Caixa</t>
        </is>
      </c>
      <c r="R39" t="inlineStr">
        <is>
          <t>Pago</t>
        </is>
      </c>
      <c r="S39" t="n">
        <v>164</v>
      </c>
      <c r="T39" t="inlineStr">
        <is>
          <t>Bar Brahma Granja - FDB Filial - Kamino</t>
        </is>
      </c>
    </row>
    <row r="40">
      <c r="A40" t="n">
        <v>188721</v>
      </c>
      <c r="B40" t="n">
        <v>148</v>
      </c>
      <c r="C40" t="inlineStr">
        <is>
          <t>Bar Brahma - Granja</t>
        </is>
      </c>
      <c r="D40" t="inlineStr">
        <is>
          <t>MARIO PEDRO FELICIANO - HORTIFRUTI</t>
        </is>
      </c>
      <c r="E40" t="n">
        <v>927.3099999999999</v>
      </c>
      <c r="F40" s="27" t="n">
        <v>46049</v>
      </c>
      <c r="G40" s="27" t="n">
        <v>46049</v>
      </c>
      <c r="H40" s="27" t="n">
        <v>46049</v>
      </c>
      <c r="I40" s="27" t="n">
        <v>46021</v>
      </c>
      <c r="J40" s="27" t="n">
        <v>46027</v>
      </c>
      <c r="K40" t="inlineStr">
        <is>
          <t>Boleto Bancário</t>
        </is>
      </c>
      <c r="L40" t="inlineStr">
        <is>
          <t>Custo Mercadoria Vendida</t>
        </is>
      </c>
      <c r="M40" t="inlineStr">
        <is>
          <t>Insumos - Alimentos</t>
        </is>
      </c>
      <c r="N40" t="inlineStr">
        <is>
          <t>463396</t>
        </is>
      </c>
      <c r="O40" t="inlineStr">
        <is>
          <t>Documentação Aprovada</t>
        </is>
      </c>
      <c r="P40" t="inlineStr">
        <is>
          <t>Aprovado Diretoria</t>
        </is>
      </c>
      <c r="Q40" t="inlineStr">
        <is>
          <t>Aprovado Caixa</t>
        </is>
      </c>
      <c r="R40" t="inlineStr">
        <is>
          <t>Pago</t>
        </is>
      </c>
      <c r="S40" t="n">
        <v>164</v>
      </c>
      <c r="T40" t="inlineStr">
        <is>
          <t>Bar Brahma Granja - FDB Filial - Kamino</t>
        </is>
      </c>
    </row>
    <row r="41">
      <c r="A41" t="n">
        <v>188729</v>
      </c>
      <c r="B41" t="n">
        <v>148</v>
      </c>
      <c r="C41" t="inlineStr">
        <is>
          <t>Bar Brahma - Granja</t>
        </is>
      </c>
      <c r="D41" t="inlineStr">
        <is>
          <t>AMBEV S. A. - CDD SAO PAULO</t>
        </is>
      </c>
      <c r="E41" t="n">
        <v>4829.55</v>
      </c>
      <c r="F41" s="27" t="n">
        <v>46050</v>
      </c>
      <c r="G41" s="27" t="n">
        <v>46049</v>
      </c>
      <c r="H41" s="27" t="n">
        <v>46049</v>
      </c>
      <c r="I41" s="27" t="n">
        <v>46018</v>
      </c>
      <c r="J41" s="27" t="n">
        <v>46027</v>
      </c>
      <c r="K41" t="inlineStr">
        <is>
          <t>Boleto Bancário</t>
        </is>
      </c>
      <c r="L41" t="inlineStr">
        <is>
          <t>Custo Mercadoria Vendida</t>
        </is>
      </c>
      <c r="M41" t="inlineStr">
        <is>
          <t>Insumos - Bebidas</t>
        </is>
      </c>
      <c r="N41" t="inlineStr">
        <is>
          <t>987085</t>
        </is>
      </c>
      <c r="O41" t="inlineStr">
        <is>
          <t>Documentação Aprovada</t>
        </is>
      </c>
      <c r="P41" t="inlineStr">
        <is>
          <t>Aprovado Diretoria</t>
        </is>
      </c>
      <c r="Q41" t="inlineStr">
        <is>
          <t>Aprovado Caixa</t>
        </is>
      </c>
      <c r="R41" t="inlineStr">
        <is>
          <t>Pago</t>
        </is>
      </c>
      <c r="S41" t="n">
        <v>164</v>
      </c>
      <c r="T41" t="inlineStr">
        <is>
          <t>Bar Brahma Granja - FDB Filial - Kamino</t>
        </is>
      </c>
    </row>
    <row r="42">
      <c r="A42" t="n">
        <v>188716</v>
      </c>
      <c r="B42" t="n">
        <v>148</v>
      </c>
      <c r="C42" t="inlineStr">
        <is>
          <t>Bar Brahma - Granja</t>
        </is>
      </c>
      <c r="D42" t="inlineStr">
        <is>
          <t>B.B DISTRIBUIDORA DE CARNES LTDA</t>
        </is>
      </c>
      <c r="E42" t="n">
        <v>3437.52</v>
      </c>
      <c r="F42" s="27" t="n">
        <v>46049</v>
      </c>
      <c r="G42" s="27" t="n">
        <v>46049</v>
      </c>
      <c r="H42" s="27" t="n">
        <v>46049</v>
      </c>
      <c r="I42" s="27" t="n">
        <v>46021</v>
      </c>
      <c r="J42" s="27" t="n">
        <v>46027</v>
      </c>
      <c r="K42" t="inlineStr">
        <is>
          <t>Boleto Bancário</t>
        </is>
      </c>
      <c r="L42" t="inlineStr">
        <is>
          <t>Custo Mercadoria Vendida</t>
        </is>
      </c>
      <c r="M42" t="inlineStr">
        <is>
          <t>Insumos - Alimentos</t>
        </is>
      </c>
      <c r="N42" t="inlineStr">
        <is>
          <t>411323</t>
        </is>
      </c>
      <c r="O42" t="inlineStr">
        <is>
          <t>Documentação Aprovada</t>
        </is>
      </c>
      <c r="P42" t="inlineStr">
        <is>
          <t>Aprovado Diretoria</t>
        </is>
      </c>
      <c r="Q42" t="inlineStr">
        <is>
          <t>Aprovado Caixa</t>
        </is>
      </c>
      <c r="R42" t="inlineStr">
        <is>
          <t>Pago</t>
        </is>
      </c>
      <c r="S42" t="n">
        <v>164</v>
      </c>
      <c r="T42" t="inlineStr">
        <is>
          <t>Bar Brahma Granja - FDB Filial - Kamino</t>
        </is>
      </c>
    </row>
    <row r="43">
      <c r="A43" t="n">
        <v>188723</v>
      </c>
      <c r="B43" t="n">
        <v>148</v>
      </c>
      <c r="C43" t="inlineStr">
        <is>
          <t>Bar Brahma - Granja</t>
        </is>
      </c>
      <c r="D43" t="inlineStr">
        <is>
          <t>CECILIA TSUYACO ARAKI SILVA LTDA</t>
        </is>
      </c>
      <c r="E43" t="n">
        <v>993.83</v>
      </c>
      <c r="F43" s="27" t="n">
        <v>46049</v>
      </c>
      <c r="G43" s="27" t="n">
        <v>46049</v>
      </c>
      <c r="H43" s="27" t="n">
        <v>46049</v>
      </c>
      <c r="I43" s="27" t="n">
        <v>46021</v>
      </c>
      <c r="J43" s="27" t="n">
        <v>46027</v>
      </c>
      <c r="K43" t="inlineStr">
        <is>
          <t>Boleto Bancário</t>
        </is>
      </c>
      <c r="L43" t="inlineStr">
        <is>
          <t>Custo Mercadoria Vendida</t>
        </is>
      </c>
      <c r="M43" t="inlineStr">
        <is>
          <t>Insumos - Alimentos</t>
        </is>
      </c>
      <c r="N43" t="inlineStr">
        <is>
          <t>384322</t>
        </is>
      </c>
      <c r="O43" t="inlineStr">
        <is>
          <t>Documentação Aprovada</t>
        </is>
      </c>
      <c r="P43" t="inlineStr">
        <is>
          <t>Aprovado Diretoria</t>
        </is>
      </c>
      <c r="Q43" t="inlineStr">
        <is>
          <t>Aprovado Caixa</t>
        </is>
      </c>
      <c r="R43" t="inlineStr">
        <is>
          <t>Pago</t>
        </is>
      </c>
      <c r="S43" t="n">
        <v>164</v>
      </c>
      <c r="T43" t="inlineStr">
        <is>
          <t>Bar Brahma Granja - FDB Filial - Kamino</t>
        </is>
      </c>
    </row>
    <row r="44">
      <c r="A44" t="n">
        <v>188715</v>
      </c>
      <c r="B44" t="n">
        <v>148</v>
      </c>
      <c r="C44" t="inlineStr">
        <is>
          <t>Bar Brahma - Granja</t>
        </is>
      </c>
      <c r="D44" t="inlineStr">
        <is>
          <t>WPP COMERCIO DE CARNES LTDA</t>
        </is>
      </c>
      <c r="E44" t="n">
        <v>2466.81</v>
      </c>
      <c r="F44" s="27" t="n">
        <v>46050</v>
      </c>
      <c r="G44" s="27" t="n">
        <v>46049</v>
      </c>
      <c r="H44" s="27" t="n">
        <v>46049</v>
      </c>
      <c r="I44" s="27" t="n">
        <v>46022</v>
      </c>
      <c r="J44" s="27" t="n">
        <v>46027</v>
      </c>
      <c r="K44" t="inlineStr">
        <is>
          <t>Boleto Bancário</t>
        </is>
      </c>
      <c r="L44" t="inlineStr">
        <is>
          <t>Custo Mercadoria Vendida</t>
        </is>
      </c>
      <c r="M44" t="inlineStr">
        <is>
          <t>Insumos - Alimentos</t>
        </is>
      </c>
      <c r="N44" t="inlineStr">
        <is>
          <t>76514</t>
        </is>
      </c>
      <c r="O44" t="inlineStr">
        <is>
          <t>Documentação Aprovada</t>
        </is>
      </c>
      <c r="P44" t="inlineStr">
        <is>
          <t>Aprovado Diretoria</t>
        </is>
      </c>
      <c r="Q44" t="inlineStr">
        <is>
          <t>Aprovado Caixa</t>
        </is>
      </c>
      <c r="R44" t="inlineStr">
        <is>
          <t>Pago</t>
        </is>
      </c>
      <c r="S44" t="n">
        <v>164</v>
      </c>
      <c r="T44" t="inlineStr">
        <is>
          <t>Bar Brahma Granja - FDB Filial - Kamino</t>
        </is>
      </c>
    </row>
    <row r="45">
      <c r="A45" t="n">
        <v>188646</v>
      </c>
      <c r="B45" t="n">
        <v>148</v>
      </c>
      <c r="C45" t="inlineStr">
        <is>
          <t>Bar Brahma - Granja</t>
        </is>
      </c>
      <c r="D45" t="inlineStr">
        <is>
          <t>ANDREIA SANTOS FREITAS DUARTE</t>
        </is>
      </c>
      <c r="E45" t="n">
        <v>440.2</v>
      </c>
      <c r="F45" s="27" t="n">
        <v>46048</v>
      </c>
      <c r="G45" s="27" t="n">
        <v>46048</v>
      </c>
      <c r="H45" s="27" t="n">
        <v>46048</v>
      </c>
      <c r="I45" s="27" t="n">
        <v>46014</v>
      </c>
      <c r="J45" s="27" t="n">
        <v>46027</v>
      </c>
      <c r="K45" t="inlineStr">
        <is>
          <t>Boleto Bancário</t>
        </is>
      </c>
      <c r="L45" t="inlineStr">
        <is>
          <t>Custo Mercadoria Vendida</t>
        </is>
      </c>
      <c r="M45" t="inlineStr">
        <is>
          <t>Insumos - Alimentos</t>
        </is>
      </c>
      <c r="N45" t="inlineStr">
        <is>
          <t>2384</t>
        </is>
      </c>
      <c r="O45" t="inlineStr">
        <is>
          <t>Documentação Aprovada</t>
        </is>
      </c>
      <c r="P45" t="inlineStr">
        <is>
          <t>Aprovado Diretoria</t>
        </is>
      </c>
      <c r="Q45" t="inlineStr">
        <is>
          <t>Aprovado Caixa</t>
        </is>
      </c>
      <c r="R45" t="inlineStr">
        <is>
          <t>Pago</t>
        </is>
      </c>
      <c r="S45" t="n">
        <v>164</v>
      </c>
      <c r="T45" t="inlineStr">
        <is>
          <t>Bar Brahma Granja - FDB Filial - Kamino</t>
        </is>
      </c>
    </row>
    <row r="46">
      <c r="A46" t="n">
        <v>188559</v>
      </c>
      <c r="B46" t="n">
        <v>148</v>
      </c>
      <c r="C46" t="inlineStr">
        <is>
          <t>Bar Brahma - Granja</t>
        </is>
      </c>
      <c r="D46" t="inlineStr">
        <is>
          <t>EAU - DISTRIBUIDORA DE AGUA MINERAL LTDA</t>
        </is>
      </c>
      <c r="E46" t="n">
        <v>819</v>
      </c>
      <c r="F46" s="27" t="n">
        <v>46048</v>
      </c>
      <c r="G46" s="27" t="n">
        <v>46048</v>
      </c>
      <c r="H46" s="27" t="n">
        <v>46048</v>
      </c>
      <c r="I46" s="27" t="n">
        <v>46010</v>
      </c>
      <c r="J46" s="27" t="n">
        <v>46027</v>
      </c>
      <c r="K46" t="inlineStr">
        <is>
          <t>Boleto Bancário</t>
        </is>
      </c>
      <c r="L46" t="inlineStr">
        <is>
          <t>Custo Mercadoria Vendida</t>
        </is>
      </c>
      <c r="M46" t="inlineStr">
        <is>
          <t>Insumos - Bebidas</t>
        </is>
      </c>
      <c r="N46" t="inlineStr">
        <is>
          <t>283684</t>
        </is>
      </c>
      <c r="O46" t="inlineStr">
        <is>
          <t>Documentação Aprovada</t>
        </is>
      </c>
      <c r="P46" t="inlineStr">
        <is>
          <t>Aprovado Diretoria</t>
        </is>
      </c>
      <c r="Q46" t="inlineStr">
        <is>
          <t>Aprovado Caixa</t>
        </is>
      </c>
      <c r="R46" t="inlineStr">
        <is>
          <t>Pago</t>
        </is>
      </c>
      <c r="S46" t="n">
        <v>164</v>
      </c>
      <c r="T46" t="inlineStr">
        <is>
          <t>Bar Brahma Granja - FDB Filial - Kamino</t>
        </is>
      </c>
    </row>
    <row r="47">
      <c r="A47" t="n">
        <v>188714</v>
      </c>
      <c r="B47" t="n">
        <v>148</v>
      </c>
      <c r="C47" t="inlineStr">
        <is>
          <t>Bar Brahma - Granja</t>
        </is>
      </c>
      <c r="D47" t="inlineStr">
        <is>
          <t>DTK COMERCIO DE ALIMENTOS LTDA</t>
        </is>
      </c>
      <c r="E47" t="n">
        <v>1906.1</v>
      </c>
      <c r="F47" s="27" t="n">
        <v>46048</v>
      </c>
      <c r="G47" s="27" t="n">
        <v>46048</v>
      </c>
      <c r="H47" s="27" t="n">
        <v>46048</v>
      </c>
      <c r="I47" s="27" t="n">
        <v>46020</v>
      </c>
      <c r="J47" s="27" t="n">
        <v>46027</v>
      </c>
      <c r="K47" t="inlineStr">
        <is>
          <t>Boleto Bancário</t>
        </is>
      </c>
      <c r="L47" t="inlineStr">
        <is>
          <t>Custo Mercadoria Vendida</t>
        </is>
      </c>
      <c r="M47" t="inlineStr">
        <is>
          <t>Insumos - Alimentos</t>
        </is>
      </c>
      <c r="N47" t="inlineStr">
        <is>
          <t>59002</t>
        </is>
      </c>
      <c r="O47" t="inlineStr">
        <is>
          <t>Documentação Aprovada</t>
        </is>
      </c>
      <c r="P47" t="inlineStr">
        <is>
          <t>Aprovado Diretoria</t>
        </is>
      </c>
      <c r="Q47" t="inlineStr">
        <is>
          <t>Aprovado Caixa</t>
        </is>
      </c>
      <c r="R47" t="inlineStr">
        <is>
          <t>Pago</t>
        </is>
      </c>
      <c r="S47" t="n">
        <v>164</v>
      </c>
      <c r="T47" t="inlineStr">
        <is>
          <t>Bar Brahma Granja - FDB Filial - Kamino</t>
        </is>
      </c>
    </row>
    <row r="48">
      <c r="A48" t="n">
        <v>185307</v>
      </c>
      <c r="B48" t="n">
        <v>148</v>
      </c>
      <c r="C48" t="inlineStr">
        <is>
          <t>Bar Brahma - Granja</t>
        </is>
      </c>
      <c r="D48" t="inlineStr">
        <is>
          <t>CONDOMINIO OPEN MALL THE SQUARE SHOPPING</t>
        </is>
      </c>
      <c r="E48" t="n">
        <v>1291.58</v>
      </c>
      <c r="F48" s="27" t="n">
        <v>46027</v>
      </c>
      <c r="G48" s="27" t="n">
        <v>46049</v>
      </c>
      <c r="H48" s="27" t="n">
        <v>46048</v>
      </c>
      <c r="I48" s="27" t="n">
        <v>46023</v>
      </c>
      <c r="J48" s="27" t="n">
        <v>46013</v>
      </c>
      <c r="K48" t="inlineStr">
        <is>
          <t>Boleto Bancário</t>
        </is>
      </c>
      <c r="L48" t="inlineStr">
        <is>
          <t>Custo de Ocupação</t>
        </is>
      </c>
      <c r="M48" t="inlineStr">
        <is>
          <t>IPTU</t>
        </is>
      </c>
      <c r="N48" t="inlineStr">
        <is>
          <t>BOL 102459</t>
        </is>
      </c>
      <c r="O48" t="inlineStr">
        <is>
          <t>Documentação Aprovada</t>
        </is>
      </c>
      <c r="P48" t="inlineStr">
        <is>
          <t>Aprovado Diretoria</t>
        </is>
      </c>
      <c r="Q48" t="inlineStr">
        <is>
          <t>Aprovado Caixa</t>
        </is>
      </c>
      <c r="R48" t="inlineStr">
        <is>
          <t>Pago</t>
        </is>
      </c>
      <c r="S48" t="n">
        <v>164</v>
      </c>
      <c r="T48" t="inlineStr">
        <is>
          <t>Bar Brahma Granja - FDB Filial - Kamino</t>
        </is>
      </c>
    </row>
    <row r="49">
      <c r="A49" t="n">
        <v>185304</v>
      </c>
      <c r="B49" t="n">
        <v>148</v>
      </c>
      <c r="C49" t="inlineStr">
        <is>
          <t>Bar Brahma - Granja</t>
        </is>
      </c>
      <c r="D49" t="inlineStr">
        <is>
          <t>CONDOMINIO OPEN MALL THE SQUARE SHOPPING</t>
        </is>
      </c>
      <c r="E49" t="n">
        <v>141.77</v>
      </c>
      <c r="F49" s="27" t="n">
        <v>46027</v>
      </c>
      <c r="G49" s="27" t="n">
        <v>46049</v>
      </c>
      <c r="H49" s="27" t="n">
        <v>46048</v>
      </c>
      <c r="I49" s="27" t="n">
        <v>46023</v>
      </c>
      <c r="J49" s="27" t="n">
        <v>46013</v>
      </c>
      <c r="K49" t="inlineStr">
        <is>
          <t>Boleto Bancário</t>
        </is>
      </c>
      <c r="L49" t="inlineStr">
        <is>
          <t>Custo de Ocupação</t>
        </is>
      </c>
      <c r="M49" t="inlineStr">
        <is>
          <t>Condominio</t>
        </is>
      </c>
      <c r="N49" t="inlineStr">
        <is>
          <t>BOL 102459</t>
        </is>
      </c>
      <c r="O49" t="inlineStr">
        <is>
          <t>Documentação Aprovada</t>
        </is>
      </c>
      <c r="P49" t="inlineStr">
        <is>
          <t>Aprovado Diretoria</t>
        </is>
      </c>
      <c r="Q49" t="inlineStr">
        <is>
          <t>Aprovado Caixa</t>
        </is>
      </c>
      <c r="R49" t="inlineStr">
        <is>
          <t>Pago</t>
        </is>
      </c>
      <c r="S49" t="n">
        <v>164</v>
      </c>
      <c r="T49" t="inlineStr">
        <is>
          <t>Bar Brahma Granja - FDB Filial - Kamino</t>
        </is>
      </c>
    </row>
    <row r="50">
      <c r="A50" t="n">
        <v>185306</v>
      </c>
      <c r="B50" t="n">
        <v>148</v>
      </c>
      <c r="C50" t="inlineStr">
        <is>
          <t>Bar Brahma - Granja</t>
        </is>
      </c>
      <c r="D50" t="inlineStr">
        <is>
          <t>CONDOMINIO OPEN MALL THE SQUARE SHOPPING</t>
        </is>
      </c>
      <c r="E50" t="n">
        <v>779.6</v>
      </c>
      <c r="F50" s="27" t="n">
        <v>46027</v>
      </c>
      <c r="G50" s="27" t="n">
        <v>46049</v>
      </c>
      <c r="H50" s="27" t="n">
        <v>46048</v>
      </c>
      <c r="I50" s="27" t="n">
        <v>46023</v>
      </c>
      <c r="J50" s="27" t="n">
        <v>46013</v>
      </c>
      <c r="K50" t="inlineStr">
        <is>
          <t>Boleto Bancário</t>
        </is>
      </c>
      <c r="L50" t="inlineStr">
        <is>
          <t>Custo de Ocupação</t>
        </is>
      </c>
      <c r="M50" t="inlineStr">
        <is>
          <t>Condominio</t>
        </is>
      </c>
      <c r="N50" t="inlineStr">
        <is>
          <t>BOL 102459</t>
        </is>
      </c>
      <c r="O50" t="inlineStr">
        <is>
          <t>Documentação Aprovada</t>
        </is>
      </c>
      <c r="P50" t="inlineStr">
        <is>
          <t>Aprovado Diretoria</t>
        </is>
      </c>
      <c r="Q50" t="inlineStr">
        <is>
          <t>Aprovado Caixa</t>
        </is>
      </c>
      <c r="R50" t="inlineStr">
        <is>
          <t>Pago</t>
        </is>
      </c>
      <c r="S50" t="n">
        <v>164</v>
      </c>
      <c r="T50" t="inlineStr">
        <is>
          <t>Bar Brahma Granja - FDB Filial - Kamino</t>
        </is>
      </c>
    </row>
    <row r="51">
      <c r="A51" t="n">
        <v>185308</v>
      </c>
      <c r="B51" t="n">
        <v>148</v>
      </c>
      <c r="C51" t="inlineStr">
        <is>
          <t>Bar Brahma - Granja</t>
        </is>
      </c>
      <c r="D51" t="inlineStr">
        <is>
          <t>CONDOMINIO OPEN MALL THE SQUARE SHOPPING</t>
        </is>
      </c>
      <c r="E51" t="n">
        <v>16639.61</v>
      </c>
      <c r="F51" s="27" t="n">
        <v>46027</v>
      </c>
      <c r="G51" s="27" t="n">
        <v>46049</v>
      </c>
      <c r="H51" s="27" t="n">
        <v>46048</v>
      </c>
      <c r="I51" s="27" t="n">
        <v>46023</v>
      </c>
      <c r="J51" s="27" t="n">
        <v>46013</v>
      </c>
      <c r="K51" t="inlineStr">
        <is>
          <t>Boleto Bancário</t>
        </is>
      </c>
      <c r="L51" t="inlineStr">
        <is>
          <t>Custo de Ocupação</t>
        </is>
      </c>
      <c r="M51" t="inlineStr">
        <is>
          <t>Condominio</t>
        </is>
      </c>
      <c r="N51" t="inlineStr">
        <is>
          <t>BOL 102459</t>
        </is>
      </c>
      <c r="O51" t="inlineStr">
        <is>
          <t>Documentação Aprovada</t>
        </is>
      </c>
      <c r="P51" t="inlineStr">
        <is>
          <t>Aprovado Diretoria</t>
        </is>
      </c>
      <c r="Q51" t="inlineStr">
        <is>
          <t>Aprovado Caixa</t>
        </is>
      </c>
      <c r="R51" t="inlineStr">
        <is>
          <t>Pago</t>
        </is>
      </c>
      <c r="S51" t="n">
        <v>164</v>
      </c>
      <c r="T51" t="inlineStr">
        <is>
          <t>Bar Brahma Granja - FDB Filial - Kamino</t>
        </is>
      </c>
    </row>
    <row r="52">
      <c r="A52" t="n">
        <v>182964</v>
      </c>
      <c r="B52" t="n">
        <v>148</v>
      </c>
      <c r="C52" t="inlineStr">
        <is>
          <t>Bar Brahma - Granja</t>
        </is>
      </c>
      <c r="D52" t="inlineStr">
        <is>
          <t>MARCOS SILVA DO NASCIMENTO</t>
        </is>
      </c>
      <c r="E52" t="n">
        <v>2277.13</v>
      </c>
      <c r="F52" s="27" t="n">
        <v>46048</v>
      </c>
      <c r="G52" s="27" t="n">
        <v>46048</v>
      </c>
      <c r="H52" s="27" t="n">
        <v>46048</v>
      </c>
      <c r="I52" s="27" t="n">
        <v>45994</v>
      </c>
      <c r="J52" s="27" t="n">
        <v>46003</v>
      </c>
      <c r="K52" t="inlineStr">
        <is>
          <t>Boleto Bancário</t>
        </is>
      </c>
      <c r="L52" t="inlineStr">
        <is>
          <t>Custo Mercadoria Vendida</t>
        </is>
      </c>
      <c r="M52" t="inlineStr">
        <is>
          <t>Insumos - Alimentos</t>
        </is>
      </c>
      <c r="N52" t="inlineStr">
        <is>
          <t>629</t>
        </is>
      </c>
      <c r="O52" t="inlineStr">
        <is>
          <t>Documentação Aprovada</t>
        </is>
      </c>
      <c r="P52" t="inlineStr">
        <is>
          <t>Aprovado Diretoria</t>
        </is>
      </c>
      <c r="Q52" t="inlineStr">
        <is>
          <t>Aprovado Caixa</t>
        </is>
      </c>
      <c r="R52" t="inlineStr">
        <is>
          <t>Pago</t>
        </is>
      </c>
      <c r="S52" t="n">
        <v>164</v>
      </c>
      <c r="T52" t="inlineStr">
        <is>
          <t>Bar Brahma Granja - FDB Filial - Kamino</t>
        </is>
      </c>
    </row>
    <row r="53">
      <c r="A53" t="n">
        <v>193423</v>
      </c>
      <c r="B53" t="n">
        <v>148</v>
      </c>
      <c r="C53" t="inlineStr">
        <is>
          <t>Bar Brahma - Granja</t>
        </is>
      </c>
      <c r="D53" t="inlineStr">
        <is>
          <t>MULTIFRANGOS COMERCIO DE ALIMENTOS LTDA</t>
        </is>
      </c>
      <c r="E53" t="n">
        <v>595.02</v>
      </c>
      <c r="F53" s="27" t="n">
        <v>46048</v>
      </c>
      <c r="G53" s="27" t="n">
        <v>46048</v>
      </c>
      <c r="H53" s="27" t="n">
        <v>46048</v>
      </c>
      <c r="I53" s="27" t="n">
        <v>46034</v>
      </c>
      <c r="J53" s="27" t="n">
        <v>46037</v>
      </c>
      <c r="K53" t="inlineStr">
        <is>
          <t>Boleto Bancário</t>
        </is>
      </c>
      <c r="L53" t="inlineStr">
        <is>
          <t>Custo Mercadoria Vendida</t>
        </is>
      </c>
      <c r="M53" t="inlineStr">
        <is>
          <t>Insumos - Alimentos</t>
        </is>
      </c>
      <c r="N53" t="inlineStr">
        <is>
          <t>939045</t>
        </is>
      </c>
      <c r="O53" t="inlineStr">
        <is>
          <t>Documentação Aprovada</t>
        </is>
      </c>
      <c r="P53" t="inlineStr">
        <is>
          <t>Aprovado Diretoria</t>
        </is>
      </c>
      <c r="Q53" t="inlineStr">
        <is>
          <t>Aprovado Caixa</t>
        </is>
      </c>
      <c r="R53" t="inlineStr">
        <is>
          <t>Pago</t>
        </is>
      </c>
      <c r="S53" t="n">
        <v>164</v>
      </c>
      <c r="T53" t="inlineStr">
        <is>
          <t>Bar Brahma Granja - FDB Filial - Kamino</t>
        </is>
      </c>
    </row>
    <row r="54">
      <c r="A54" t="n">
        <v>194590</v>
      </c>
      <c r="B54" t="n">
        <v>148</v>
      </c>
      <c r="C54" t="inlineStr">
        <is>
          <t>Bar Brahma - Granja</t>
        </is>
      </c>
      <c r="D54" t="inlineStr">
        <is>
          <t>LATICINIOS PIRAMIDE LTDA</t>
        </is>
      </c>
      <c r="E54" t="n">
        <v>1337.9</v>
      </c>
      <c r="F54" s="27" t="n">
        <v>46048</v>
      </c>
      <c r="G54" s="27" t="n">
        <v>46048</v>
      </c>
      <c r="H54" s="27" t="n">
        <v>46048</v>
      </c>
      <c r="I54" s="27" t="n">
        <v>46368</v>
      </c>
      <c r="J54" s="27" t="n">
        <v>46043</v>
      </c>
      <c r="K54" t="inlineStr">
        <is>
          <t>Transferência Bancária ou Pix</t>
        </is>
      </c>
      <c r="L54" t="inlineStr">
        <is>
          <t>Custo Mercadoria Vendida</t>
        </is>
      </c>
      <c r="M54" t="inlineStr">
        <is>
          <t>Insumos - Alimentos</t>
        </is>
      </c>
      <c r="N54" t="inlineStr">
        <is>
          <t>80555</t>
        </is>
      </c>
      <c r="O54" t="inlineStr">
        <is>
          <t>Documentação Aprovada</t>
        </is>
      </c>
      <c r="P54" t="inlineStr">
        <is>
          <t>Aprovado Diretoria</t>
        </is>
      </c>
      <c r="Q54" t="inlineStr">
        <is>
          <t>Aprovado Caixa</t>
        </is>
      </c>
      <c r="R54" t="inlineStr">
        <is>
          <t>Pago</t>
        </is>
      </c>
      <c r="S54" t="n">
        <v>164</v>
      </c>
      <c r="T54" t="inlineStr">
        <is>
          <t>Bar Brahma Granja - FDB Filial - Kamino</t>
        </is>
      </c>
    </row>
    <row r="55">
      <c r="A55" t="n">
        <v>188980</v>
      </c>
      <c r="B55" t="n">
        <v>148</v>
      </c>
      <c r="C55" t="inlineStr">
        <is>
          <t>Bar Brahma - Granja</t>
        </is>
      </c>
      <c r="D55" t="inlineStr">
        <is>
          <t>PJ 33065651000119</t>
        </is>
      </c>
      <c r="E55" t="n">
        <v>710</v>
      </c>
      <c r="F55" s="27" t="n">
        <v>46047</v>
      </c>
      <c r="G55" s="27" t="n">
        <v>46048</v>
      </c>
      <c r="H55" s="27" t="n">
        <v>46048</v>
      </c>
      <c r="I55" s="27" t="n">
        <v>45992</v>
      </c>
      <c r="J55" s="27" t="n">
        <v>46028</v>
      </c>
      <c r="K55" t="inlineStr">
        <is>
          <t>Transferência Bancária ou Pix</t>
        </is>
      </c>
      <c r="L55" t="inlineStr">
        <is>
          <t>Gorjeta</t>
        </is>
      </c>
      <c r="M55" t="inlineStr">
        <is>
          <t xml:space="preserve">  -  Comissões e Gorjeta</t>
        </is>
      </c>
      <c r="N55" t="inlineStr">
        <is>
          <t>77</t>
        </is>
      </c>
      <c r="O55" t="inlineStr">
        <is>
          <t>Documentação Aprovada</t>
        </is>
      </c>
      <c r="P55" t="inlineStr">
        <is>
          <t>Aprovado Diretoria</t>
        </is>
      </c>
      <c r="Q55" t="inlineStr">
        <is>
          <t>Aprovado Caixa</t>
        </is>
      </c>
      <c r="R55" t="inlineStr">
        <is>
          <t>Pago</t>
        </is>
      </c>
      <c r="S55" t="n">
        <v>148</v>
      </c>
      <c r="T55" t="inlineStr">
        <is>
          <t>Bar Brahma Granja - Tutum Filial - Kamino</t>
        </is>
      </c>
    </row>
    <row r="56">
      <c r="A56" t="n">
        <v>188731</v>
      </c>
      <c r="B56" t="n">
        <v>148</v>
      </c>
      <c r="C56" t="inlineStr">
        <is>
          <t>Bar Brahma - Granja</t>
        </is>
      </c>
      <c r="D56" t="inlineStr">
        <is>
          <t>CECILIA TSUYACO ARAKI SILVA LTDA</t>
        </is>
      </c>
      <c r="E56" t="n">
        <v>258.9</v>
      </c>
      <c r="F56" s="27" t="n">
        <v>46048</v>
      </c>
      <c r="G56" s="27" t="n">
        <v>46048</v>
      </c>
      <c r="H56" s="27" t="n">
        <v>46048</v>
      </c>
      <c r="I56" s="27" t="n">
        <v>46020</v>
      </c>
      <c r="J56" s="27" t="n">
        <v>46027</v>
      </c>
      <c r="K56" t="inlineStr">
        <is>
          <t>Boleto Bancário</t>
        </is>
      </c>
      <c r="L56" t="inlineStr">
        <is>
          <t>Custo Mercadoria Vendida</t>
        </is>
      </c>
      <c r="M56" t="inlineStr">
        <is>
          <t>Insumos - Alimentos</t>
        </is>
      </c>
      <c r="N56" t="inlineStr">
        <is>
          <t>384263</t>
        </is>
      </c>
      <c r="O56" t="inlineStr">
        <is>
          <t>Documentação Aprovada</t>
        </is>
      </c>
      <c r="P56" t="inlineStr">
        <is>
          <t>Aprovado Diretoria</t>
        </is>
      </c>
      <c r="Q56" t="inlineStr">
        <is>
          <t>Aprovado Caixa</t>
        </is>
      </c>
      <c r="R56" t="inlineStr">
        <is>
          <t>Pago</t>
        </is>
      </c>
      <c r="S56" t="n">
        <v>164</v>
      </c>
      <c r="T56" t="inlineStr">
        <is>
          <t>Bar Brahma Granja - FDB Filial - Kamino</t>
        </is>
      </c>
    </row>
    <row r="57">
      <c r="A57" t="n">
        <v>188915</v>
      </c>
      <c r="B57" t="n">
        <v>148</v>
      </c>
      <c r="C57" t="inlineStr">
        <is>
          <t>Bar Brahma - Granja</t>
        </is>
      </c>
      <c r="D57" t="inlineStr">
        <is>
          <t>MARIO PEDRO FELICIANO - HORTIFRUTI</t>
        </is>
      </c>
      <c r="E57" t="n">
        <v>319.43</v>
      </c>
      <c r="F57" s="27" t="n">
        <v>46046</v>
      </c>
      <c r="G57" s="27" t="n">
        <v>46048</v>
      </c>
      <c r="H57" s="27" t="n">
        <v>46048</v>
      </c>
      <c r="I57" s="27" t="n">
        <v>46018</v>
      </c>
      <c r="J57" s="27" t="n">
        <v>46028</v>
      </c>
      <c r="K57" t="inlineStr">
        <is>
          <t>Boleto Bancário</t>
        </is>
      </c>
      <c r="L57" t="inlineStr">
        <is>
          <t>Custo Mercadoria Vendida</t>
        </is>
      </c>
      <c r="M57" t="inlineStr">
        <is>
          <t>Insumos - Alimentos</t>
        </is>
      </c>
      <c r="N57" t="inlineStr">
        <is>
          <t>463149</t>
        </is>
      </c>
      <c r="O57" t="inlineStr">
        <is>
          <t>Documentação Aprovada</t>
        </is>
      </c>
      <c r="P57" t="inlineStr">
        <is>
          <t>Aprovado Diretoria</t>
        </is>
      </c>
      <c r="Q57" t="inlineStr">
        <is>
          <t>Aprovado Caixa</t>
        </is>
      </c>
      <c r="R57" t="inlineStr">
        <is>
          <t>Pago</t>
        </is>
      </c>
      <c r="S57" t="n">
        <v>164</v>
      </c>
      <c r="T57" t="inlineStr">
        <is>
          <t>Bar Brahma Granja - FDB Filial - Kamino</t>
        </is>
      </c>
    </row>
    <row r="58">
      <c r="A58" t="n">
        <v>189015</v>
      </c>
      <c r="B58" t="n">
        <v>148</v>
      </c>
      <c r="C58" t="inlineStr">
        <is>
          <t>Bar Brahma - Granja</t>
        </is>
      </c>
      <c r="D58" t="inlineStr">
        <is>
          <t>PJ 51165924000189</t>
        </is>
      </c>
      <c r="E58" t="n">
        <v>5050</v>
      </c>
      <c r="F58" s="27" t="n">
        <v>46047</v>
      </c>
      <c r="G58" s="27" t="n">
        <v>46048</v>
      </c>
      <c r="H58" s="27" t="n">
        <v>46048</v>
      </c>
      <c r="I58" s="27" t="n">
        <v>45992</v>
      </c>
      <c r="J58" s="27" t="n">
        <v>46028</v>
      </c>
      <c r="K58" t="inlineStr">
        <is>
          <t>Transferência Bancária ou Pix</t>
        </is>
      </c>
      <c r="L58" t="inlineStr">
        <is>
          <t>Gorjeta</t>
        </is>
      </c>
      <c r="M58" t="inlineStr">
        <is>
          <t xml:space="preserve">  -  Comissões e Gorjeta</t>
        </is>
      </c>
      <c r="N58" t="inlineStr">
        <is>
          <t>85</t>
        </is>
      </c>
      <c r="O58" t="inlineStr">
        <is>
          <t>Documentação Aprovada</t>
        </is>
      </c>
      <c r="P58" t="inlineStr">
        <is>
          <t>Aprovado Diretoria</t>
        </is>
      </c>
      <c r="Q58" t="inlineStr">
        <is>
          <t>Aprovado Caixa</t>
        </is>
      </c>
      <c r="R58" t="inlineStr">
        <is>
          <t>Pago</t>
        </is>
      </c>
      <c r="S58" t="n">
        <v>148</v>
      </c>
      <c r="T58" t="inlineStr">
        <is>
          <t>Bar Brahma Granja - Tutum Filial - Kamino</t>
        </is>
      </c>
    </row>
    <row r="59">
      <c r="A59" t="n">
        <v>188981</v>
      </c>
      <c r="B59" t="n">
        <v>148</v>
      </c>
      <c r="C59" t="inlineStr">
        <is>
          <t>Bar Brahma - Granja</t>
        </is>
      </c>
      <c r="D59" t="inlineStr">
        <is>
          <t>PJ 57139881000143</t>
        </is>
      </c>
      <c r="E59" t="n">
        <v>2270</v>
      </c>
      <c r="F59" s="27" t="n">
        <v>46047</v>
      </c>
      <c r="G59" s="27" t="n">
        <v>46048</v>
      </c>
      <c r="H59" s="27" t="n">
        <v>46048</v>
      </c>
      <c r="I59" s="27" t="n">
        <v>45992</v>
      </c>
      <c r="J59" s="27" t="n">
        <v>46028</v>
      </c>
      <c r="K59" t="inlineStr">
        <is>
          <t>Transferência Bancária ou Pix</t>
        </is>
      </c>
      <c r="L59" t="inlineStr">
        <is>
          <t>Gorjeta</t>
        </is>
      </c>
      <c r="M59" t="inlineStr">
        <is>
          <t xml:space="preserve">  -  Comissões e Gorjeta</t>
        </is>
      </c>
      <c r="N59" t="inlineStr">
        <is>
          <t>32</t>
        </is>
      </c>
      <c r="O59" t="inlineStr">
        <is>
          <t>Documentação Aprovada</t>
        </is>
      </c>
      <c r="P59" t="inlineStr">
        <is>
          <t>Aprovado Diretoria</t>
        </is>
      </c>
      <c r="Q59" t="inlineStr">
        <is>
          <t>Aprovado Caixa</t>
        </is>
      </c>
      <c r="R59" t="inlineStr">
        <is>
          <t>Pago</t>
        </is>
      </c>
      <c r="S59" t="n">
        <v>148</v>
      </c>
      <c r="T59" t="inlineStr">
        <is>
          <t>Bar Brahma Granja - Tutum Filial - Kamino</t>
        </is>
      </c>
    </row>
    <row r="60">
      <c r="A60" t="n">
        <v>189184</v>
      </c>
      <c r="B60" t="n">
        <v>148</v>
      </c>
      <c r="C60" t="inlineStr">
        <is>
          <t>Bar Brahma - Granja</t>
        </is>
      </c>
      <c r="D60" t="inlineStr">
        <is>
          <t>PJ 60739274000129</t>
        </is>
      </c>
      <c r="E60" t="n">
        <v>1588.74</v>
      </c>
      <c r="F60" s="27" t="n">
        <v>46047</v>
      </c>
      <c r="G60" s="27" t="n">
        <v>46048</v>
      </c>
      <c r="H60" s="27" t="n">
        <v>46048</v>
      </c>
      <c r="I60" s="27" t="n">
        <v>45992</v>
      </c>
      <c r="J60" s="27" t="n">
        <v>46028</v>
      </c>
      <c r="K60" t="inlineStr">
        <is>
          <t>Transferência Bancária ou Pix</t>
        </is>
      </c>
      <c r="L60" t="inlineStr">
        <is>
          <t>Custos de Eventos</t>
        </is>
      </c>
      <c r="M60" t="inlineStr">
        <is>
          <t>Comissões de Vendas - Eventos</t>
        </is>
      </c>
      <c r="N60" t="inlineStr">
        <is>
          <t>22</t>
        </is>
      </c>
      <c r="O60" t="inlineStr">
        <is>
          <t>Documentação Aprovada</t>
        </is>
      </c>
      <c r="P60" t="inlineStr">
        <is>
          <t>Aprovado Diretoria</t>
        </is>
      </c>
      <c r="Q60" t="inlineStr">
        <is>
          <t>Aprovado Caixa</t>
        </is>
      </c>
      <c r="R60" t="inlineStr">
        <is>
          <t>Pago</t>
        </is>
      </c>
      <c r="S60" t="n">
        <v>148</v>
      </c>
      <c r="T60" t="inlineStr">
        <is>
          <t>Bar Brahma Granja - Tutum Filial - Kamino</t>
        </is>
      </c>
    </row>
    <row r="61">
      <c r="A61" t="n">
        <v>189182</v>
      </c>
      <c r="B61" t="n">
        <v>148</v>
      </c>
      <c r="C61" t="inlineStr">
        <is>
          <t>Bar Brahma - Granja</t>
        </is>
      </c>
      <c r="D61" t="inlineStr">
        <is>
          <t>PJ 56108101000135</t>
        </is>
      </c>
      <c r="E61" t="n">
        <v>2270</v>
      </c>
      <c r="F61" s="27" t="n">
        <v>46047</v>
      </c>
      <c r="G61" s="27" t="n">
        <v>46048</v>
      </c>
      <c r="H61" s="27" t="n">
        <v>46048</v>
      </c>
      <c r="I61" s="27" t="n">
        <v>45992</v>
      </c>
      <c r="J61" s="27" t="n">
        <v>46028</v>
      </c>
      <c r="K61" t="inlineStr">
        <is>
          <t>Transferência Bancária ou Pix</t>
        </is>
      </c>
      <c r="L61" t="inlineStr">
        <is>
          <t>Gorjeta</t>
        </is>
      </c>
      <c r="M61" t="inlineStr">
        <is>
          <t xml:space="preserve">  -  Comissões e Gorjeta</t>
        </is>
      </c>
      <c r="N61" t="inlineStr">
        <is>
          <t>40</t>
        </is>
      </c>
      <c r="O61" t="inlineStr">
        <is>
          <t>Documentação Aprovada</t>
        </is>
      </c>
      <c r="P61" t="inlineStr">
        <is>
          <t>Aprovado Diretoria</t>
        </is>
      </c>
      <c r="Q61" t="inlineStr">
        <is>
          <t>Aprovado Caixa</t>
        </is>
      </c>
      <c r="R61" t="inlineStr">
        <is>
          <t>Pago</t>
        </is>
      </c>
      <c r="S61" t="n">
        <v>148</v>
      </c>
      <c r="T61" t="inlineStr">
        <is>
          <t>Bar Brahma Granja - Tutum Filial - Kamino</t>
        </is>
      </c>
    </row>
    <row r="62">
      <c r="A62" t="n">
        <v>189180</v>
      </c>
      <c r="B62" t="n">
        <v>148</v>
      </c>
      <c r="C62" t="inlineStr">
        <is>
          <t>Bar Brahma - Granja</t>
        </is>
      </c>
      <c r="D62" t="inlineStr">
        <is>
          <t>PJ 57124624000138</t>
        </is>
      </c>
      <c r="E62" t="n">
        <v>2270</v>
      </c>
      <c r="F62" s="27" t="n">
        <v>46047</v>
      </c>
      <c r="G62" s="27" t="n">
        <v>46048</v>
      </c>
      <c r="H62" s="27" t="n">
        <v>46048</v>
      </c>
      <c r="I62" s="27" t="n">
        <v>45992</v>
      </c>
      <c r="J62" s="27" t="n">
        <v>46028</v>
      </c>
      <c r="K62" t="inlineStr">
        <is>
          <t>Transferência Bancária ou Pix</t>
        </is>
      </c>
      <c r="L62" t="inlineStr">
        <is>
          <t>Gorjeta</t>
        </is>
      </c>
      <c r="M62" t="inlineStr">
        <is>
          <t xml:space="preserve">  -  Comissões e Gorjeta</t>
        </is>
      </c>
      <c r="N62" t="inlineStr">
        <is>
          <t>35</t>
        </is>
      </c>
      <c r="O62" t="inlineStr">
        <is>
          <t>Documentação Aprovada</t>
        </is>
      </c>
      <c r="P62" t="inlineStr">
        <is>
          <t>Aprovado Diretoria</t>
        </is>
      </c>
      <c r="Q62" t="inlineStr">
        <is>
          <t>Aprovado Caixa</t>
        </is>
      </c>
      <c r="R62" t="inlineStr">
        <is>
          <t>Pago</t>
        </is>
      </c>
      <c r="S62" t="n">
        <v>148</v>
      </c>
      <c r="T62" t="inlineStr">
        <is>
          <t>Bar Brahma Granja - Tutum Filial - Kamino</t>
        </is>
      </c>
    </row>
    <row r="63">
      <c r="A63" t="n">
        <v>190337</v>
      </c>
      <c r="B63" t="n">
        <v>148</v>
      </c>
      <c r="C63" t="inlineStr">
        <is>
          <t>Bar Brahma - Granja</t>
        </is>
      </c>
      <c r="D63" t="inlineStr">
        <is>
          <t>INVYE CAPITAL LTDA</t>
        </is>
      </c>
      <c r="E63" t="n">
        <v>1250</v>
      </c>
      <c r="F63" s="27" t="n">
        <v>46048</v>
      </c>
      <c r="G63" s="27" t="n">
        <v>46048</v>
      </c>
      <c r="H63" s="27" t="n">
        <v>46048</v>
      </c>
      <c r="I63" s="27" t="n">
        <v>46033</v>
      </c>
      <c r="J63" s="27" t="n">
        <v>46033</v>
      </c>
      <c r="K63" t="inlineStr">
        <is>
          <t>Boleto Bancário</t>
        </is>
      </c>
      <c r="L63" t="inlineStr">
        <is>
          <t>Serviços de Terceiros</t>
        </is>
      </c>
      <c r="M63" t="inlineStr">
        <is>
          <t>Assessoria em Geral</t>
        </is>
      </c>
      <c r="N63" t="inlineStr">
        <is>
          <t>3149</t>
        </is>
      </c>
      <c r="O63" t="inlineStr">
        <is>
          <t>Documentação Aprovada</t>
        </is>
      </c>
      <c r="P63" t="inlineStr">
        <is>
          <t>Aprovado Diretoria</t>
        </is>
      </c>
      <c r="Q63" t="inlineStr">
        <is>
          <t>Aprovado Caixa</t>
        </is>
      </c>
      <c r="R63" t="inlineStr">
        <is>
          <t>Pago</t>
        </is>
      </c>
      <c r="S63" t="n">
        <v>164</v>
      </c>
      <c r="T63" t="inlineStr">
        <is>
          <t>Bar Brahma Granja - FDB Filial - Kamino</t>
        </is>
      </c>
    </row>
    <row r="64">
      <c r="A64" t="n">
        <v>189817</v>
      </c>
      <c r="B64" t="n">
        <v>148</v>
      </c>
      <c r="C64" t="inlineStr">
        <is>
          <t>Bar Brahma - Granja</t>
        </is>
      </c>
      <c r="D64" t="inlineStr">
        <is>
          <t>30.365.122 HIDEKI HENRIQUE KAWAMOTO</t>
        </is>
      </c>
      <c r="E64" t="n">
        <v>395</v>
      </c>
      <c r="F64" s="27" t="n">
        <v>46048</v>
      </c>
      <c r="G64" s="27" t="n">
        <v>46048</v>
      </c>
      <c r="H64" s="27" t="n">
        <v>46048</v>
      </c>
      <c r="I64" s="27" t="n">
        <v>46022</v>
      </c>
      <c r="J64" s="27" t="n">
        <v>46030</v>
      </c>
      <c r="K64" t="inlineStr">
        <is>
          <t>Boleto Bancário</t>
        </is>
      </c>
      <c r="L64" t="inlineStr">
        <is>
          <t>Custo Mercadoria Vendida</t>
        </is>
      </c>
      <c r="M64" t="inlineStr">
        <is>
          <t>Insumos - Alimentos</t>
        </is>
      </c>
      <c r="N64" t="inlineStr">
        <is>
          <t>1674</t>
        </is>
      </c>
      <c r="O64" t="inlineStr">
        <is>
          <t>Documentação Aprovada</t>
        </is>
      </c>
      <c r="P64" t="inlineStr">
        <is>
          <t>Aprovado Diretoria</t>
        </is>
      </c>
      <c r="Q64" t="inlineStr">
        <is>
          <t>Aprovado Caixa</t>
        </is>
      </c>
      <c r="R64" t="inlineStr">
        <is>
          <t>Pago</t>
        </is>
      </c>
      <c r="S64" t="n">
        <v>164</v>
      </c>
      <c r="T64" t="inlineStr">
        <is>
          <t>Bar Brahma Granja - FDB Filial - Kamino</t>
        </is>
      </c>
    </row>
    <row r="65">
      <c r="A65" t="n">
        <v>191578</v>
      </c>
      <c r="B65" t="n">
        <v>148</v>
      </c>
      <c r="C65" t="inlineStr">
        <is>
          <t>Bar Brahma - Granja</t>
        </is>
      </c>
      <c r="D65" t="inlineStr">
        <is>
          <t>SK COPIADORA E IMPRESSAO DIGITAL LTDA</t>
        </is>
      </c>
      <c r="E65" t="n">
        <v>237</v>
      </c>
      <c r="F65" s="27" t="n">
        <v>46046</v>
      </c>
      <c r="G65" s="27" t="n">
        <v>46048</v>
      </c>
      <c r="H65" s="27" t="n">
        <v>46048</v>
      </c>
      <c r="I65" s="27" t="n">
        <v>45982</v>
      </c>
      <c r="J65" s="27" t="n">
        <v>46035</v>
      </c>
      <c r="K65" t="inlineStr">
        <is>
          <t>Transferência Bancária ou Pix</t>
        </is>
      </c>
      <c r="L65" t="inlineStr">
        <is>
          <t>Marketing</t>
        </is>
      </c>
      <c r="M65" t="inlineStr">
        <is>
          <t>Produção Gráfica e Material Institucional</t>
        </is>
      </c>
      <c r="N65" t="inlineStr">
        <is>
          <t>32398</t>
        </is>
      </c>
      <c r="O65" t="inlineStr">
        <is>
          <t>Documentação Aprovada</t>
        </is>
      </c>
      <c r="P65" t="inlineStr">
        <is>
          <t>Aprovado Diretoria</t>
        </is>
      </c>
      <c r="Q65" t="inlineStr">
        <is>
          <t>Aprovado Caixa</t>
        </is>
      </c>
      <c r="R65" t="inlineStr">
        <is>
          <t>Pago</t>
        </is>
      </c>
      <c r="S65" t="n">
        <v>164</v>
      </c>
      <c r="T65" t="inlineStr">
        <is>
          <t>Bar Brahma Granja - FDB Filial - Kamino</t>
        </is>
      </c>
    </row>
    <row r="66">
      <c r="A66" t="n">
        <v>192298</v>
      </c>
      <c r="B66" t="n">
        <v>148</v>
      </c>
      <c r="C66" t="inlineStr">
        <is>
          <t>Bar Brahma - Granja</t>
        </is>
      </c>
      <c r="D66" t="inlineStr">
        <is>
          <t>FSM FAZENDA SANTA MARGARIDA LTDA</t>
        </is>
      </c>
      <c r="E66" t="n">
        <v>484.1</v>
      </c>
      <c r="F66" s="27" t="n">
        <v>46048</v>
      </c>
      <c r="G66" s="27" t="n">
        <v>46048</v>
      </c>
      <c r="H66" s="27" t="n">
        <v>46048</v>
      </c>
      <c r="I66" s="27" t="n">
        <v>46024</v>
      </c>
      <c r="J66" s="27" t="n">
        <v>46036</v>
      </c>
      <c r="K66" t="inlineStr">
        <is>
          <t>Boleto Bancário</t>
        </is>
      </c>
      <c r="L66" t="inlineStr">
        <is>
          <t>Custo Mercadoria Vendida</t>
        </is>
      </c>
      <c r="M66" t="inlineStr">
        <is>
          <t>Insumos - Bebidas</t>
        </is>
      </c>
      <c r="N66" t="inlineStr">
        <is>
          <t>15550</t>
        </is>
      </c>
      <c r="O66" t="inlineStr">
        <is>
          <t>Documentação Aprovada</t>
        </is>
      </c>
      <c r="P66" t="inlineStr">
        <is>
          <t>Aprovado Diretoria</t>
        </is>
      </c>
      <c r="Q66" t="inlineStr">
        <is>
          <t>Aprovado Caixa</t>
        </is>
      </c>
      <c r="R66" t="inlineStr">
        <is>
          <t>Pago</t>
        </is>
      </c>
      <c r="S66" t="n">
        <v>164</v>
      </c>
      <c r="T66" t="inlineStr">
        <is>
          <t>Bar Brahma Granja - FDB Filial - Kamino</t>
        </is>
      </c>
    </row>
    <row r="67">
      <c r="A67" t="n">
        <v>202243</v>
      </c>
      <c r="B67" t="n">
        <v>148</v>
      </c>
      <c r="C67" t="inlineStr">
        <is>
          <t>Bar Brahma - Granja</t>
        </is>
      </c>
      <c r="D67" t="inlineStr">
        <is>
          <t xml:space="preserve">KAMINO INSTITUICAO DE PAGAMENTO LTDA </t>
        </is>
      </c>
      <c r="E67" t="n">
        <v>3</v>
      </c>
      <c r="F67" s="27" t="n">
        <v>46048</v>
      </c>
      <c r="G67" s="27" t="n"/>
      <c r="H67" s="27" t="n">
        <v>46048</v>
      </c>
      <c r="I67" s="27" t="n">
        <v>46048</v>
      </c>
      <c r="J67" s="27" t="n"/>
      <c r="K67" t="inlineStr">
        <is>
          <t xml:space="preserve">Debito Automático </t>
        </is>
      </c>
      <c r="L67" t="inlineStr">
        <is>
          <t>Despesas Financeiras</t>
        </is>
      </c>
      <c r="M67" t="inlineStr">
        <is>
          <t>Tarifas Bancárias</t>
        </is>
      </c>
      <c r="O67" t="inlineStr">
        <is>
          <t>Documentação Aprovada</t>
        </is>
      </c>
      <c r="P67" t="inlineStr">
        <is>
          <t>Aprovado Diretoria</t>
        </is>
      </c>
      <c r="Q67" t="inlineStr">
        <is>
          <t>Aprovado Caixa</t>
        </is>
      </c>
      <c r="R67" t="inlineStr">
        <is>
          <t>Pago</t>
        </is>
      </c>
      <c r="S67" t="n">
        <v>148</v>
      </c>
      <c r="T67" t="inlineStr">
        <is>
          <t>Bar Brahma Granja - Tutum Filial - Kamino</t>
        </is>
      </c>
    </row>
    <row r="68">
      <c r="A68" t="n">
        <v>174012</v>
      </c>
      <c r="B68" t="n">
        <v>148</v>
      </c>
      <c r="C68" t="inlineStr">
        <is>
          <t>Bar Brahma - Granja</t>
        </is>
      </c>
      <c r="D68" t="inlineStr">
        <is>
          <t>ESHOWS PROMOCOES ARTISTICAS LTDA</t>
        </is>
      </c>
      <c r="E68" t="n">
        <v>5400</v>
      </c>
      <c r="F68" s="27" t="n">
        <v>46048</v>
      </c>
      <c r="G68" s="27" t="n">
        <v>46048</v>
      </c>
      <c r="H68" s="27" t="n">
        <v>46048</v>
      </c>
      <c r="I68" s="27" t="n">
        <v>46026</v>
      </c>
      <c r="J68" s="27" t="n">
        <v>45972</v>
      </c>
      <c r="K68" t="inlineStr">
        <is>
          <t>Boleto Bancário</t>
        </is>
      </c>
      <c r="L68" t="inlineStr">
        <is>
          <t>Custos Artístico Geral</t>
        </is>
      </c>
      <c r="M68" t="inlineStr">
        <is>
          <t>Cachê de Músicos e Artistas</t>
        </is>
      </c>
      <c r="N68" t="inlineStr">
        <is>
          <t>717414931</t>
        </is>
      </c>
      <c r="O68" t="inlineStr">
        <is>
          <t>Documentação Aprovada</t>
        </is>
      </c>
      <c r="P68" t="inlineStr">
        <is>
          <t>Aprovado Diretoria</t>
        </is>
      </c>
      <c r="Q68" t="inlineStr">
        <is>
          <t>Aprovado Caixa</t>
        </is>
      </c>
      <c r="R68" t="inlineStr">
        <is>
          <t>Pago</t>
        </is>
      </c>
      <c r="S68" t="n">
        <v>164</v>
      </c>
      <c r="T68" t="inlineStr">
        <is>
          <t>Bar Brahma Granja - FDB Filial - Kamino</t>
        </is>
      </c>
    </row>
    <row r="69">
      <c r="A69" t="n">
        <v>177106</v>
      </c>
      <c r="B69" t="n">
        <v>148</v>
      </c>
      <c r="C69" t="inlineStr">
        <is>
          <t>Bar Brahma - Granja</t>
        </is>
      </c>
      <c r="D69" t="inlineStr">
        <is>
          <t>CONDOMINIO OPEN MALL THE SQUARE SHOPPING</t>
        </is>
      </c>
      <c r="E69" t="n">
        <v>6527.59</v>
      </c>
      <c r="F69" s="27" t="n">
        <v>46027</v>
      </c>
      <c r="G69" s="27" t="n">
        <v>46049</v>
      </c>
      <c r="H69" s="27" t="n">
        <v>46048</v>
      </c>
      <c r="I69" s="27" t="n">
        <v>45991</v>
      </c>
      <c r="J69" s="27" t="n">
        <v>45982</v>
      </c>
      <c r="K69" t="inlineStr">
        <is>
          <t>Boleto Bancário</t>
        </is>
      </c>
      <c r="L69" t="inlineStr">
        <is>
          <t>Utilidades</t>
        </is>
      </c>
      <c r="M69" t="inlineStr">
        <is>
          <t>Agua/Esgoto</t>
        </is>
      </c>
      <c r="N69" t="inlineStr">
        <is>
          <t>BOL 102459</t>
        </is>
      </c>
      <c r="O69" t="inlineStr">
        <is>
          <t>Documentação Aprovada</t>
        </is>
      </c>
      <c r="P69" t="inlineStr">
        <is>
          <t>Aprovado Diretoria</t>
        </is>
      </c>
      <c r="Q69" t="inlineStr">
        <is>
          <t>Aprovado Caixa</t>
        </is>
      </c>
      <c r="R69" t="inlineStr">
        <is>
          <t>Pago</t>
        </is>
      </c>
      <c r="S69" t="n">
        <v>164</v>
      </c>
      <c r="T69" t="inlineStr">
        <is>
          <t>Bar Brahma Granja - FDB Filial - Kamino</t>
        </is>
      </c>
    </row>
    <row r="70">
      <c r="A70" t="n">
        <v>177110</v>
      </c>
      <c r="B70" t="n">
        <v>148</v>
      </c>
      <c r="C70" t="inlineStr">
        <is>
          <t>Bar Brahma - Granja</t>
        </is>
      </c>
      <c r="D70" t="inlineStr">
        <is>
          <t>CONDOMINIO OPEN MALL THE SQUARE SHOPPING</t>
        </is>
      </c>
      <c r="E70" t="n">
        <v>1086.5</v>
      </c>
      <c r="F70" s="27" t="n">
        <v>46027</v>
      </c>
      <c r="G70" s="27" t="n">
        <v>46049</v>
      </c>
      <c r="H70" s="27" t="n">
        <v>46048</v>
      </c>
      <c r="I70" s="27" t="n">
        <v>46022</v>
      </c>
      <c r="J70" s="27" t="n">
        <v>45982</v>
      </c>
      <c r="K70" t="inlineStr">
        <is>
          <t>Boleto Bancário</t>
        </is>
      </c>
      <c r="L70" t="inlineStr">
        <is>
          <t>Utilidades</t>
        </is>
      </c>
      <c r="M70" t="inlineStr">
        <is>
          <t>Energia Eletrica</t>
        </is>
      </c>
      <c r="N70" t="inlineStr">
        <is>
          <t>BOL 102459</t>
        </is>
      </c>
      <c r="O70" t="inlineStr">
        <is>
          <t>Documentação Aprovada</t>
        </is>
      </c>
      <c r="P70" t="inlineStr">
        <is>
          <t>Aprovado Diretoria</t>
        </is>
      </c>
      <c r="Q70" t="inlineStr">
        <is>
          <t>Aprovado Caixa</t>
        </is>
      </c>
      <c r="R70" t="inlineStr">
        <is>
          <t>Pago</t>
        </is>
      </c>
      <c r="S70" t="n">
        <v>164</v>
      </c>
      <c r="T70" t="inlineStr">
        <is>
          <t>Bar Brahma Granja - FDB Filial - Kamino</t>
        </is>
      </c>
    </row>
    <row r="71">
      <c r="A71" t="n">
        <v>177115</v>
      </c>
      <c r="B71" t="n">
        <v>148</v>
      </c>
      <c r="C71" t="inlineStr">
        <is>
          <t>Bar Brahma - Granja</t>
        </is>
      </c>
      <c r="D71" t="inlineStr">
        <is>
          <t>CONDOMINIO OPEN MALL THE SQUARE SHOPPING</t>
        </is>
      </c>
      <c r="E71" t="n">
        <v>857.9299999999999</v>
      </c>
      <c r="F71" s="27" t="n">
        <v>46027</v>
      </c>
      <c r="G71" s="27" t="n">
        <v>46049</v>
      </c>
      <c r="H71" s="27" t="n">
        <v>46048</v>
      </c>
      <c r="I71" s="27" t="n">
        <v>46021</v>
      </c>
      <c r="J71" s="27" t="n">
        <v>45982</v>
      </c>
      <c r="K71" t="inlineStr">
        <is>
          <t>Boleto Bancário</t>
        </is>
      </c>
      <c r="L71" t="inlineStr">
        <is>
          <t>Custo de Ocupação</t>
        </is>
      </c>
      <c r="M71" t="inlineStr">
        <is>
          <t>Condominio</t>
        </is>
      </c>
      <c r="N71" t="inlineStr">
        <is>
          <t>BOL 102459</t>
        </is>
      </c>
      <c r="O71" t="inlineStr">
        <is>
          <t>Documentação Aprovada</t>
        </is>
      </c>
      <c r="P71" t="inlineStr">
        <is>
          <t>Aprovado Diretoria</t>
        </is>
      </c>
      <c r="Q71" t="inlineStr">
        <is>
          <t>Aprovado Caixa</t>
        </is>
      </c>
      <c r="R71" t="inlineStr">
        <is>
          <t>Pago</t>
        </is>
      </c>
      <c r="S71" t="n">
        <v>164</v>
      </c>
      <c r="T71" t="inlineStr">
        <is>
          <t>Bar Brahma Granja - FDB Filial - Kamino</t>
        </is>
      </c>
    </row>
    <row r="72">
      <c r="A72" t="n">
        <v>187563</v>
      </c>
      <c r="B72" t="n">
        <v>148</v>
      </c>
      <c r="C72" t="inlineStr">
        <is>
          <t>Bar Brahma - Granja</t>
        </is>
      </c>
      <c r="D72" t="inlineStr">
        <is>
          <t>ELETROPAULO METROPOLITANA ELETRICIDADE DE SAO PAULO SA</t>
        </is>
      </c>
      <c r="E72" t="n">
        <v>15360.34</v>
      </c>
      <c r="F72" s="27" t="n">
        <v>46041</v>
      </c>
      <c r="G72" s="27" t="n">
        <v>46045</v>
      </c>
      <c r="H72" s="27" t="n">
        <v>46045</v>
      </c>
      <c r="I72" s="27" t="n">
        <v>46025</v>
      </c>
      <c r="J72" s="27" t="n">
        <v>46024</v>
      </c>
      <c r="K72" t="inlineStr">
        <is>
          <t>Boleto Bancário</t>
        </is>
      </c>
      <c r="L72" t="inlineStr">
        <is>
          <t>Utilidades</t>
        </is>
      </c>
      <c r="M72" t="inlineStr">
        <is>
          <t>Energia Eletrica</t>
        </is>
      </c>
      <c r="N72" t="inlineStr">
        <is>
          <t>26014456</t>
        </is>
      </c>
      <c r="O72" t="inlineStr">
        <is>
          <t>Documentação Aprovada</t>
        </is>
      </c>
      <c r="P72" t="inlineStr">
        <is>
          <t>Aprovado Diretoria</t>
        </is>
      </c>
      <c r="Q72" t="inlineStr">
        <is>
          <t>Aprovado Caixa</t>
        </is>
      </c>
      <c r="R72" t="inlineStr">
        <is>
          <t>Pago</t>
        </is>
      </c>
      <c r="S72" t="n">
        <v>164</v>
      </c>
      <c r="T72" t="inlineStr">
        <is>
          <t>Bar Brahma Granja - FDB Filial - Kamino</t>
        </is>
      </c>
    </row>
    <row r="73">
      <c r="A73" t="n">
        <v>187041</v>
      </c>
      <c r="B73" t="n">
        <v>148</v>
      </c>
      <c r="C73" t="inlineStr">
        <is>
          <t>Bar Brahma - Granja</t>
        </is>
      </c>
      <c r="D73" t="inlineStr">
        <is>
          <t>EAU - DISTRIBUIDORA DE AGUA MINERAL LTDA</t>
        </is>
      </c>
      <c r="E73" t="n">
        <v>644.37</v>
      </c>
      <c r="F73" s="27" t="n">
        <v>46045</v>
      </c>
      <c r="G73" s="27" t="n">
        <v>46045</v>
      </c>
      <c r="H73" s="27" t="n">
        <v>46045</v>
      </c>
      <c r="I73" s="27" t="n">
        <v>46010</v>
      </c>
      <c r="J73" s="27" t="n">
        <v>46021</v>
      </c>
      <c r="K73" t="inlineStr">
        <is>
          <t>Boleto Bancário</t>
        </is>
      </c>
      <c r="L73" t="inlineStr">
        <is>
          <t>Custo Mercadoria Vendida</t>
        </is>
      </c>
      <c r="M73" t="inlineStr">
        <is>
          <t>Insumos - Bebidas</t>
        </is>
      </c>
      <c r="N73" t="inlineStr">
        <is>
          <t>283587</t>
        </is>
      </c>
      <c r="O73" t="inlineStr">
        <is>
          <t>Documentação Aprovada</t>
        </is>
      </c>
      <c r="P73" t="inlineStr">
        <is>
          <t>Aprovado Diretoria</t>
        </is>
      </c>
      <c r="Q73" t="inlineStr">
        <is>
          <t>Aprovado Caixa</t>
        </is>
      </c>
      <c r="R73" t="inlineStr">
        <is>
          <t>Pago</t>
        </is>
      </c>
      <c r="S73" t="n">
        <v>164</v>
      </c>
      <c r="T73" t="inlineStr">
        <is>
          <t>Bar Brahma Granja - FDB Filial - Kamino</t>
        </is>
      </c>
    </row>
    <row r="74">
      <c r="A74" t="n">
        <v>192289</v>
      </c>
      <c r="B74" t="n">
        <v>148</v>
      </c>
      <c r="C74" t="inlineStr">
        <is>
          <t>Bar Brahma - Granja</t>
        </is>
      </c>
      <c r="D74" t="inlineStr">
        <is>
          <t>LATICINIOS PIRAMIDE LTDA</t>
        </is>
      </c>
      <c r="E74" t="n">
        <v>2787</v>
      </c>
      <c r="F74" s="27" t="n">
        <v>46045</v>
      </c>
      <c r="G74" s="27" t="n">
        <v>46045</v>
      </c>
      <c r="H74" s="27" t="n">
        <v>46045</v>
      </c>
      <c r="I74" s="27" t="n">
        <v>46031</v>
      </c>
      <c r="J74" s="27" t="n">
        <v>46036</v>
      </c>
      <c r="K74" t="inlineStr">
        <is>
          <t>Boleto Bancário</t>
        </is>
      </c>
      <c r="L74" t="inlineStr">
        <is>
          <t>Custo Mercadoria Vendida</t>
        </is>
      </c>
      <c r="M74" t="inlineStr">
        <is>
          <t>Insumos - Alimentos</t>
        </is>
      </c>
      <c r="N74" t="inlineStr">
        <is>
          <t>80945</t>
        </is>
      </c>
      <c r="O74" t="inlineStr">
        <is>
          <t>Documentação Aprovada</t>
        </is>
      </c>
      <c r="P74" t="inlineStr">
        <is>
          <t>Aprovado Diretoria</t>
        </is>
      </c>
      <c r="Q74" t="inlineStr">
        <is>
          <t>Aprovado Caixa</t>
        </is>
      </c>
      <c r="R74" t="inlineStr">
        <is>
          <t>Pago</t>
        </is>
      </c>
      <c r="S74" t="n">
        <v>164</v>
      </c>
      <c r="T74" t="inlineStr">
        <is>
          <t>Bar Brahma Granja - FDB Filial - Kamino</t>
        </is>
      </c>
    </row>
    <row r="75">
      <c r="A75" t="n">
        <v>192325</v>
      </c>
      <c r="B75" t="n">
        <v>148</v>
      </c>
      <c r="C75" t="inlineStr">
        <is>
          <t>Bar Brahma - Granja</t>
        </is>
      </c>
      <c r="D75" t="inlineStr">
        <is>
          <t>NOVA COMERCIAL PESCADOS LTDA</t>
        </is>
      </c>
      <c r="E75" t="n">
        <v>1018.5</v>
      </c>
      <c r="F75" s="27" t="n">
        <v>46045</v>
      </c>
      <c r="G75" s="27" t="n">
        <v>46045</v>
      </c>
      <c r="H75" s="27" t="n">
        <v>46045</v>
      </c>
      <c r="I75" s="27" t="n">
        <v>46031</v>
      </c>
      <c r="J75" s="27" t="n">
        <v>46036</v>
      </c>
      <c r="K75" t="inlineStr">
        <is>
          <t>Boleto Bancário</t>
        </is>
      </c>
      <c r="L75" t="inlineStr">
        <is>
          <t>Custo Mercadoria Vendida</t>
        </is>
      </c>
      <c r="M75" t="inlineStr">
        <is>
          <t>Insumos - Alimentos</t>
        </is>
      </c>
      <c r="N75" t="inlineStr">
        <is>
          <t>30499</t>
        </is>
      </c>
      <c r="O75" t="inlineStr">
        <is>
          <t>Documentação Aprovada</t>
        </is>
      </c>
      <c r="P75" t="inlineStr">
        <is>
          <t>Aprovado Diretoria</t>
        </is>
      </c>
      <c r="Q75" t="inlineStr">
        <is>
          <t>Aprovado Caixa</t>
        </is>
      </c>
      <c r="R75" t="inlineStr">
        <is>
          <t>Pago</t>
        </is>
      </c>
      <c r="S75" t="n">
        <v>164</v>
      </c>
      <c r="T75" t="inlineStr">
        <is>
          <t>Bar Brahma Granja - FDB Filial - Kamino</t>
        </is>
      </c>
    </row>
    <row r="76">
      <c r="A76" t="n">
        <v>192312</v>
      </c>
      <c r="B76" t="n">
        <v>148</v>
      </c>
      <c r="C76" t="inlineStr">
        <is>
          <t>Bar Brahma - Granja</t>
        </is>
      </c>
      <c r="D76" t="inlineStr">
        <is>
          <t>M. BARBOSA DOS SANTOS</t>
        </is>
      </c>
      <c r="E76" t="n">
        <v>163.5</v>
      </c>
      <c r="F76" s="27" t="n">
        <v>46045</v>
      </c>
      <c r="G76" s="27" t="n">
        <v>46045</v>
      </c>
      <c r="H76" s="27" t="n">
        <v>46045</v>
      </c>
      <c r="I76" s="27" t="n">
        <v>46008</v>
      </c>
      <c r="J76" s="27" t="n">
        <v>46036</v>
      </c>
      <c r="K76" t="inlineStr">
        <is>
          <t>Boleto Bancário</t>
        </is>
      </c>
      <c r="L76" t="inlineStr">
        <is>
          <t>Custo Mercadoria Vendida</t>
        </is>
      </c>
      <c r="M76" t="inlineStr">
        <is>
          <t>Insumos - Alimentos</t>
        </is>
      </c>
      <c r="N76" t="inlineStr">
        <is>
          <t>10751</t>
        </is>
      </c>
      <c r="O76" t="inlineStr">
        <is>
          <t>Documentação Aprovada</t>
        </is>
      </c>
      <c r="P76" t="inlineStr">
        <is>
          <t>Aprovado Diretoria</t>
        </is>
      </c>
      <c r="Q76" t="inlineStr">
        <is>
          <t>Aprovado Caixa</t>
        </is>
      </c>
      <c r="R76" t="inlineStr">
        <is>
          <t>Pago</t>
        </is>
      </c>
      <c r="S76" t="n">
        <v>164</v>
      </c>
      <c r="T76" t="inlineStr">
        <is>
          <t>Bar Brahma Granja - FDB Filial - Kamino</t>
        </is>
      </c>
    </row>
    <row r="77">
      <c r="A77" t="n">
        <v>192311</v>
      </c>
      <c r="B77" t="n">
        <v>148</v>
      </c>
      <c r="C77" t="inlineStr">
        <is>
          <t>Bar Brahma - Granja</t>
        </is>
      </c>
      <c r="D77" t="inlineStr">
        <is>
          <t>M. BARBOSA DOS SANTOS</t>
        </is>
      </c>
      <c r="E77" t="n">
        <v>116.1</v>
      </c>
      <c r="F77" s="27" t="n">
        <v>46045</v>
      </c>
      <c r="G77" s="27" t="n">
        <v>46045</v>
      </c>
      <c r="H77" s="27" t="n">
        <v>46045</v>
      </c>
      <c r="I77" s="27" t="n">
        <v>45919</v>
      </c>
      <c r="J77" s="27" t="n">
        <v>46036</v>
      </c>
      <c r="K77" t="inlineStr">
        <is>
          <t>Boleto Bancário</t>
        </is>
      </c>
      <c r="L77" t="inlineStr">
        <is>
          <t>Custo Mercadoria Vendida</t>
        </is>
      </c>
      <c r="M77" t="inlineStr">
        <is>
          <t>Insumos - Alimentos</t>
        </is>
      </c>
      <c r="N77" t="inlineStr">
        <is>
          <t>10219</t>
        </is>
      </c>
      <c r="O77" t="inlineStr">
        <is>
          <t>Documentação Aprovada</t>
        </is>
      </c>
      <c r="P77" t="inlineStr">
        <is>
          <t>Aprovado Diretoria</t>
        </is>
      </c>
      <c r="Q77" t="inlineStr">
        <is>
          <t>Aprovado Caixa</t>
        </is>
      </c>
      <c r="R77" t="inlineStr">
        <is>
          <t>Pago</t>
        </is>
      </c>
      <c r="S77" t="n">
        <v>164</v>
      </c>
      <c r="T77" t="inlineStr">
        <is>
          <t>Bar Brahma Granja - FDB Filial - Kamino</t>
        </is>
      </c>
    </row>
    <row r="78">
      <c r="A78" t="n">
        <v>193506</v>
      </c>
      <c r="B78" t="n">
        <v>148</v>
      </c>
      <c r="C78" t="inlineStr">
        <is>
          <t>Bar Brahma - Granja</t>
        </is>
      </c>
      <c r="D78" t="inlineStr">
        <is>
          <t>BR22 INDUSTRIA E COMERCIO DE ALIMENTOS LTDA</t>
        </is>
      </c>
      <c r="E78" t="n">
        <v>749.03</v>
      </c>
      <c r="F78" s="27" t="n">
        <v>46045</v>
      </c>
      <c r="G78" s="27" t="n">
        <v>46045</v>
      </c>
      <c r="H78" s="27" t="n">
        <v>46045</v>
      </c>
      <c r="I78" s="27" t="n">
        <v>46030</v>
      </c>
      <c r="J78" s="27" t="n">
        <v>46037</v>
      </c>
      <c r="K78" t="inlineStr">
        <is>
          <t>Boleto Bancário</t>
        </is>
      </c>
      <c r="L78" t="inlineStr">
        <is>
          <t>Custo Mercadoria Vendida</t>
        </is>
      </c>
      <c r="M78" t="inlineStr">
        <is>
          <t>Insumos - Alimentos</t>
        </is>
      </c>
      <c r="N78" t="inlineStr">
        <is>
          <t>788</t>
        </is>
      </c>
      <c r="O78" t="inlineStr">
        <is>
          <t>Documentação Aprovada</t>
        </is>
      </c>
      <c r="P78" t="inlineStr">
        <is>
          <t>Aprovado Diretoria</t>
        </is>
      </c>
      <c r="Q78" t="inlineStr">
        <is>
          <t>Aprovado Caixa</t>
        </is>
      </c>
      <c r="R78" t="inlineStr">
        <is>
          <t>Pago</t>
        </is>
      </c>
      <c r="S78" t="n">
        <v>164</v>
      </c>
      <c r="T78" t="inlineStr">
        <is>
          <t>Bar Brahma Granja - FDB Filial - Kamino</t>
        </is>
      </c>
    </row>
    <row r="79">
      <c r="A79" t="n">
        <v>188934</v>
      </c>
      <c r="B79" t="n">
        <v>148</v>
      </c>
      <c r="C79" t="inlineStr">
        <is>
          <t>Bar Brahma - Granja</t>
        </is>
      </c>
      <c r="D79" t="inlineStr">
        <is>
          <t>FG7 COMERCIO E DISTRIBUICAO DE BEBIDAS LTDA</t>
        </is>
      </c>
      <c r="E79" t="n">
        <v>779.4</v>
      </c>
      <c r="F79" s="27" t="n">
        <v>46045</v>
      </c>
      <c r="G79" s="27" t="n">
        <v>46045</v>
      </c>
      <c r="H79" s="27" t="n">
        <v>46045</v>
      </c>
      <c r="I79" s="27" t="n">
        <v>46014</v>
      </c>
      <c r="J79" s="27" t="n">
        <v>46028</v>
      </c>
      <c r="K79" t="inlineStr">
        <is>
          <t>Boleto Bancário</t>
        </is>
      </c>
      <c r="L79" t="inlineStr">
        <is>
          <t>Custo Mercadoria Vendida</t>
        </is>
      </c>
      <c r="M79" t="inlineStr">
        <is>
          <t>Insumos - Bebidas</t>
        </is>
      </c>
      <c r="N79" t="inlineStr">
        <is>
          <t>724546</t>
        </is>
      </c>
      <c r="O79" t="inlineStr">
        <is>
          <t>Documentação Aprovada</t>
        </is>
      </c>
      <c r="P79" t="inlineStr">
        <is>
          <t>Aprovado Diretoria</t>
        </is>
      </c>
      <c r="Q79" t="inlineStr">
        <is>
          <t>Aprovado Caixa</t>
        </is>
      </c>
      <c r="R79" t="inlineStr">
        <is>
          <t>Pago</t>
        </is>
      </c>
      <c r="S79" t="n">
        <v>164</v>
      </c>
      <c r="T79" t="inlineStr">
        <is>
          <t>Bar Brahma Granja - FDB Filial - Kamino</t>
        </is>
      </c>
    </row>
    <row r="80">
      <c r="A80" t="n">
        <v>188913</v>
      </c>
      <c r="B80" t="n">
        <v>148</v>
      </c>
      <c r="C80" t="inlineStr">
        <is>
          <t>Bar Brahma - Granja</t>
        </is>
      </c>
      <c r="D80" t="inlineStr">
        <is>
          <t xml:space="preserve">ARENA VIP DISTRIBUIDORA DE BEBIDAS LTDA </t>
        </is>
      </c>
      <c r="E80" t="n">
        <v>313.5</v>
      </c>
      <c r="F80" s="27" t="n">
        <v>46045</v>
      </c>
      <c r="G80" s="27" t="n">
        <v>46045</v>
      </c>
      <c r="H80" s="27" t="n">
        <v>46045</v>
      </c>
      <c r="I80" s="27" t="n">
        <v>46017</v>
      </c>
      <c r="J80" s="27" t="n">
        <v>46028</v>
      </c>
      <c r="K80" t="inlineStr">
        <is>
          <t>Boleto Bancário</t>
        </is>
      </c>
      <c r="L80" t="inlineStr">
        <is>
          <t>Custo Mercadoria Vendida</t>
        </is>
      </c>
      <c r="M80" t="inlineStr">
        <is>
          <t>Insumos - Bebidas</t>
        </is>
      </c>
      <c r="N80" t="inlineStr">
        <is>
          <t>23471</t>
        </is>
      </c>
      <c r="O80" t="inlineStr">
        <is>
          <t>Documentação Aprovada</t>
        </is>
      </c>
      <c r="P80" t="inlineStr">
        <is>
          <t>Aprovado Diretoria</t>
        </is>
      </c>
      <c r="Q80" t="inlineStr">
        <is>
          <t>Aprovado Caixa</t>
        </is>
      </c>
      <c r="R80" t="inlineStr">
        <is>
          <t>Pago</t>
        </is>
      </c>
      <c r="S80" t="n">
        <v>164</v>
      </c>
      <c r="T80" t="inlineStr">
        <is>
          <t>Bar Brahma Granja - FDB Filial - Kamino</t>
        </is>
      </c>
    </row>
    <row r="81">
      <c r="A81" t="n">
        <v>188914</v>
      </c>
      <c r="B81" t="n">
        <v>148</v>
      </c>
      <c r="C81" t="inlineStr">
        <is>
          <t>Bar Brahma - Granja</t>
        </is>
      </c>
      <c r="D81" t="inlineStr">
        <is>
          <t>CECILIA TSUYACO ARAKI SILVA LTDA</t>
        </is>
      </c>
      <c r="E81" t="n">
        <v>125.2</v>
      </c>
      <c r="F81" s="27" t="n">
        <v>46045</v>
      </c>
      <c r="G81" s="27" t="n">
        <v>46045</v>
      </c>
      <c r="H81" s="27" t="n">
        <v>46045</v>
      </c>
      <c r="I81" s="27" t="n">
        <v>46017</v>
      </c>
      <c r="J81" s="27" t="n">
        <v>46028</v>
      </c>
      <c r="K81" t="inlineStr">
        <is>
          <t>Boleto Bancário</t>
        </is>
      </c>
      <c r="L81" t="inlineStr">
        <is>
          <t>Custo Mercadoria Vendida</t>
        </is>
      </c>
      <c r="M81" t="inlineStr">
        <is>
          <t>Insumos - Alimentos</t>
        </is>
      </c>
      <c r="N81" t="inlineStr">
        <is>
          <t>384208</t>
        </is>
      </c>
      <c r="O81" t="inlineStr">
        <is>
          <t>Documentação Aprovada</t>
        </is>
      </c>
      <c r="P81" t="inlineStr">
        <is>
          <t>Aprovado Diretoria</t>
        </is>
      </c>
      <c r="Q81" t="inlineStr">
        <is>
          <t>Aprovado Caixa</t>
        </is>
      </c>
      <c r="R81" t="inlineStr">
        <is>
          <t>Pago</t>
        </is>
      </c>
      <c r="S81" t="n">
        <v>164</v>
      </c>
      <c r="T81" t="inlineStr">
        <is>
          <t>Bar Brahma Granja - FDB Filial - Kamino</t>
        </is>
      </c>
    </row>
    <row r="82">
      <c r="A82" t="n">
        <v>188916</v>
      </c>
      <c r="B82" t="n">
        <v>148</v>
      </c>
      <c r="C82" t="inlineStr">
        <is>
          <t>Bar Brahma - Granja</t>
        </is>
      </c>
      <c r="D82" t="inlineStr">
        <is>
          <t>EMPORIO M&amp;L COMERCIO DE ALIM E BEBIDAS LTDA</t>
        </is>
      </c>
      <c r="E82" t="n">
        <v>979.41</v>
      </c>
      <c r="F82" s="27" t="n">
        <v>46045</v>
      </c>
      <c r="G82" s="27" t="n">
        <v>46045</v>
      </c>
      <c r="H82" s="27" t="n">
        <v>46045</v>
      </c>
      <c r="I82" s="27" t="n">
        <v>46017</v>
      </c>
      <c r="J82" s="27" t="n">
        <v>46028</v>
      </c>
      <c r="K82" t="inlineStr">
        <is>
          <t>Boleto Bancário</t>
        </is>
      </c>
      <c r="L82" t="inlineStr">
        <is>
          <t>Custo Mercadoria Vendida</t>
        </is>
      </c>
      <c r="M82" t="inlineStr">
        <is>
          <t>Insumos - Alimentos</t>
        </is>
      </c>
      <c r="N82" t="inlineStr">
        <is>
          <t>489040</t>
        </is>
      </c>
      <c r="O82" t="inlineStr">
        <is>
          <t>Documentação Aprovada</t>
        </is>
      </c>
      <c r="P82" t="inlineStr">
        <is>
          <t>Aprovado Diretoria</t>
        </is>
      </c>
      <c r="Q82" t="inlineStr">
        <is>
          <t>Aprovado Caixa</t>
        </is>
      </c>
      <c r="R82" t="inlineStr">
        <is>
          <t>Pago</t>
        </is>
      </c>
      <c r="S82" t="n">
        <v>164</v>
      </c>
      <c r="T82" t="inlineStr">
        <is>
          <t>Bar Brahma Granja - FDB Filial - Kamino</t>
        </is>
      </c>
    </row>
    <row r="83">
      <c r="A83" t="n">
        <v>188929</v>
      </c>
      <c r="B83" t="n">
        <v>148</v>
      </c>
      <c r="C83" t="inlineStr">
        <is>
          <t>Bar Brahma - Granja</t>
        </is>
      </c>
      <c r="D83" t="inlineStr">
        <is>
          <t>WPP COMERCIO DE CARNES LTDA</t>
        </is>
      </c>
      <c r="E83" t="n">
        <v>350</v>
      </c>
      <c r="F83" s="27" t="n">
        <v>46045</v>
      </c>
      <c r="G83" s="27" t="n">
        <v>46045</v>
      </c>
      <c r="H83" s="27" t="n">
        <v>46045</v>
      </c>
      <c r="I83" s="27" t="n">
        <v>46017</v>
      </c>
      <c r="J83" s="27" t="n">
        <v>46028</v>
      </c>
      <c r="K83" t="inlineStr">
        <is>
          <t>Boleto Bancário</t>
        </is>
      </c>
      <c r="L83" t="inlineStr">
        <is>
          <t>Custo Mercadoria Vendida</t>
        </is>
      </c>
      <c r="M83" t="inlineStr">
        <is>
          <t>Insumos - Alimentos</t>
        </is>
      </c>
      <c r="N83" t="inlineStr">
        <is>
          <t>76462</t>
        </is>
      </c>
      <c r="O83" t="inlineStr">
        <is>
          <t>Documentação Aprovada</t>
        </is>
      </c>
      <c r="P83" t="inlineStr">
        <is>
          <t>Aprovado Diretoria</t>
        </is>
      </c>
      <c r="Q83" t="inlineStr">
        <is>
          <t>Aprovado Caixa</t>
        </is>
      </c>
      <c r="R83" t="inlineStr">
        <is>
          <t>Pago</t>
        </is>
      </c>
      <c r="S83" t="n">
        <v>164</v>
      </c>
      <c r="T83" t="inlineStr">
        <is>
          <t>Bar Brahma Granja - FDB Filial - Kamino</t>
        </is>
      </c>
    </row>
    <row r="84">
      <c r="A84" t="n">
        <v>188924</v>
      </c>
      <c r="B84" t="n">
        <v>148</v>
      </c>
      <c r="C84" t="inlineStr">
        <is>
          <t>Bar Brahma - Granja</t>
        </is>
      </c>
      <c r="D84" t="inlineStr">
        <is>
          <t>CECILIA TSUYACO ARAKI SILVA LTDA</t>
        </is>
      </c>
      <c r="E84" t="n">
        <v>355.4</v>
      </c>
      <c r="F84" s="27" t="n">
        <v>46045</v>
      </c>
      <c r="G84" s="27" t="n">
        <v>46045</v>
      </c>
      <c r="H84" s="27" t="n">
        <v>46045</v>
      </c>
      <c r="I84" s="27" t="n">
        <v>46017</v>
      </c>
      <c r="J84" s="27" t="n">
        <v>46028</v>
      </c>
      <c r="K84" t="inlineStr">
        <is>
          <t>Boleto Bancário</t>
        </is>
      </c>
      <c r="L84" t="inlineStr">
        <is>
          <t>Custo Mercadoria Vendida</t>
        </is>
      </c>
      <c r="M84" t="inlineStr">
        <is>
          <t>Insumos - Alimentos</t>
        </is>
      </c>
      <c r="N84" t="inlineStr">
        <is>
          <t>384148</t>
        </is>
      </c>
      <c r="O84" t="inlineStr">
        <is>
          <t>Documentação Aprovada</t>
        </is>
      </c>
      <c r="P84" t="inlineStr">
        <is>
          <t>Aprovado Diretoria</t>
        </is>
      </c>
      <c r="Q84" t="inlineStr">
        <is>
          <t>Aprovado Caixa</t>
        </is>
      </c>
      <c r="R84" t="inlineStr">
        <is>
          <t>Pago</t>
        </is>
      </c>
      <c r="S84" t="n">
        <v>164</v>
      </c>
      <c r="T84" t="inlineStr">
        <is>
          <t>Bar Brahma Granja - FDB Filial - Kamino</t>
        </is>
      </c>
    </row>
    <row r="85">
      <c r="A85" t="n">
        <v>188925</v>
      </c>
      <c r="B85" t="n">
        <v>148</v>
      </c>
      <c r="C85" t="inlineStr">
        <is>
          <t>Bar Brahma - Granja</t>
        </is>
      </c>
      <c r="D85" t="inlineStr">
        <is>
          <t>DTK COMERCIO DE ALIMENTOS LTDA</t>
        </is>
      </c>
      <c r="E85" t="n">
        <v>1128.06</v>
      </c>
      <c r="F85" s="27" t="n">
        <v>46045</v>
      </c>
      <c r="G85" s="27" t="n">
        <v>46045</v>
      </c>
      <c r="H85" s="27" t="n">
        <v>46045</v>
      </c>
      <c r="I85" s="27" t="n">
        <v>46017</v>
      </c>
      <c r="J85" s="27" t="n">
        <v>46028</v>
      </c>
      <c r="K85" t="inlineStr">
        <is>
          <t>Boleto Bancário</t>
        </is>
      </c>
      <c r="L85" t="inlineStr">
        <is>
          <t>Custo Mercadoria Vendida</t>
        </is>
      </c>
      <c r="M85" t="inlineStr">
        <is>
          <t>Insumos - Alimentos</t>
        </is>
      </c>
      <c r="N85" t="inlineStr">
        <is>
          <t>58807</t>
        </is>
      </c>
      <c r="O85" t="inlineStr">
        <is>
          <t>Documentação Aprovada</t>
        </is>
      </c>
      <c r="P85" t="inlineStr">
        <is>
          <t>Aprovado Diretoria</t>
        </is>
      </c>
      <c r="Q85" t="inlineStr">
        <is>
          <t>Aprovado Caixa</t>
        </is>
      </c>
      <c r="R85" t="inlineStr">
        <is>
          <t>Pago</t>
        </is>
      </c>
      <c r="S85" t="n">
        <v>164</v>
      </c>
      <c r="T85" t="inlineStr">
        <is>
          <t>Bar Brahma Granja - FDB Filial - Kamino</t>
        </is>
      </c>
    </row>
    <row r="86">
      <c r="A86" t="n">
        <v>188927</v>
      </c>
      <c r="B86" t="n">
        <v>148</v>
      </c>
      <c r="C86" t="inlineStr">
        <is>
          <t>Bar Brahma - Granja</t>
        </is>
      </c>
      <c r="D86" t="inlineStr">
        <is>
          <t>MARIO PEDRO FELICIANO - HORTIFRUTI</t>
        </is>
      </c>
      <c r="E86" t="n">
        <v>1022.78</v>
      </c>
      <c r="F86" s="27" t="n">
        <v>46045</v>
      </c>
      <c r="G86" s="27" t="n">
        <v>46045</v>
      </c>
      <c r="H86" s="27" t="n">
        <v>46045</v>
      </c>
      <c r="I86" s="27" t="n">
        <v>46017</v>
      </c>
      <c r="J86" s="27" t="n">
        <v>46028</v>
      </c>
      <c r="K86" t="inlineStr">
        <is>
          <t>Boleto Bancário</t>
        </is>
      </c>
      <c r="L86" t="inlineStr">
        <is>
          <t>Custo Mercadoria Vendida</t>
        </is>
      </c>
      <c r="M86" t="inlineStr">
        <is>
          <t>Insumos - Alimentos</t>
        </is>
      </c>
      <c r="N86" t="inlineStr">
        <is>
          <t>463060</t>
        </is>
      </c>
      <c r="O86" t="inlineStr">
        <is>
          <t>Documentação Aprovada</t>
        </is>
      </c>
      <c r="P86" t="inlineStr">
        <is>
          <t>Aprovado Diretoria</t>
        </is>
      </c>
      <c r="Q86" t="inlineStr">
        <is>
          <t>Aprovado Caixa</t>
        </is>
      </c>
      <c r="R86" t="inlineStr">
        <is>
          <t>Pago</t>
        </is>
      </c>
      <c r="S86" t="n">
        <v>164</v>
      </c>
      <c r="T86" t="inlineStr">
        <is>
          <t>Bar Brahma Granja - FDB Filial - Kamino</t>
        </is>
      </c>
    </row>
    <row r="87">
      <c r="A87" t="n">
        <v>189803</v>
      </c>
      <c r="B87" t="n">
        <v>148</v>
      </c>
      <c r="C87" t="inlineStr">
        <is>
          <t>Bar Brahma - Granja</t>
        </is>
      </c>
      <c r="D87" t="inlineStr">
        <is>
          <t>KING COMERCIO E IMPORTACAO DE BEBIDAS LTDA</t>
        </is>
      </c>
      <c r="E87" t="n">
        <v>1760.7</v>
      </c>
      <c r="F87" s="27" t="n">
        <v>46041</v>
      </c>
      <c r="G87" s="27" t="n">
        <v>46045</v>
      </c>
      <c r="H87" s="27" t="n">
        <v>46045</v>
      </c>
      <c r="I87" s="27" t="n">
        <v>46020</v>
      </c>
      <c r="J87" s="27" t="n">
        <v>46030</v>
      </c>
      <c r="K87" t="inlineStr">
        <is>
          <t>Boleto Bancário</t>
        </is>
      </c>
      <c r="L87" t="inlineStr">
        <is>
          <t>Custo Mercadoria Vendida</t>
        </is>
      </c>
      <c r="M87" t="inlineStr">
        <is>
          <t>Insumos - Bebidas</t>
        </is>
      </c>
      <c r="N87" t="inlineStr">
        <is>
          <t>124523</t>
        </is>
      </c>
      <c r="O87" t="inlineStr">
        <is>
          <t>Documentação Aprovada</t>
        </is>
      </c>
      <c r="P87" t="inlineStr">
        <is>
          <t>Aprovado Diretoria</t>
        </is>
      </c>
      <c r="Q87" t="inlineStr">
        <is>
          <t>Aprovado Caixa</t>
        </is>
      </c>
      <c r="R87" t="inlineStr">
        <is>
          <t>Pago</t>
        </is>
      </c>
      <c r="S87" t="n">
        <v>164</v>
      </c>
      <c r="T87" t="inlineStr">
        <is>
          <t>Bar Brahma Granja - FDB Filial - Kamino</t>
        </is>
      </c>
    </row>
    <row r="88">
      <c r="A88" t="n">
        <v>189801</v>
      </c>
      <c r="B88" t="n">
        <v>148</v>
      </c>
      <c r="C88" t="inlineStr">
        <is>
          <t>Bar Brahma - Granja</t>
        </is>
      </c>
      <c r="D88" t="inlineStr">
        <is>
          <t>CG FOOD´S DISTRIBUIDORA DE ALIMENTOS LTDA</t>
        </is>
      </c>
      <c r="E88" t="n">
        <v>210</v>
      </c>
      <c r="F88" s="27" t="n">
        <v>46045</v>
      </c>
      <c r="G88" s="27" t="n">
        <v>46045</v>
      </c>
      <c r="H88" s="27" t="n">
        <v>46045</v>
      </c>
      <c r="I88" s="27" t="n">
        <v>46024</v>
      </c>
      <c r="J88" s="27" t="n">
        <v>46030</v>
      </c>
      <c r="K88" t="inlineStr">
        <is>
          <t>Boleto Bancário</t>
        </is>
      </c>
      <c r="L88" t="inlineStr">
        <is>
          <t>Custo Mercadoria Vendida</t>
        </is>
      </c>
      <c r="M88" t="inlineStr">
        <is>
          <t>Insumos - Alimentos</t>
        </is>
      </c>
      <c r="N88" t="inlineStr">
        <is>
          <t>175241</t>
        </is>
      </c>
      <c r="O88" t="inlineStr">
        <is>
          <t>Documentação Aprovada</t>
        </is>
      </c>
      <c r="P88" t="inlineStr">
        <is>
          <t>Aprovado Diretoria</t>
        </is>
      </c>
      <c r="Q88" t="inlineStr">
        <is>
          <t>Aprovado Caixa</t>
        </is>
      </c>
      <c r="R88" t="inlineStr">
        <is>
          <t>Pago</t>
        </is>
      </c>
      <c r="S88" t="n">
        <v>164</v>
      </c>
      <c r="T88" t="inlineStr">
        <is>
          <t>Bar Brahma Granja - FDB Filial - Kamino</t>
        </is>
      </c>
    </row>
    <row r="89">
      <c r="A89" t="n">
        <v>189922</v>
      </c>
      <c r="B89" t="n">
        <v>148</v>
      </c>
      <c r="C89" t="inlineStr">
        <is>
          <t>Bar Brahma - Granja</t>
        </is>
      </c>
      <c r="D89" t="inlineStr">
        <is>
          <t>OPUS CONSULTORIA E PESQUISA LTDA</t>
        </is>
      </c>
      <c r="E89" t="n">
        <v>300</v>
      </c>
      <c r="F89" s="27" t="n">
        <v>46042</v>
      </c>
      <c r="G89" s="27" t="n">
        <v>46045</v>
      </c>
      <c r="H89" s="27" t="n">
        <v>46045</v>
      </c>
      <c r="I89" s="27" t="n">
        <v>46023</v>
      </c>
      <c r="J89" s="27" t="n">
        <v>46030</v>
      </c>
      <c r="K89" t="inlineStr">
        <is>
          <t>Boleto Bancário</t>
        </is>
      </c>
      <c r="L89" t="inlineStr">
        <is>
          <t>Serviços de Terceiros</t>
        </is>
      </c>
      <c r="M89" t="inlineStr">
        <is>
          <t>Assessoria em Geral</t>
        </is>
      </c>
      <c r="N89" t="inlineStr">
        <is>
          <t>Venda 677</t>
        </is>
      </c>
      <c r="O89" t="inlineStr">
        <is>
          <t>Documentação Aprovada</t>
        </is>
      </c>
      <c r="P89" t="inlineStr">
        <is>
          <t>Aprovado Diretoria</t>
        </is>
      </c>
      <c r="Q89" t="inlineStr">
        <is>
          <t>Aprovado Caixa</t>
        </is>
      </c>
      <c r="R89" t="inlineStr">
        <is>
          <t>Pago</t>
        </is>
      </c>
      <c r="S89" t="n">
        <v>164</v>
      </c>
      <c r="T89" t="inlineStr">
        <is>
          <t>Bar Brahma Granja - FDB Filial - Kamino</t>
        </is>
      </c>
    </row>
    <row r="90">
      <c r="A90" t="n">
        <v>146706</v>
      </c>
      <c r="B90" t="n">
        <v>148</v>
      </c>
      <c r="C90" t="inlineStr">
        <is>
          <t>Bar Brahma - Granja</t>
        </is>
      </c>
      <c r="D90" t="inlineStr">
        <is>
          <t>COFINS</t>
        </is>
      </c>
      <c r="E90" t="n">
        <v>10218.97</v>
      </c>
      <c r="F90" s="27" t="n">
        <v>46045</v>
      </c>
      <c r="G90" s="27" t="n">
        <v>46045</v>
      </c>
      <c r="H90" s="27" t="n">
        <v>46045</v>
      </c>
      <c r="I90" s="27" t="n">
        <v>46021</v>
      </c>
      <c r="J90" s="27" t="n"/>
      <c r="K90" t="inlineStr">
        <is>
          <t>Boleto Bancário</t>
        </is>
      </c>
      <c r="L90" t="inlineStr">
        <is>
          <t>Impostos sobre Venda</t>
        </is>
      </c>
      <c r="M90" t="inlineStr">
        <is>
          <t>PIS / COFINS</t>
        </is>
      </c>
      <c r="N90" t="inlineStr">
        <is>
          <t>4º TRIMESTRE</t>
        </is>
      </c>
      <c r="O90" t="inlineStr">
        <is>
          <t>Documentação Aprovada</t>
        </is>
      </c>
      <c r="P90" t="inlineStr">
        <is>
          <t>Aprovado Diretoria</t>
        </is>
      </c>
      <c r="Q90" t="inlineStr">
        <is>
          <t>Aprovado Caixa</t>
        </is>
      </c>
      <c r="R90" t="inlineStr">
        <is>
          <t>Pago</t>
        </is>
      </c>
      <c r="S90" t="n">
        <v>164</v>
      </c>
      <c r="T90" t="inlineStr">
        <is>
          <t>Bar Brahma Granja - FDB Filial - Kamino</t>
        </is>
      </c>
    </row>
    <row r="91">
      <c r="A91" t="n">
        <v>146690</v>
      </c>
      <c r="B91" t="n">
        <v>148</v>
      </c>
      <c r="C91" t="inlineStr">
        <is>
          <t>Bar Brahma - Granja</t>
        </is>
      </c>
      <c r="D91" t="inlineStr">
        <is>
          <t>PIS</t>
        </is>
      </c>
      <c r="E91" t="n">
        <v>2214.11</v>
      </c>
      <c r="F91" s="27" t="n">
        <v>46045</v>
      </c>
      <c r="G91" s="27" t="n">
        <v>46045</v>
      </c>
      <c r="H91" s="27" t="n">
        <v>46045</v>
      </c>
      <c r="I91" s="27" t="n">
        <v>46021</v>
      </c>
      <c r="J91" s="27" t="n"/>
      <c r="K91" t="inlineStr">
        <is>
          <t>Boleto Bancário</t>
        </is>
      </c>
      <c r="L91" t="inlineStr">
        <is>
          <t>Impostos sobre Venda</t>
        </is>
      </c>
      <c r="M91" t="inlineStr">
        <is>
          <t>PIS / COFINS</t>
        </is>
      </c>
      <c r="N91" t="inlineStr">
        <is>
          <t>Dezembro/2025</t>
        </is>
      </c>
      <c r="O91" t="inlineStr">
        <is>
          <t>Documentação Aprovada</t>
        </is>
      </c>
      <c r="P91" t="inlineStr">
        <is>
          <t>Aprovado Diretoria</t>
        </is>
      </c>
      <c r="Q91" t="inlineStr">
        <is>
          <t>Aprovado Caixa</t>
        </is>
      </c>
      <c r="R91" t="inlineStr">
        <is>
          <t>Pago</t>
        </is>
      </c>
      <c r="S91" t="n">
        <v>164</v>
      </c>
      <c r="T91" t="inlineStr">
        <is>
          <t>Bar Brahma Granja - FDB Filial - Kamino</t>
        </is>
      </c>
    </row>
    <row r="92">
      <c r="A92" t="n">
        <v>101934</v>
      </c>
      <c r="B92" t="n">
        <v>148</v>
      </c>
      <c r="C92" t="inlineStr">
        <is>
          <t>Bar Brahma - Granja</t>
        </is>
      </c>
      <c r="D92" t="inlineStr">
        <is>
          <t>HASHTAGTV MARKETING E PUBLICIDADE S.A</t>
        </is>
      </c>
      <c r="E92" t="n">
        <v>381.4</v>
      </c>
      <c r="F92" s="27" t="n">
        <v>46044</v>
      </c>
      <c r="G92" s="27" t="n">
        <v>46044</v>
      </c>
      <c r="H92" s="27" t="n">
        <v>46044</v>
      </c>
      <c r="I92" s="27" t="n">
        <v>46011</v>
      </c>
      <c r="J92" s="27" t="n"/>
      <c r="K92" t="inlineStr">
        <is>
          <t>Boleto Bancário</t>
        </is>
      </c>
      <c r="L92" t="inlineStr">
        <is>
          <t>Locação de Equipamentos</t>
        </is>
      </c>
      <c r="M92" t="inlineStr">
        <is>
          <t>Locações de Equipamentos - Comunicação e Marketing</t>
        </is>
      </c>
      <c r="N92" t="inlineStr">
        <is>
          <t>12170</t>
        </is>
      </c>
      <c r="O92" t="inlineStr">
        <is>
          <t>Documentação Aprovada</t>
        </is>
      </c>
      <c r="P92" t="inlineStr">
        <is>
          <t>Aprovado Diretoria</t>
        </is>
      </c>
      <c r="Q92" t="inlineStr">
        <is>
          <t>Aprovado Caixa</t>
        </is>
      </c>
      <c r="R92" t="inlineStr">
        <is>
          <t>Pago</t>
        </is>
      </c>
      <c r="S92" t="n">
        <v>164</v>
      </c>
      <c r="T92" t="inlineStr">
        <is>
          <t>Bar Brahma Granja - FDB Filial - Kamino</t>
        </is>
      </c>
    </row>
    <row r="93">
      <c r="A93" t="n">
        <v>190002</v>
      </c>
      <c r="B93" t="n">
        <v>148</v>
      </c>
      <c r="C93" t="inlineStr">
        <is>
          <t>Bar Brahma - Granja</t>
        </is>
      </c>
      <c r="D93" t="inlineStr">
        <is>
          <t>ARTHUR ALVES DA SILVA</t>
        </is>
      </c>
      <c r="E93" t="n">
        <v>1197</v>
      </c>
      <c r="F93" s="27" t="n">
        <v>46044</v>
      </c>
      <c r="G93" s="27" t="n">
        <v>46044</v>
      </c>
      <c r="H93" s="27" t="n">
        <v>46044</v>
      </c>
      <c r="I93" s="27" t="n">
        <v>46041</v>
      </c>
      <c r="J93" s="27" t="n">
        <v>46030</v>
      </c>
      <c r="K93" t="inlineStr">
        <is>
          <t>Transferência Bancária ou Pix</t>
        </is>
      </c>
      <c r="L93" t="inlineStr">
        <is>
          <t>Serviços de Terceiros</t>
        </is>
      </c>
      <c r="M93" t="inlineStr">
        <is>
          <t>Valet/Motoboy</t>
        </is>
      </c>
      <c r="N93" t="inlineStr">
        <is>
          <t>90</t>
        </is>
      </c>
      <c r="O93" t="inlineStr">
        <is>
          <t>Documentação Aprovada</t>
        </is>
      </c>
      <c r="P93" t="inlineStr">
        <is>
          <t>Aprovado Diretoria</t>
        </is>
      </c>
      <c r="Q93" t="inlineStr">
        <is>
          <t>Aprovado Caixa</t>
        </is>
      </c>
      <c r="R93" t="inlineStr">
        <is>
          <t>Pago</t>
        </is>
      </c>
      <c r="S93" t="n">
        <v>164</v>
      </c>
      <c r="T93" t="inlineStr">
        <is>
          <t>Bar Brahma Granja - FDB Filial - Kamino</t>
        </is>
      </c>
    </row>
    <row r="94">
      <c r="A94" t="n">
        <v>192636</v>
      </c>
      <c r="B94" t="n">
        <v>148</v>
      </c>
      <c r="C94" t="inlineStr">
        <is>
          <t>Bar Brahma - Granja</t>
        </is>
      </c>
      <c r="D94" t="inlineStr">
        <is>
          <t>LAIS DA SILVA CONCEIÇÃO</t>
        </is>
      </c>
      <c r="E94" t="n">
        <v>5127.94</v>
      </c>
      <c r="F94" s="27" t="n">
        <v>46044</v>
      </c>
      <c r="G94" s="27" t="n">
        <v>46044</v>
      </c>
      <c r="H94" s="27" t="n">
        <v>46044</v>
      </c>
      <c r="I94" s="27" t="n">
        <v>46023</v>
      </c>
      <c r="J94" s="27" t="n">
        <v>46036</v>
      </c>
      <c r="K94" t="inlineStr">
        <is>
          <t>Transferência Bancária ou Pix</t>
        </is>
      </c>
      <c r="L94" t="inlineStr">
        <is>
          <t>Mão de Obra - Encargos e Provisões</t>
        </is>
      </c>
      <c r="M94" t="inlineStr">
        <is>
          <t xml:space="preserve">  -  Rescisão</t>
        </is>
      </c>
      <c r="N94" t="inlineStr">
        <is>
          <t>512794 012026</t>
        </is>
      </c>
      <c r="O94" t="inlineStr">
        <is>
          <t>Documentação Aprovada</t>
        </is>
      </c>
      <c r="P94" t="inlineStr">
        <is>
          <t>Aprovado Diretoria</t>
        </is>
      </c>
      <c r="Q94" t="inlineStr">
        <is>
          <t>Aprovado Caixa</t>
        </is>
      </c>
      <c r="R94" t="inlineStr">
        <is>
          <t>Pago</t>
        </is>
      </c>
      <c r="S94" t="n">
        <v>148</v>
      </c>
      <c r="T94" t="inlineStr">
        <is>
          <t>Bar Brahma Granja - Tutum Filial - Kamino</t>
        </is>
      </c>
    </row>
    <row r="95">
      <c r="A95" t="n">
        <v>192281</v>
      </c>
      <c r="B95" t="n">
        <v>148</v>
      </c>
      <c r="C95" t="inlineStr">
        <is>
          <t>Bar Brahma - Granja</t>
        </is>
      </c>
      <c r="D95" t="inlineStr">
        <is>
          <t>M. BARBOSA DOS SANTOS</t>
        </is>
      </c>
      <c r="E95" t="n">
        <v>163.5</v>
      </c>
      <c r="F95" s="27" t="n">
        <v>46044</v>
      </c>
      <c r="G95" s="27" t="n">
        <v>46044</v>
      </c>
      <c r="H95" s="27" t="n">
        <v>46044</v>
      </c>
      <c r="I95" s="27" t="n">
        <v>46030</v>
      </c>
      <c r="J95" s="27" t="n">
        <v>46036</v>
      </c>
      <c r="K95" t="inlineStr">
        <is>
          <t>Boleto Bancário</t>
        </is>
      </c>
      <c r="L95" t="inlineStr">
        <is>
          <t>Custo Mercadoria Vendida</t>
        </is>
      </c>
      <c r="M95" t="inlineStr">
        <is>
          <t>Insumos - Alimentos</t>
        </is>
      </c>
      <c r="N95" t="inlineStr">
        <is>
          <t>10827</t>
        </is>
      </c>
      <c r="O95" t="inlineStr">
        <is>
          <t>Documentação Aprovada</t>
        </is>
      </c>
      <c r="P95" t="inlineStr">
        <is>
          <t>Aprovado Diretoria</t>
        </is>
      </c>
      <c r="Q95" t="inlineStr">
        <is>
          <t>Aprovado Caixa</t>
        </is>
      </c>
      <c r="R95" t="inlineStr">
        <is>
          <t>Pago</t>
        </is>
      </c>
      <c r="S95" t="n">
        <v>164</v>
      </c>
      <c r="T95" t="inlineStr">
        <is>
          <t>Bar Brahma Granja - FDB Filial - Kamino</t>
        </is>
      </c>
    </row>
    <row r="96">
      <c r="A96" t="n">
        <v>188917</v>
      </c>
      <c r="B96" t="n">
        <v>148</v>
      </c>
      <c r="C96" t="inlineStr">
        <is>
          <t>Bar Brahma - Granja</t>
        </is>
      </c>
      <c r="D96" t="inlineStr">
        <is>
          <t>HORTA NOVA DISTRIBUIDORA DE HORTIFRUTI LTDA</t>
        </is>
      </c>
      <c r="E96" t="n">
        <v>200.1</v>
      </c>
      <c r="F96" s="27" t="n">
        <v>46044</v>
      </c>
      <c r="G96" s="27" t="n">
        <v>46044</v>
      </c>
      <c r="H96" s="27" t="n">
        <v>46044</v>
      </c>
      <c r="I96" s="27" t="n">
        <v>46014</v>
      </c>
      <c r="J96" s="27" t="n">
        <v>46028</v>
      </c>
      <c r="K96" t="inlineStr">
        <is>
          <t>Boleto Bancário</t>
        </is>
      </c>
      <c r="L96" t="inlineStr">
        <is>
          <t>Custo Mercadoria Vendida</t>
        </is>
      </c>
      <c r="M96" t="inlineStr">
        <is>
          <t>Insumos - Alimentos</t>
        </is>
      </c>
      <c r="N96" t="inlineStr">
        <is>
          <t>8224</t>
        </is>
      </c>
      <c r="O96" t="inlineStr">
        <is>
          <t>Documentação Aprovada</t>
        </is>
      </c>
      <c r="P96" t="inlineStr">
        <is>
          <t>Aprovado Diretoria</t>
        </is>
      </c>
      <c r="Q96" t="inlineStr">
        <is>
          <t>Aprovado Caixa</t>
        </is>
      </c>
      <c r="R96" t="inlineStr">
        <is>
          <t>Pago</t>
        </is>
      </c>
      <c r="S96" t="n">
        <v>164</v>
      </c>
      <c r="T96" t="inlineStr">
        <is>
          <t>Bar Brahma Granja - FDB Filial - Kamino</t>
        </is>
      </c>
    </row>
    <row r="97">
      <c r="A97" t="n">
        <v>188928</v>
      </c>
      <c r="B97" t="n">
        <v>148</v>
      </c>
      <c r="C97" t="inlineStr">
        <is>
          <t>Bar Brahma - Granja</t>
        </is>
      </c>
      <c r="D97" t="inlineStr">
        <is>
          <t>HORTA NOVA DISTRIBUIDORA DE HORTIFRUTI LTDA</t>
        </is>
      </c>
      <c r="E97" t="n">
        <v>397.62</v>
      </c>
      <c r="F97" s="27" t="n">
        <v>46044</v>
      </c>
      <c r="G97" s="27" t="n">
        <v>46044</v>
      </c>
      <c r="H97" s="27" t="n">
        <v>46044</v>
      </c>
      <c r="I97" s="27" t="n">
        <v>46014</v>
      </c>
      <c r="J97" s="27" t="n">
        <v>46028</v>
      </c>
      <c r="K97" t="inlineStr">
        <is>
          <t>Boleto Bancário</t>
        </is>
      </c>
      <c r="L97" t="inlineStr">
        <is>
          <t>Custo Mercadoria Vendida</t>
        </is>
      </c>
      <c r="M97" t="inlineStr">
        <is>
          <t>Insumos - Alimentos</t>
        </is>
      </c>
      <c r="N97" t="inlineStr">
        <is>
          <t>8225</t>
        </is>
      </c>
      <c r="O97" t="inlineStr">
        <is>
          <t>Documentação Aprovada</t>
        </is>
      </c>
      <c r="P97" t="inlineStr">
        <is>
          <t>Aprovado Diretoria</t>
        </is>
      </c>
      <c r="Q97" t="inlineStr">
        <is>
          <t>Aprovado Caixa</t>
        </is>
      </c>
      <c r="R97" t="inlineStr">
        <is>
          <t>Pago</t>
        </is>
      </c>
      <c r="S97" t="n">
        <v>164</v>
      </c>
      <c r="T97" t="inlineStr">
        <is>
          <t>Bar Brahma Granja - FDB Filial - Kamino</t>
        </is>
      </c>
    </row>
    <row r="98">
      <c r="A98" t="n">
        <v>192272</v>
      </c>
      <c r="B98" t="n">
        <v>148</v>
      </c>
      <c r="C98" t="inlineStr">
        <is>
          <t>Bar Brahma - Granja</t>
        </is>
      </c>
      <c r="D98" t="inlineStr">
        <is>
          <t>ESTAFF SOLUCOES TECNOLOGICAS DE AGENCIAMENTO LTDA</t>
        </is>
      </c>
      <c r="E98" t="n">
        <v>7076.67</v>
      </c>
      <c r="F98" s="27" t="n">
        <v>46044</v>
      </c>
      <c r="G98" s="27" t="n">
        <v>46044</v>
      </c>
      <c r="H98" s="27" t="n">
        <v>46044</v>
      </c>
      <c r="I98" s="27" t="n">
        <v>46033</v>
      </c>
      <c r="J98" s="27" t="n">
        <v>46036</v>
      </c>
      <c r="K98" t="inlineStr">
        <is>
          <t>Boleto Bancário</t>
        </is>
      </c>
      <c r="L98" t="inlineStr">
        <is>
          <t>Mão de Obra - Extra</t>
        </is>
      </c>
      <c r="M98" t="inlineStr">
        <is>
          <t>Mão de Obra Extra</t>
        </is>
      </c>
      <c r="N98" t="inlineStr">
        <is>
          <t>18016-28198</t>
        </is>
      </c>
      <c r="O98" t="inlineStr">
        <is>
          <t>Documentação Aprovada</t>
        </is>
      </c>
      <c r="P98" t="inlineStr">
        <is>
          <t>Aprovado Diretoria</t>
        </is>
      </c>
      <c r="Q98" t="inlineStr">
        <is>
          <t>Aprovado Caixa</t>
        </is>
      </c>
      <c r="R98" t="inlineStr">
        <is>
          <t>Pago</t>
        </is>
      </c>
      <c r="S98" t="n">
        <v>164</v>
      </c>
      <c r="T98" t="inlineStr">
        <is>
          <t>Bar Brahma Granja - FDB Filial - Kamino</t>
        </is>
      </c>
    </row>
    <row r="99">
      <c r="A99" t="n">
        <v>192274</v>
      </c>
      <c r="B99" t="n">
        <v>148</v>
      </c>
      <c r="C99" t="inlineStr">
        <is>
          <t>Bar Brahma - Granja</t>
        </is>
      </c>
      <c r="D99" t="inlineStr">
        <is>
          <t>MULTIFRANGOS COMERCIO DE ALIMENTOS LTDA</t>
        </is>
      </c>
      <c r="E99" t="n">
        <v>375.52</v>
      </c>
      <c r="F99" s="27" t="n">
        <v>46044</v>
      </c>
      <c r="G99" s="27" t="n">
        <v>46044</v>
      </c>
      <c r="H99" s="27" t="n">
        <v>46044</v>
      </c>
      <c r="I99" s="27" t="n">
        <v>46030</v>
      </c>
      <c r="J99" s="27" t="n">
        <v>46036</v>
      </c>
      <c r="K99" t="inlineStr">
        <is>
          <t>Boleto Bancário</t>
        </is>
      </c>
      <c r="L99" t="inlineStr">
        <is>
          <t>Custo Mercadoria Vendida</t>
        </is>
      </c>
      <c r="M99" t="inlineStr">
        <is>
          <t>Insumos - Alimentos</t>
        </is>
      </c>
      <c r="N99" t="inlineStr">
        <is>
          <t>938463</t>
        </is>
      </c>
      <c r="O99" t="inlineStr">
        <is>
          <t>Documentação Aprovada</t>
        </is>
      </c>
      <c r="P99" t="inlineStr">
        <is>
          <t>Aprovado Diretoria</t>
        </is>
      </c>
      <c r="Q99" t="inlineStr">
        <is>
          <t>Aprovado Caixa</t>
        </is>
      </c>
      <c r="R99" t="inlineStr">
        <is>
          <t>Pago</t>
        </is>
      </c>
      <c r="S99" t="n">
        <v>164</v>
      </c>
      <c r="T99" t="inlineStr">
        <is>
          <t>Bar Brahma Granja - FDB Filial - Kamino</t>
        </is>
      </c>
    </row>
    <row r="100">
      <c r="A100" t="n">
        <v>187036</v>
      </c>
      <c r="B100" t="n">
        <v>148</v>
      </c>
      <c r="C100" t="inlineStr">
        <is>
          <t>Bar Brahma - Granja</t>
        </is>
      </c>
      <c r="D100" t="inlineStr">
        <is>
          <t>ANDREIA SANTOS FREITAS DUARTE</t>
        </is>
      </c>
      <c r="E100" t="n">
        <v>724</v>
      </c>
      <c r="F100" s="27" t="n">
        <v>46044</v>
      </c>
      <c r="G100" s="27" t="n">
        <v>46044</v>
      </c>
      <c r="H100" s="27" t="n">
        <v>46044</v>
      </c>
      <c r="I100" s="27" t="n">
        <v>46009</v>
      </c>
      <c r="J100" s="27" t="n">
        <v>46021</v>
      </c>
      <c r="K100" t="inlineStr">
        <is>
          <t>Boleto Bancário</t>
        </is>
      </c>
      <c r="L100" t="inlineStr">
        <is>
          <t>Utilidades</t>
        </is>
      </c>
      <c r="M100" t="inlineStr">
        <is>
          <t>Higiene e Limpeza</t>
        </is>
      </c>
      <c r="N100" t="inlineStr">
        <is>
          <t>2351</t>
        </is>
      </c>
      <c r="O100" t="inlineStr">
        <is>
          <t>Documentação Aprovada</t>
        </is>
      </c>
      <c r="P100" t="inlineStr">
        <is>
          <t>Aprovado Diretoria</t>
        </is>
      </c>
      <c r="Q100" t="inlineStr">
        <is>
          <t>Aprovado Caixa</t>
        </is>
      </c>
      <c r="R100" t="inlineStr">
        <is>
          <t>Pago</t>
        </is>
      </c>
      <c r="S100" t="n">
        <v>164</v>
      </c>
      <c r="T100" t="inlineStr">
        <is>
          <t>Bar Brahma Granja - FDB Filial - Kamino</t>
        </is>
      </c>
    </row>
    <row r="101">
      <c r="A101" t="n">
        <v>187032</v>
      </c>
      <c r="B101" t="n">
        <v>148</v>
      </c>
      <c r="C101" t="inlineStr">
        <is>
          <t>Bar Brahma - Granja</t>
        </is>
      </c>
      <c r="D101" t="inlineStr">
        <is>
          <t>ANDREIA SANTOS FREITAS DUARTE</t>
        </is>
      </c>
      <c r="E101" t="n">
        <v>190.92</v>
      </c>
      <c r="F101" s="27" t="n">
        <v>46044</v>
      </c>
      <c r="G101" s="27" t="n">
        <v>46044</v>
      </c>
      <c r="H101" s="27" t="n">
        <v>46044</v>
      </c>
      <c r="I101" s="27" t="n">
        <v>46009</v>
      </c>
      <c r="J101" s="27" t="n">
        <v>46021</v>
      </c>
      <c r="K101" t="inlineStr">
        <is>
          <t>Boleto Bancário</t>
        </is>
      </c>
      <c r="L101" t="inlineStr">
        <is>
          <t>Utilidades</t>
        </is>
      </c>
      <c r="M101" t="inlineStr">
        <is>
          <t>Higiene e Limpeza</t>
        </is>
      </c>
      <c r="N101" t="inlineStr">
        <is>
          <t>2352</t>
        </is>
      </c>
      <c r="O101" t="inlineStr">
        <is>
          <t>Documentação Aprovada</t>
        </is>
      </c>
      <c r="P101" t="inlineStr">
        <is>
          <t>Aprovado Diretoria</t>
        </is>
      </c>
      <c r="Q101" t="inlineStr">
        <is>
          <t>Aprovado Caixa</t>
        </is>
      </c>
      <c r="R101" t="inlineStr">
        <is>
          <t>Pago</t>
        </is>
      </c>
      <c r="S101" t="n">
        <v>164</v>
      </c>
      <c r="T101" t="inlineStr">
        <is>
          <t>Bar Brahma Granja - FDB Filial - Kamino</t>
        </is>
      </c>
    </row>
    <row r="102">
      <c r="A102" t="n">
        <v>187659</v>
      </c>
      <c r="B102" t="n">
        <v>148</v>
      </c>
      <c r="C102" t="inlineStr">
        <is>
          <t>Bar Brahma - Granja</t>
        </is>
      </c>
      <c r="D102" t="inlineStr">
        <is>
          <t xml:space="preserve">EDIMAR MOURA TARTAGLIONI SERVICOES DE DEDETIZACAO </t>
        </is>
      </c>
      <c r="E102" t="n">
        <v>400</v>
      </c>
      <c r="F102" s="27" t="n">
        <v>46052</v>
      </c>
      <c r="G102" s="27" t="n">
        <v>46044</v>
      </c>
      <c r="H102" s="27" t="n">
        <v>46044</v>
      </c>
      <c r="I102" s="27" t="n">
        <v>46029</v>
      </c>
      <c r="J102" s="27" t="n">
        <v>46024</v>
      </c>
      <c r="K102" t="inlineStr">
        <is>
          <t>Transferência Bancária ou Pix</t>
        </is>
      </c>
      <c r="L102" t="inlineStr">
        <is>
          <t>Utilidades</t>
        </is>
      </c>
      <c r="M102" t="inlineStr">
        <is>
          <t>Controle de Pragas</t>
        </is>
      </c>
      <c r="N102" t="inlineStr">
        <is>
          <t>654</t>
        </is>
      </c>
      <c r="O102" t="inlineStr">
        <is>
          <t>Documentação Aprovada</t>
        </is>
      </c>
      <c r="P102" t="inlineStr">
        <is>
          <t>Aprovado Diretoria</t>
        </is>
      </c>
      <c r="Q102" t="inlineStr">
        <is>
          <t>Aprovado Caixa</t>
        </is>
      </c>
      <c r="R102" t="inlineStr">
        <is>
          <t>Pago</t>
        </is>
      </c>
      <c r="S102" t="n">
        <v>164</v>
      </c>
      <c r="T102" t="inlineStr">
        <is>
          <t>Bar Brahma Granja - FDB Filial - Kamino</t>
        </is>
      </c>
    </row>
    <row r="103">
      <c r="A103" t="n">
        <v>188571</v>
      </c>
      <c r="B103" t="n">
        <v>148</v>
      </c>
      <c r="C103" t="inlineStr">
        <is>
          <t>Bar Brahma - Granja</t>
        </is>
      </c>
      <c r="D103" t="inlineStr">
        <is>
          <t>AMBEV S. A. - CDD SAO PAULO</t>
        </is>
      </c>
      <c r="E103" t="n">
        <v>558.1799999999999</v>
      </c>
      <c r="F103" s="27" t="n">
        <v>46044</v>
      </c>
      <c r="G103" s="27" t="n">
        <v>46044</v>
      </c>
      <c r="H103" s="27" t="n">
        <v>46044</v>
      </c>
      <c r="I103" s="27" t="n">
        <v>46013</v>
      </c>
      <c r="J103" s="27" t="n">
        <v>46027</v>
      </c>
      <c r="K103" t="inlineStr">
        <is>
          <t>Boleto Bancário</t>
        </is>
      </c>
      <c r="L103" t="inlineStr">
        <is>
          <t>Custo Mercadoria Vendida</t>
        </is>
      </c>
      <c r="M103" t="inlineStr">
        <is>
          <t>Insumos - Bebidas</t>
        </is>
      </c>
      <c r="N103" t="inlineStr">
        <is>
          <t>983246</t>
        </is>
      </c>
      <c r="O103" t="inlineStr">
        <is>
          <t>Documentação Aprovada</t>
        </is>
      </c>
      <c r="P103" t="inlineStr">
        <is>
          <t>Aprovado Diretoria</t>
        </is>
      </c>
      <c r="Q103" t="inlineStr">
        <is>
          <t>Aprovado Caixa</t>
        </is>
      </c>
      <c r="R103" t="inlineStr">
        <is>
          <t>Pago</t>
        </is>
      </c>
      <c r="S103" t="n">
        <v>164</v>
      </c>
      <c r="T103" t="inlineStr">
        <is>
          <t>Bar Brahma Granja - FDB Filial - Kamino</t>
        </is>
      </c>
    </row>
    <row r="104">
      <c r="A104" t="n">
        <v>197818</v>
      </c>
      <c r="B104" t="n">
        <v>148</v>
      </c>
      <c r="C104" t="inlineStr">
        <is>
          <t>Bar Brahma - Granja</t>
        </is>
      </c>
      <c r="D104" t="inlineStr">
        <is>
          <t xml:space="preserve">KAMINO INSTITUICAO DE PAGAMENTO LTDA </t>
        </is>
      </c>
      <c r="E104" t="n">
        <v>0.5</v>
      </c>
      <c r="F104" s="27" t="n">
        <v>46044</v>
      </c>
      <c r="G104" s="27" t="n"/>
      <c r="H104" s="27" t="n">
        <v>46044</v>
      </c>
      <c r="I104" s="27" t="n">
        <v>46044</v>
      </c>
      <c r="J104" s="27" t="n"/>
      <c r="K104" t="inlineStr">
        <is>
          <t xml:space="preserve">Debito Automático </t>
        </is>
      </c>
      <c r="L104" t="inlineStr">
        <is>
          <t>Despesas Financeiras</t>
        </is>
      </c>
      <c r="M104" t="inlineStr">
        <is>
          <t>Tarifas Bancárias</t>
        </is>
      </c>
      <c r="O104" t="inlineStr">
        <is>
          <t>Documentação Aprovada</t>
        </is>
      </c>
      <c r="P104" t="inlineStr">
        <is>
          <t>Aprovado Diretoria</t>
        </is>
      </c>
      <c r="Q104" t="inlineStr">
        <is>
          <t>Aprovado Caixa</t>
        </is>
      </c>
      <c r="R104" t="inlineStr">
        <is>
          <t>Pago</t>
        </is>
      </c>
      <c r="S104" t="n">
        <v>148</v>
      </c>
      <c r="T104" t="inlineStr">
        <is>
          <t>Bar Brahma Granja - Tutum Filial - Kamino</t>
        </is>
      </c>
    </row>
    <row r="105">
      <c r="A105" t="n">
        <v>195945</v>
      </c>
      <c r="B105" t="n">
        <v>148</v>
      </c>
      <c r="C105" t="inlineStr">
        <is>
          <t>Bar Brahma - Granja</t>
        </is>
      </c>
      <c r="D105" t="inlineStr">
        <is>
          <t>CAIXA ECONOMICA FEDERAL</t>
        </is>
      </c>
      <c r="E105" t="n">
        <v>8.449999999999999</v>
      </c>
      <c r="F105" s="27" t="n">
        <v>46043</v>
      </c>
      <c r="G105" s="27" t="n"/>
      <c r="H105" s="27" t="n">
        <v>46043</v>
      </c>
      <c r="I105" s="27" t="n">
        <v>46043</v>
      </c>
      <c r="J105" s="27" t="n"/>
      <c r="K105" t="inlineStr">
        <is>
          <t xml:space="preserve">Debito Automático </t>
        </is>
      </c>
      <c r="L105" t="inlineStr">
        <is>
          <t>Despesas Financeiras</t>
        </is>
      </c>
      <c r="M105" t="inlineStr">
        <is>
          <t>Tarifas Bancárias</t>
        </is>
      </c>
      <c r="O105" t="inlineStr">
        <is>
          <t>Documentação Aprovada</t>
        </is>
      </c>
      <c r="P105" t="inlineStr">
        <is>
          <t>Aprovado Diretoria</t>
        </is>
      </c>
      <c r="Q105" t="inlineStr">
        <is>
          <t>Aprovado Caixa</t>
        </is>
      </c>
      <c r="R105" t="inlineStr">
        <is>
          <t>Pago</t>
        </is>
      </c>
      <c r="S105" t="n">
        <v>187</v>
      </c>
      <c r="T105" t="inlineStr">
        <is>
          <t>Bar Brahma Granja - FDB Novo - Caixa</t>
        </is>
      </c>
    </row>
    <row r="106">
      <c r="A106" t="n">
        <v>188579</v>
      </c>
      <c r="B106" t="n">
        <v>148</v>
      </c>
      <c r="C106" t="inlineStr">
        <is>
          <t>Bar Brahma - Granja</t>
        </is>
      </c>
      <c r="D106" t="inlineStr">
        <is>
          <t>HORTA NOVA DISTRIBUIDORA DE HORTIFRUTI LTDA</t>
        </is>
      </c>
      <c r="E106" t="n">
        <v>164.47</v>
      </c>
      <c r="F106" s="27" t="n">
        <v>46043</v>
      </c>
      <c r="G106" s="27" t="n">
        <v>46043</v>
      </c>
      <c r="H106" s="27" t="n">
        <v>46043</v>
      </c>
      <c r="I106" s="27" t="n">
        <v>46013</v>
      </c>
      <c r="J106" s="27" t="n">
        <v>46027</v>
      </c>
      <c r="K106" t="inlineStr">
        <is>
          <t>Boleto Bancário</t>
        </is>
      </c>
      <c r="L106" t="inlineStr">
        <is>
          <t>Custo Mercadoria Vendida</t>
        </is>
      </c>
      <c r="M106" t="inlineStr">
        <is>
          <t>Insumos - Alimentos</t>
        </is>
      </c>
      <c r="N106" t="inlineStr">
        <is>
          <t>8193</t>
        </is>
      </c>
      <c r="O106" t="inlineStr">
        <is>
          <t>Documentação Aprovada</t>
        </is>
      </c>
      <c r="P106" t="inlineStr">
        <is>
          <t>Aprovado Diretoria</t>
        </is>
      </c>
      <c r="Q106" t="inlineStr">
        <is>
          <t>Aprovado Caixa</t>
        </is>
      </c>
      <c r="R106" t="inlineStr">
        <is>
          <t>Pago</t>
        </is>
      </c>
      <c r="S106" t="n">
        <v>164</v>
      </c>
      <c r="T106" t="inlineStr">
        <is>
          <t>Bar Brahma Granja - FDB Filial - Kamino</t>
        </is>
      </c>
    </row>
    <row r="107">
      <c r="A107" t="n">
        <v>188586</v>
      </c>
      <c r="B107" t="n">
        <v>148</v>
      </c>
      <c r="C107" t="inlineStr">
        <is>
          <t>Bar Brahma - Granja</t>
        </is>
      </c>
      <c r="D107" t="inlineStr">
        <is>
          <t>QUALIMAIS DISTRIBUIDORA E COMERCIO DE BEBIDAS LTDA</t>
        </is>
      </c>
      <c r="E107" t="n">
        <v>455</v>
      </c>
      <c r="F107" s="27" t="n">
        <v>46043</v>
      </c>
      <c r="G107" s="27" t="n">
        <v>46043</v>
      </c>
      <c r="H107" s="27" t="n">
        <v>46043</v>
      </c>
      <c r="I107" s="27" t="n">
        <v>46007</v>
      </c>
      <c r="J107" s="27" t="n">
        <v>46027</v>
      </c>
      <c r="K107" t="inlineStr">
        <is>
          <t>Boleto Bancário</t>
        </is>
      </c>
      <c r="L107" t="inlineStr">
        <is>
          <t>Custo Mercadoria Vendida</t>
        </is>
      </c>
      <c r="M107" t="inlineStr">
        <is>
          <t>Insumos - Bebidas</t>
        </is>
      </c>
      <c r="N107" t="inlineStr">
        <is>
          <t>21273</t>
        </is>
      </c>
      <c r="O107" t="inlineStr">
        <is>
          <t>Documentação Aprovada</t>
        </is>
      </c>
      <c r="P107" t="inlineStr">
        <is>
          <t>Aprovado Diretoria</t>
        </is>
      </c>
      <c r="Q107" t="inlineStr">
        <is>
          <t>Aprovado Caixa</t>
        </is>
      </c>
      <c r="R107" t="inlineStr">
        <is>
          <t>Pago</t>
        </is>
      </c>
      <c r="S107" t="n">
        <v>164</v>
      </c>
      <c r="T107" t="inlineStr">
        <is>
          <t>Bar Brahma Granja - FDB Filial - Kamino</t>
        </is>
      </c>
    </row>
    <row r="108">
      <c r="A108" t="n">
        <v>190078</v>
      </c>
      <c r="B108" t="n">
        <v>148</v>
      </c>
      <c r="C108" t="inlineStr">
        <is>
          <t>Bar Brahma - Granja</t>
        </is>
      </c>
      <c r="D108" t="inlineStr">
        <is>
          <t>GILBERTO FERREIRA SILVA JUNIOR</t>
        </is>
      </c>
      <c r="E108" t="n">
        <v>1000</v>
      </c>
      <c r="F108" s="27" t="n">
        <v>46043</v>
      </c>
      <c r="G108" s="27" t="n">
        <v>46043</v>
      </c>
      <c r="H108" s="27" t="n">
        <v>46043</v>
      </c>
      <c r="I108" s="27" t="n">
        <v>46031</v>
      </c>
      <c r="J108" s="27" t="n">
        <v>46031</v>
      </c>
      <c r="K108" t="inlineStr">
        <is>
          <t>Boleto Bancário</t>
        </is>
      </c>
      <c r="L108" t="inlineStr">
        <is>
          <t>Locação de Equipamentos</t>
        </is>
      </c>
      <c r="M108" t="inlineStr">
        <is>
          <t>Locações de Equipamentos - Operacionais</t>
        </is>
      </c>
      <c r="N108" t="inlineStr">
        <is>
          <t>012026</t>
        </is>
      </c>
      <c r="O108" t="inlineStr">
        <is>
          <t>Documentação Aprovada</t>
        </is>
      </c>
      <c r="P108" t="inlineStr">
        <is>
          <t>Aprovado Diretoria</t>
        </is>
      </c>
      <c r="Q108" t="inlineStr">
        <is>
          <t>Aprovado Caixa</t>
        </is>
      </c>
      <c r="R108" t="inlineStr">
        <is>
          <t>Pago</t>
        </is>
      </c>
      <c r="S108" t="n">
        <v>164</v>
      </c>
      <c r="T108" t="inlineStr">
        <is>
          <t>Bar Brahma Granja - FDB Filial - Kamino</t>
        </is>
      </c>
    </row>
    <row r="109">
      <c r="A109" t="n">
        <v>188936</v>
      </c>
      <c r="B109" t="n">
        <v>148</v>
      </c>
      <c r="C109" t="inlineStr">
        <is>
          <t>Bar Brahma - Granja</t>
        </is>
      </c>
      <c r="D109" t="inlineStr">
        <is>
          <t>DTK COMERCIO DE ALIMENTOS LTDA</t>
        </is>
      </c>
      <c r="E109" t="n">
        <v>3121.86</v>
      </c>
      <c r="F109" s="27" t="n">
        <v>46043</v>
      </c>
      <c r="G109" s="27" t="n">
        <v>46043</v>
      </c>
      <c r="H109" s="27" t="n">
        <v>46043</v>
      </c>
      <c r="I109" s="27" t="n">
        <v>46015</v>
      </c>
      <c r="J109" s="27" t="n">
        <v>46028</v>
      </c>
      <c r="K109" t="inlineStr">
        <is>
          <t>Boleto Bancário</t>
        </is>
      </c>
      <c r="L109" t="inlineStr">
        <is>
          <t>Custo Mercadoria Vendida</t>
        </is>
      </c>
      <c r="M109" t="inlineStr">
        <is>
          <t>Insumos - Alimentos</t>
        </is>
      </c>
      <c r="N109" t="inlineStr">
        <is>
          <t>58722</t>
        </is>
      </c>
      <c r="O109" t="inlineStr">
        <is>
          <t>Documentação Aprovada</t>
        </is>
      </c>
      <c r="P109" t="inlineStr">
        <is>
          <t>Aprovado Diretoria</t>
        </is>
      </c>
      <c r="Q109" t="inlineStr">
        <is>
          <t>Aprovado Caixa</t>
        </is>
      </c>
      <c r="R109" t="inlineStr">
        <is>
          <t>Pago</t>
        </is>
      </c>
      <c r="S109" t="n">
        <v>164</v>
      </c>
      <c r="T109" t="inlineStr">
        <is>
          <t>Bar Brahma Granja - FDB Filial - Kamino</t>
        </is>
      </c>
    </row>
    <row r="110">
      <c r="A110" t="n">
        <v>192299</v>
      </c>
      <c r="B110" t="n">
        <v>148</v>
      </c>
      <c r="C110" t="inlineStr">
        <is>
          <t>Bar Brahma - Granja</t>
        </is>
      </c>
      <c r="D110" t="inlineStr">
        <is>
          <t>CASA DE CARNES P.J.J.LTDA</t>
        </is>
      </c>
      <c r="E110" t="n">
        <v>335.25</v>
      </c>
      <c r="F110" s="27" t="n">
        <v>46043</v>
      </c>
      <c r="G110" s="27" t="n">
        <v>46043</v>
      </c>
      <c r="H110" s="27" t="n">
        <v>46043</v>
      </c>
      <c r="I110" s="27" t="n">
        <v>46028</v>
      </c>
      <c r="J110" s="27" t="n">
        <v>46036</v>
      </c>
      <c r="K110" t="inlineStr">
        <is>
          <t>Boleto Bancário</t>
        </is>
      </c>
      <c r="L110" t="inlineStr">
        <is>
          <t>Custo Mercadoria Vendida</t>
        </is>
      </c>
      <c r="M110" t="inlineStr">
        <is>
          <t>Insumos - Alimentos</t>
        </is>
      </c>
      <c r="N110" t="inlineStr">
        <is>
          <t>5322</t>
        </is>
      </c>
      <c r="O110" t="inlineStr">
        <is>
          <t>Documentação Aprovada</t>
        </is>
      </c>
      <c r="P110" t="inlineStr">
        <is>
          <t>Aprovado Diretoria</t>
        </is>
      </c>
      <c r="Q110" t="inlineStr">
        <is>
          <t>Aprovado Caixa</t>
        </is>
      </c>
      <c r="R110" t="inlineStr">
        <is>
          <t>Pago</t>
        </is>
      </c>
      <c r="S110" t="n">
        <v>164</v>
      </c>
      <c r="T110" t="inlineStr">
        <is>
          <t>Bar Brahma Granja - FDB Filial - Kamino</t>
        </is>
      </c>
    </row>
    <row r="111">
      <c r="A111" t="n">
        <v>192297</v>
      </c>
      <c r="B111" t="n">
        <v>148</v>
      </c>
      <c r="C111" t="inlineStr">
        <is>
          <t>Bar Brahma - Granja</t>
        </is>
      </c>
      <c r="D111" t="inlineStr">
        <is>
          <t>AAP CASTRO &amp; FERNANDES LTDA ME</t>
        </is>
      </c>
      <c r="E111" t="n">
        <v>263.34</v>
      </c>
      <c r="F111" s="27" t="n">
        <v>46043</v>
      </c>
      <c r="G111" s="27" t="n">
        <v>46043</v>
      </c>
      <c r="H111" s="27" t="n">
        <v>46043</v>
      </c>
      <c r="I111" s="27" t="n">
        <v>46028</v>
      </c>
      <c r="J111" s="27" t="n">
        <v>46036</v>
      </c>
      <c r="K111" t="inlineStr">
        <is>
          <t>Boleto Bancário</t>
        </is>
      </c>
      <c r="L111" t="inlineStr">
        <is>
          <t>Custo Mercadoria Vendida</t>
        </is>
      </c>
      <c r="M111" t="inlineStr">
        <is>
          <t>Insumos - Alimentos</t>
        </is>
      </c>
      <c r="N111" t="inlineStr">
        <is>
          <t>132</t>
        </is>
      </c>
      <c r="O111" t="inlineStr">
        <is>
          <t>Documentação Aprovada</t>
        </is>
      </c>
      <c r="P111" t="inlineStr">
        <is>
          <t>Aprovado Diretoria</t>
        </is>
      </c>
      <c r="Q111" t="inlineStr">
        <is>
          <t>Aprovado Caixa</t>
        </is>
      </c>
      <c r="R111" t="inlineStr">
        <is>
          <t>Pago</t>
        </is>
      </c>
      <c r="S111" t="n">
        <v>164</v>
      </c>
      <c r="T111" t="inlineStr">
        <is>
          <t>Bar Brahma Granja - FDB Filial - Kamino</t>
        </is>
      </c>
    </row>
    <row r="112">
      <c r="A112" t="n">
        <v>192338</v>
      </c>
      <c r="B112" t="n">
        <v>148</v>
      </c>
      <c r="C112" t="inlineStr">
        <is>
          <t>Bar Brahma - Granja</t>
        </is>
      </c>
      <c r="D112" t="inlineStr">
        <is>
          <t>KING COMERCIO E IMPORTACAO DE BEBIDAS LTDA</t>
        </is>
      </c>
      <c r="E112" t="n">
        <v>190.83</v>
      </c>
      <c r="F112" s="27" t="n">
        <v>46043</v>
      </c>
      <c r="G112" s="27" t="n">
        <v>46043</v>
      </c>
      <c r="H112" s="27" t="n">
        <v>46043</v>
      </c>
      <c r="I112" s="27" t="n">
        <v>46029</v>
      </c>
      <c r="J112" s="27" t="n">
        <v>46036</v>
      </c>
      <c r="K112" t="inlineStr">
        <is>
          <t>Boleto Bancário</t>
        </is>
      </c>
      <c r="L112" t="inlineStr">
        <is>
          <t>Custo Mercadoria Vendida</t>
        </is>
      </c>
      <c r="M112" t="inlineStr">
        <is>
          <t>Insumos - Bebidas</t>
        </is>
      </c>
      <c r="N112" t="inlineStr">
        <is>
          <t>124606</t>
        </is>
      </c>
      <c r="O112" t="inlineStr">
        <is>
          <t>Documentação Aprovada</t>
        </is>
      </c>
      <c r="P112" t="inlineStr">
        <is>
          <t>Aprovado Diretoria</t>
        </is>
      </c>
      <c r="Q112" t="inlineStr">
        <is>
          <t>Aprovado Caixa</t>
        </is>
      </c>
      <c r="R112" t="inlineStr">
        <is>
          <t>Pago</t>
        </is>
      </c>
      <c r="S112" t="n">
        <v>164</v>
      </c>
      <c r="T112" t="inlineStr">
        <is>
          <t>Bar Brahma Granja - FDB Filial - Kamino</t>
        </is>
      </c>
    </row>
    <row r="113">
      <c r="A113" t="n">
        <v>191775</v>
      </c>
      <c r="B113" t="n">
        <v>148</v>
      </c>
      <c r="C113" t="inlineStr">
        <is>
          <t>Bar Brahma - Granja</t>
        </is>
      </c>
      <c r="D113" t="inlineStr">
        <is>
          <t>FABIO APARECIDO MARQUES</t>
        </is>
      </c>
      <c r="E113" t="n">
        <v>1509.1</v>
      </c>
      <c r="F113" s="27" t="n">
        <v>46042</v>
      </c>
      <c r="G113" s="27" t="n">
        <v>46042</v>
      </c>
      <c r="H113" s="27" t="n">
        <v>46042</v>
      </c>
      <c r="I113" s="27" t="n">
        <v>46023</v>
      </c>
      <c r="J113" s="27" t="n">
        <v>46035</v>
      </c>
      <c r="K113" t="inlineStr">
        <is>
          <t>Transferência Bancária ou Pix</t>
        </is>
      </c>
      <c r="L113" t="inlineStr">
        <is>
          <t>Mão de Obra - Encargos e Provisões</t>
        </is>
      </c>
      <c r="M113" t="inlineStr">
        <is>
          <t xml:space="preserve">  -  Rescisão</t>
        </is>
      </c>
      <c r="N113" t="inlineStr">
        <is>
          <t>150910 012026</t>
        </is>
      </c>
      <c r="O113" t="inlineStr">
        <is>
          <t>Documentação Aprovada</t>
        </is>
      </c>
      <c r="P113" t="inlineStr">
        <is>
          <t>Aprovado Diretoria</t>
        </is>
      </c>
      <c r="Q113" t="inlineStr">
        <is>
          <t>Aprovado Caixa</t>
        </is>
      </c>
      <c r="R113" t="inlineStr">
        <is>
          <t>Pago</t>
        </is>
      </c>
      <c r="S113" t="n">
        <v>148</v>
      </c>
      <c r="T113" t="inlineStr">
        <is>
          <t>Bar Brahma Granja - Tutum Filial - Kamino</t>
        </is>
      </c>
    </row>
    <row r="114">
      <c r="A114" t="n">
        <v>191031</v>
      </c>
      <c r="B114" t="n">
        <v>148</v>
      </c>
      <c r="C114" t="inlineStr">
        <is>
          <t>Bar Brahma - Granja</t>
        </is>
      </c>
      <c r="D114" t="inlineStr">
        <is>
          <t>ICE BRASIL COMERCIO DE GELO LTDA EPP</t>
        </is>
      </c>
      <c r="E114" t="n">
        <v>1545</v>
      </c>
      <c r="F114" s="27" t="n">
        <v>46042</v>
      </c>
      <c r="G114" s="27" t="n">
        <v>46042</v>
      </c>
      <c r="H114" s="27" t="n">
        <v>46042</v>
      </c>
      <c r="I114" s="27" t="n">
        <v>46030</v>
      </c>
      <c r="J114" s="27" t="n">
        <v>46034</v>
      </c>
      <c r="K114" t="inlineStr">
        <is>
          <t>Boleto Bancário</t>
        </is>
      </c>
      <c r="L114" t="inlineStr">
        <is>
          <t>Locação de Equipamentos</t>
        </is>
      </c>
      <c r="M114" t="inlineStr">
        <is>
          <t>Locações de Equipamentos - Operacionais</t>
        </is>
      </c>
      <c r="N114" t="inlineStr">
        <is>
          <t>3173-176/1</t>
        </is>
      </c>
      <c r="O114" t="inlineStr">
        <is>
          <t>Documentação Aprovada</t>
        </is>
      </c>
      <c r="P114" t="inlineStr">
        <is>
          <t>Aprovado Diretoria</t>
        </is>
      </c>
      <c r="Q114" t="inlineStr">
        <is>
          <t>Aprovado Caixa</t>
        </is>
      </c>
      <c r="R114" t="inlineStr">
        <is>
          <t>Pago</t>
        </is>
      </c>
      <c r="S114" t="n">
        <v>164</v>
      </c>
      <c r="T114" t="inlineStr">
        <is>
          <t>Bar Brahma Granja - FDB Filial - Kamino</t>
        </is>
      </c>
    </row>
    <row r="115">
      <c r="A115" t="n">
        <v>188738</v>
      </c>
      <c r="B115" t="n">
        <v>148</v>
      </c>
      <c r="C115" t="inlineStr">
        <is>
          <t>Bar Brahma - Granja</t>
        </is>
      </c>
      <c r="D115" t="inlineStr">
        <is>
          <t>30.365.122 HIDEKI HENRIQUE KAWAMOTO</t>
        </is>
      </c>
      <c r="E115" t="n">
        <v>515</v>
      </c>
      <c r="F115" s="27" t="n">
        <v>46042</v>
      </c>
      <c r="G115" s="27" t="n">
        <v>46042</v>
      </c>
      <c r="H115" s="27" t="n">
        <v>46042</v>
      </c>
      <c r="I115" s="27" t="n">
        <v>46020</v>
      </c>
      <c r="J115" s="27" t="n">
        <v>46027</v>
      </c>
      <c r="K115" t="inlineStr">
        <is>
          <t>Boleto Bancário</t>
        </is>
      </c>
      <c r="L115" t="inlineStr">
        <is>
          <t>Custo Mercadoria Vendida</t>
        </is>
      </c>
      <c r="M115" t="inlineStr">
        <is>
          <t>Insumos - Alimentos</t>
        </is>
      </c>
      <c r="N115" t="inlineStr">
        <is>
          <t>1673</t>
        </is>
      </c>
      <c r="O115" t="inlineStr">
        <is>
          <t>Documentação Aprovada</t>
        </is>
      </c>
      <c r="P115" t="inlineStr">
        <is>
          <t>Aprovado Diretoria</t>
        </is>
      </c>
      <c r="Q115" t="inlineStr">
        <is>
          <t>Aprovado Caixa</t>
        </is>
      </c>
      <c r="R115" t="inlineStr">
        <is>
          <t>Pago</t>
        </is>
      </c>
      <c r="S115" t="n">
        <v>164</v>
      </c>
      <c r="T115" t="inlineStr">
        <is>
          <t>Bar Brahma Granja - FDB Filial - Kamino</t>
        </is>
      </c>
    </row>
    <row r="116">
      <c r="A116" t="n">
        <v>188932</v>
      </c>
      <c r="B116" t="n">
        <v>148</v>
      </c>
      <c r="C116" t="inlineStr">
        <is>
          <t>Bar Brahma - Granja</t>
        </is>
      </c>
      <c r="D116" t="inlineStr">
        <is>
          <t>ICE4PROS FABRICA DE GELO LTDA</t>
        </is>
      </c>
      <c r="E116" t="n">
        <v>217.06</v>
      </c>
      <c r="F116" s="27" t="n">
        <v>46042</v>
      </c>
      <c r="G116" s="27" t="n">
        <v>46042</v>
      </c>
      <c r="H116" s="27" t="n">
        <v>46042</v>
      </c>
      <c r="I116" s="27" t="n">
        <v>46014</v>
      </c>
      <c r="J116" s="27" t="n">
        <v>46028</v>
      </c>
      <c r="K116" t="inlineStr">
        <is>
          <t>Boleto Bancário</t>
        </is>
      </c>
      <c r="L116" t="inlineStr">
        <is>
          <t>Custo Mercadoria Vendida</t>
        </is>
      </c>
      <c r="M116" t="inlineStr">
        <is>
          <t>Insumos - Bebidas</t>
        </is>
      </c>
      <c r="N116" t="inlineStr">
        <is>
          <t>90760</t>
        </is>
      </c>
      <c r="O116" t="inlineStr">
        <is>
          <t>Documentação Aprovada</t>
        </is>
      </c>
      <c r="P116" t="inlineStr">
        <is>
          <t>Aprovado Diretoria</t>
        </is>
      </c>
      <c r="Q116" t="inlineStr">
        <is>
          <t>Aprovado Caixa</t>
        </is>
      </c>
      <c r="R116" t="inlineStr">
        <is>
          <t>Pago</t>
        </is>
      </c>
      <c r="S116" t="n">
        <v>164</v>
      </c>
      <c r="T116" t="inlineStr">
        <is>
          <t>Bar Brahma Granja - FDB Filial - Kamino</t>
        </is>
      </c>
    </row>
    <row r="117">
      <c r="A117" t="n">
        <v>188920</v>
      </c>
      <c r="B117" t="n">
        <v>148</v>
      </c>
      <c r="C117" t="inlineStr">
        <is>
          <t>Bar Brahma - Granja</t>
        </is>
      </c>
      <c r="D117" t="inlineStr">
        <is>
          <t>EMPORIO M&amp;L COMERCIO DE ALIM E BEBIDAS LTDA</t>
        </is>
      </c>
      <c r="E117" t="n">
        <v>3265.77</v>
      </c>
      <c r="F117" s="27" t="n">
        <v>46042</v>
      </c>
      <c r="G117" s="27" t="n">
        <v>46042</v>
      </c>
      <c r="H117" s="27" t="n">
        <v>46042</v>
      </c>
      <c r="I117" s="27" t="n">
        <v>46014</v>
      </c>
      <c r="J117" s="27" t="n">
        <v>46028</v>
      </c>
      <c r="K117" t="inlineStr">
        <is>
          <t>Boleto Bancário</t>
        </is>
      </c>
      <c r="L117" t="inlineStr">
        <is>
          <t>Custo Mercadoria Vendida</t>
        </is>
      </c>
      <c r="M117" t="inlineStr">
        <is>
          <t>Insumos - Alimentos</t>
        </is>
      </c>
      <c r="N117" t="inlineStr">
        <is>
          <t>488732</t>
        </is>
      </c>
      <c r="O117" t="inlineStr">
        <is>
          <t>Documentação Aprovada</t>
        </is>
      </c>
      <c r="P117" t="inlineStr">
        <is>
          <t>Aprovado Diretoria</t>
        </is>
      </c>
      <c r="Q117" t="inlineStr">
        <is>
          <t>Aprovado Caixa</t>
        </is>
      </c>
      <c r="R117" t="inlineStr">
        <is>
          <t>Pago</t>
        </is>
      </c>
      <c r="S117" t="n">
        <v>164</v>
      </c>
      <c r="T117" t="inlineStr">
        <is>
          <t>Bar Brahma Granja - FDB Filial - Kamino</t>
        </is>
      </c>
    </row>
    <row r="118">
      <c r="A118" t="n">
        <v>188935</v>
      </c>
      <c r="B118" t="n">
        <v>148</v>
      </c>
      <c r="C118" t="inlineStr">
        <is>
          <t>Bar Brahma - Granja</t>
        </is>
      </c>
      <c r="D118" t="inlineStr">
        <is>
          <t>MARIO PEDRO FELICIANO - HORTIFRUTI</t>
        </is>
      </c>
      <c r="E118" t="n">
        <v>321.55</v>
      </c>
      <c r="F118" s="27" t="n">
        <v>46042</v>
      </c>
      <c r="G118" s="27" t="n">
        <v>46042</v>
      </c>
      <c r="H118" s="27" t="n">
        <v>46042</v>
      </c>
      <c r="I118" s="27" t="n">
        <v>46014</v>
      </c>
      <c r="J118" s="27" t="n">
        <v>46028</v>
      </c>
      <c r="K118" t="inlineStr">
        <is>
          <t>Boleto Bancário</t>
        </is>
      </c>
      <c r="L118" t="inlineStr">
        <is>
          <t>Custo Mercadoria Vendida</t>
        </is>
      </c>
      <c r="M118" t="inlineStr">
        <is>
          <t>Insumos - Alimentos</t>
        </is>
      </c>
      <c r="N118" t="inlineStr">
        <is>
          <t>462914</t>
        </is>
      </c>
      <c r="O118" t="inlineStr">
        <is>
          <t>Documentação Aprovada</t>
        </is>
      </c>
      <c r="P118" t="inlineStr">
        <is>
          <t>Aprovado Diretoria</t>
        </is>
      </c>
      <c r="Q118" t="inlineStr">
        <is>
          <t>Aprovado Caixa</t>
        </is>
      </c>
      <c r="R118" t="inlineStr">
        <is>
          <t>Pago</t>
        </is>
      </c>
      <c r="S118" t="n">
        <v>164</v>
      </c>
      <c r="T118" t="inlineStr">
        <is>
          <t>Bar Brahma Granja - FDB Filial - Kamino</t>
        </is>
      </c>
    </row>
    <row r="119">
      <c r="A119" t="n">
        <v>188744</v>
      </c>
      <c r="B119" t="n">
        <v>148</v>
      </c>
      <c r="C119" t="inlineStr">
        <is>
          <t>Bar Brahma - Granja</t>
        </is>
      </c>
      <c r="D119" t="inlineStr">
        <is>
          <t>LATICINIOS PIRAMIDE LTDA</t>
        </is>
      </c>
      <c r="E119" t="n">
        <v>2878.4</v>
      </c>
      <c r="F119" s="27" t="n">
        <v>46042</v>
      </c>
      <c r="G119" s="27" t="n">
        <v>46042</v>
      </c>
      <c r="H119" s="27" t="n">
        <v>46042</v>
      </c>
      <c r="I119" s="27" t="n">
        <v>46021</v>
      </c>
      <c r="J119" s="27" t="n">
        <v>46027</v>
      </c>
      <c r="K119" t="inlineStr">
        <is>
          <t>Boleto Bancário</t>
        </is>
      </c>
      <c r="L119" t="inlineStr">
        <is>
          <t>Custo Mercadoria Vendida</t>
        </is>
      </c>
      <c r="M119" t="inlineStr">
        <is>
          <t>Insumos - Alimentos</t>
        </is>
      </c>
      <c r="N119" t="inlineStr">
        <is>
          <t>80861</t>
        </is>
      </c>
      <c r="O119" t="inlineStr">
        <is>
          <t>Documentação Aprovada</t>
        </is>
      </c>
      <c r="P119" t="inlineStr">
        <is>
          <t>Aprovado Diretoria</t>
        </is>
      </c>
      <c r="Q119" t="inlineStr">
        <is>
          <t>Aprovado Caixa</t>
        </is>
      </c>
      <c r="R119" t="inlineStr">
        <is>
          <t>Pago</t>
        </is>
      </c>
      <c r="S119" t="n">
        <v>164</v>
      </c>
      <c r="T119" t="inlineStr">
        <is>
          <t>Bar Brahma Granja - FDB Filial - Kamino</t>
        </is>
      </c>
    </row>
    <row r="120">
      <c r="A120" t="n">
        <v>188753</v>
      </c>
      <c r="B120" t="n">
        <v>148</v>
      </c>
      <c r="C120" t="inlineStr">
        <is>
          <t>Bar Brahma - Granja</t>
        </is>
      </c>
      <c r="D120" t="inlineStr">
        <is>
          <t>LATICINIOS PIRAMIDE LTDA</t>
        </is>
      </c>
      <c r="E120" t="n">
        <v>1910.8</v>
      </c>
      <c r="F120" s="27" t="n">
        <v>46042</v>
      </c>
      <c r="G120" s="27" t="n">
        <v>46042</v>
      </c>
      <c r="H120" s="27" t="n">
        <v>46042</v>
      </c>
      <c r="I120" s="27" t="n">
        <v>46021</v>
      </c>
      <c r="J120" s="27" t="n">
        <v>46027</v>
      </c>
      <c r="K120" t="inlineStr">
        <is>
          <t>Boleto Bancário</t>
        </is>
      </c>
      <c r="L120" t="inlineStr">
        <is>
          <t>Custo Mercadoria Vendida</t>
        </is>
      </c>
      <c r="M120" t="inlineStr">
        <is>
          <t>Insumos - Alimentos</t>
        </is>
      </c>
      <c r="N120" t="inlineStr">
        <is>
          <t>80859</t>
        </is>
      </c>
      <c r="O120" t="inlineStr">
        <is>
          <t>Documentação Aprovada</t>
        </is>
      </c>
      <c r="P120" t="inlineStr">
        <is>
          <t>Aprovado Diretoria</t>
        </is>
      </c>
      <c r="Q120" t="inlineStr">
        <is>
          <t>Aprovado Caixa</t>
        </is>
      </c>
      <c r="R120" t="inlineStr">
        <is>
          <t>Pago</t>
        </is>
      </c>
      <c r="S120" t="n">
        <v>164</v>
      </c>
      <c r="T120" t="inlineStr">
        <is>
          <t>Bar Brahma Granja - FDB Filial - Kamino</t>
        </is>
      </c>
    </row>
    <row r="121">
      <c r="A121" t="n">
        <v>189805</v>
      </c>
      <c r="B121" t="n">
        <v>148</v>
      </c>
      <c r="C121" t="inlineStr">
        <is>
          <t>Bar Brahma - Granja</t>
        </is>
      </c>
      <c r="D121" t="inlineStr">
        <is>
          <t>MAR DIRETO POC COMERCIO DE PEIXES LTDA</t>
        </is>
      </c>
      <c r="E121" t="n">
        <v>1190</v>
      </c>
      <c r="F121" s="27" t="n">
        <v>46042</v>
      </c>
      <c r="G121" s="27" t="n">
        <v>46042</v>
      </c>
      <c r="H121" s="27" t="n">
        <v>46042</v>
      </c>
      <c r="I121" s="27" t="n">
        <v>46027</v>
      </c>
      <c r="J121" s="27" t="n">
        <v>46030</v>
      </c>
      <c r="K121" t="inlineStr">
        <is>
          <t>Boleto Bancário</t>
        </is>
      </c>
      <c r="L121" t="inlineStr">
        <is>
          <t>Custo Mercadoria Vendida</t>
        </is>
      </c>
      <c r="M121" t="inlineStr">
        <is>
          <t>Insumos - Alimentos</t>
        </is>
      </c>
      <c r="N121" t="inlineStr">
        <is>
          <t>114166</t>
        </is>
      </c>
      <c r="O121" t="inlineStr">
        <is>
          <t>Documentação Aprovada</t>
        </is>
      </c>
      <c r="P121" t="inlineStr">
        <is>
          <t>Aprovado Diretoria</t>
        </is>
      </c>
      <c r="Q121" t="inlineStr">
        <is>
          <t>Aprovado Caixa</t>
        </is>
      </c>
      <c r="R121" t="inlineStr">
        <is>
          <t>Pago</t>
        </is>
      </c>
      <c r="S121" t="n">
        <v>164</v>
      </c>
      <c r="T121" t="inlineStr">
        <is>
          <t>Bar Brahma Granja - FDB Filial - Kamino</t>
        </is>
      </c>
    </row>
    <row r="122">
      <c r="A122" t="n">
        <v>194078</v>
      </c>
      <c r="B122" t="n">
        <v>148</v>
      </c>
      <c r="C122" t="inlineStr">
        <is>
          <t>Bar Brahma - Granja</t>
        </is>
      </c>
      <c r="D122" t="inlineStr">
        <is>
          <t>MARILIA MARCELINO PEREIRA</t>
        </is>
      </c>
      <c r="E122" t="n">
        <v>721.6</v>
      </c>
      <c r="F122" s="27" t="n">
        <v>46042</v>
      </c>
      <c r="G122" s="27" t="n">
        <v>46042</v>
      </c>
      <c r="H122" s="27" t="n">
        <v>46042</v>
      </c>
      <c r="I122" s="27" t="n">
        <v>46037</v>
      </c>
      <c r="J122" s="27" t="n"/>
      <c r="L122" t="inlineStr">
        <is>
          <t>Mão de Obra - Salários</t>
        </is>
      </c>
      <c r="M122" t="inlineStr">
        <is>
          <t>MDO CLT - Salário</t>
        </is>
      </c>
      <c r="O122" t="inlineStr">
        <is>
          <t>Documentação Aprovada</t>
        </is>
      </c>
      <c r="P122" t="inlineStr">
        <is>
          <t>Aprovado Diretoria</t>
        </is>
      </c>
      <c r="Q122" t="inlineStr">
        <is>
          <t>Aprovado Caixa</t>
        </is>
      </c>
      <c r="R122" t="inlineStr">
        <is>
          <t>Pago</t>
        </is>
      </c>
      <c r="S122" t="n">
        <v>148</v>
      </c>
      <c r="T122" t="inlineStr">
        <is>
          <t>Bar Brahma Granja - Tutum Filial - Kamino</t>
        </is>
      </c>
    </row>
    <row r="123">
      <c r="A123" t="n">
        <v>194079</v>
      </c>
      <c r="B123" t="n">
        <v>148</v>
      </c>
      <c r="C123" t="inlineStr">
        <is>
          <t>Bar Brahma - Granja</t>
        </is>
      </c>
      <c r="D123" t="inlineStr">
        <is>
          <t>NATALIA COELHO DE JESUS</t>
        </is>
      </c>
      <c r="E123" t="n">
        <v>747.76</v>
      </c>
      <c r="F123" s="27" t="n">
        <v>46042</v>
      </c>
      <c r="G123" s="27" t="n">
        <v>46042</v>
      </c>
      <c r="H123" s="27" t="n">
        <v>46042</v>
      </c>
      <c r="I123" s="27" t="n">
        <v>46037</v>
      </c>
      <c r="J123" s="27" t="n"/>
      <c r="L123" t="inlineStr">
        <is>
          <t>Mão de Obra - Salários</t>
        </is>
      </c>
      <c r="M123" t="inlineStr">
        <is>
          <t>MDO CLT - Salário</t>
        </is>
      </c>
      <c r="O123" t="inlineStr">
        <is>
          <t>Documentação Aprovada</t>
        </is>
      </c>
      <c r="P123" t="inlineStr">
        <is>
          <t>Aprovado Diretoria</t>
        </is>
      </c>
      <c r="Q123" t="inlineStr">
        <is>
          <t>Aprovado Caixa</t>
        </is>
      </c>
      <c r="R123" t="inlineStr">
        <is>
          <t>Pago</t>
        </is>
      </c>
      <c r="S123" t="n">
        <v>148</v>
      </c>
      <c r="T123" t="inlineStr">
        <is>
          <t>Bar Brahma Granja - Tutum Filial - Kamino</t>
        </is>
      </c>
    </row>
    <row r="124">
      <c r="A124" t="n">
        <v>194080</v>
      </c>
      <c r="B124" t="n">
        <v>148</v>
      </c>
      <c r="C124" t="inlineStr">
        <is>
          <t>Bar Brahma - Granja</t>
        </is>
      </c>
      <c r="D124" t="inlineStr">
        <is>
          <t>TAELLY SILVA SANTOS</t>
        </is>
      </c>
      <c r="E124" t="n">
        <v>779.97</v>
      </c>
      <c r="F124" s="27" t="n">
        <v>46042</v>
      </c>
      <c r="G124" s="27" t="n">
        <v>46042</v>
      </c>
      <c r="H124" s="27" t="n">
        <v>46042</v>
      </c>
      <c r="I124" s="27" t="n">
        <v>46037</v>
      </c>
      <c r="J124" s="27" t="n"/>
      <c r="L124" t="inlineStr">
        <is>
          <t>Mão de Obra - Salários</t>
        </is>
      </c>
      <c r="M124" t="inlineStr">
        <is>
          <t>MDO CLT - Salário</t>
        </is>
      </c>
      <c r="O124" t="inlineStr">
        <is>
          <t>Documentação Aprovada</t>
        </is>
      </c>
      <c r="P124" t="inlineStr">
        <is>
          <t>Aprovado Diretoria</t>
        </is>
      </c>
      <c r="Q124" t="inlineStr">
        <is>
          <t>Aprovado Caixa</t>
        </is>
      </c>
      <c r="R124" t="inlineStr">
        <is>
          <t>Pago</t>
        </is>
      </c>
      <c r="S124" t="n">
        <v>148</v>
      </c>
      <c r="T124" t="inlineStr">
        <is>
          <t>Bar Brahma Granja - Tutum Filial - Kamino</t>
        </is>
      </c>
    </row>
    <row r="125">
      <c r="A125" t="n">
        <v>194081</v>
      </c>
      <c r="B125" t="n">
        <v>148</v>
      </c>
      <c r="C125" t="inlineStr">
        <is>
          <t>Bar Brahma - Granja</t>
        </is>
      </c>
      <c r="D125" t="inlineStr">
        <is>
          <t>VALDIR RODRIGUES DOS SANTOS</t>
        </is>
      </c>
      <c r="E125" t="n">
        <v>747.76</v>
      </c>
      <c r="F125" s="27" t="n">
        <v>46042</v>
      </c>
      <c r="G125" s="27" t="n">
        <v>46042</v>
      </c>
      <c r="H125" s="27" t="n">
        <v>46042</v>
      </c>
      <c r="I125" s="27" t="n">
        <v>46037</v>
      </c>
      <c r="J125" s="27" t="n"/>
      <c r="L125" t="inlineStr">
        <is>
          <t>Mão de Obra - Salários</t>
        </is>
      </c>
      <c r="M125" t="inlineStr">
        <is>
          <t>MDO CLT - Salário</t>
        </is>
      </c>
      <c r="O125" t="inlineStr">
        <is>
          <t>Documentação Aprovada</t>
        </is>
      </c>
      <c r="P125" t="inlineStr">
        <is>
          <t>Aprovado Diretoria</t>
        </is>
      </c>
      <c r="Q125" t="inlineStr">
        <is>
          <t>Aprovado Caixa</t>
        </is>
      </c>
      <c r="R125" t="inlineStr">
        <is>
          <t>Pago</t>
        </is>
      </c>
      <c r="S125" t="n">
        <v>148</v>
      </c>
      <c r="T125" t="inlineStr">
        <is>
          <t>Bar Brahma Granja - Tutum Filial - Kamino</t>
        </is>
      </c>
    </row>
    <row r="126">
      <c r="A126" t="n">
        <v>194082</v>
      </c>
      <c r="B126" t="n">
        <v>148</v>
      </c>
      <c r="C126" t="inlineStr">
        <is>
          <t>Bar Brahma - Granja</t>
        </is>
      </c>
      <c r="D126" t="inlineStr">
        <is>
          <t>VITORIA ALMEIDA CORREA</t>
        </is>
      </c>
      <c r="E126" t="n">
        <v>747.76</v>
      </c>
      <c r="F126" s="27" t="n">
        <v>46042</v>
      </c>
      <c r="G126" s="27" t="n">
        <v>46042</v>
      </c>
      <c r="H126" s="27" t="n">
        <v>46042</v>
      </c>
      <c r="I126" s="27" t="n">
        <v>46037</v>
      </c>
      <c r="J126" s="27" t="n"/>
      <c r="L126" t="inlineStr">
        <is>
          <t>Mão de Obra - Salários</t>
        </is>
      </c>
      <c r="M126" t="inlineStr">
        <is>
          <t>MDO CLT - Salário</t>
        </is>
      </c>
      <c r="O126" t="inlineStr">
        <is>
          <t>Documentação Aprovada</t>
        </is>
      </c>
      <c r="P126" t="inlineStr">
        <is>
          <t>Aprovado Diretoria</t>
        </is>
      </c>
      <c r="Q126" t="inlineStr">
        <is>
          <t>Aprovado Caixa</t>
        </is>
      </c>
      <c r="R126" t="inlineStr">
        <is>
          <t>Pago</t>
        </is>
      </c>
      <c r="S126" t="n">
        <v>148</v>
      </c>
      <c r="T126" t="inlineStr">
        <is>
          <t>Bar Brahma Granja - Tutum Filial - Kamino</t>
        </is>
      </c>
    </row>
    <row r="127">
      <c r="A127" t="n">
        <v>194076</v>
      </c>
      <c r="B127" t="n">
        <v>148</v>
      </c>
      <c r="C127" t="inlineStr">
        <is>
          <t>Bar Brahma - Granja</t>
        </is>
      </c>
      <c r="D127" t="inlineStr">
        <is>
          <t>JULIO CESAR DA CUNHA JUNIOR</t>
        </is>
      </c>
      <c r="E127" t="n">
        <v>747.76</v>
      </c>
      <c r="F127" s="27" t="n">
        <v>46042</v>
      </c>
      <c r="G127" s="27" t="n">
        <v>46042</v>
      </c>
      <c r="H127" s="27" t="n">
        <v>46042</v>
      </c>
      <c r="I127" s="27" t="n">
        <v>46037</v>
      </c>
      <c r="J127" s="27" t="n"/>
      <c r="L127" t="inlineStr">
        <is>
          <t>Mão de Obra - Salários</t>
        </is>
      </c>
      <c r="M127" t="inlineStr">
        <is>
          <t>MDO CLT - Salário</t>
        </is>
      </c>
      <c r="O127" t="inlineStr">
        <is>
          <t>Documentação Aprovada</t>
        </is>
      </c>
      <c r="P127" t="inlineStr">
        <is>
          <t>Aprovado Diretoria</t>
        </is>
      </c>
      <c r="Q127" t="inlineStr">
        <is>
          <t>Aprovado Caixa</t>
        </is>
      </c>
      <c r="R127" t="inlineStr">
        <is>
          <t>Pago</t>
        </is>
      </c>
      <c r="S127" t="n">
        <v>148</v>
      </c>
      <c r="T127" t="inlineStr">
        <is>
          <t>Bar Brahma Granja - Tutum Filial - Kamino</t>
        </is>
      </c>
    </row>
    <row r="128">
      <c r="A128" t="n">
        <v>193925</v>
      </c>
      <c r="B128" t="n">
        <v>148</v>
      </c>
      <c r="C128" t="inlineStr">
        <is>
          <t>Bar Brahma - Granja</t>
        </is>
      </c>
      <c r="D128" t="inlineStr">
        <is>
          <t>IRRF</t>
        </is>
      </c>
      <c r="E128" t="n">
        <v>12.66</v>
      </c>
      <c r="F128" s="27" t="n">
        <v>46042</v>
      </c>
      <c r="G128" s="27" t="n">
        <v>46042</v>
      </c>
      <c r="H128" s="27" t="n">
        <v>46042</v>
      </c>
      <c r="I128" s="27" t="n">
        <v>46021</v>
      </c>
      <c r="J128" s="27" t="n">
        <v>46040</v>
      </c>
      <c r="K128" t="inlineStr">
        <is>
          <t>Boleto Bancário</t>
        </is>
      </c>
      <c r="L128" t="inlineStr">
        <is>
          <t>Serviços de Terceiros</t>
        </is>
      </c>
      <c r="M128" t="inlineStr">
        <is>
          <t>Assessoria Contabil</t>
        </is>
      </c>
      <c r="N128" t="inlineStr">
        <is>
          <t>DEZ2025</t>
        </is>
      </c>
      <c r="O128" t="inlineStr">
        <is>
          <t>Documentação Aprovada</t>
        </is>
      </c>
      <c r="P128" t="inlineStr">
        <is>
          <t>Aprovado Diretoria</t>
        </is>
      </c>
      <c r="Q128" t="inlineStr">
        <is>
          <t>Aprovado Caixa</t>
        </is>
      </c>
      <c r="R128" t="inlineStr">
        <is>
          <t>Pago</t>
        </is>
      </c>
      <c r="S128" t="n">
        <v>164</v>
      </c>
      <c r="T128" t="inlineStr">
        <is>
          <t>Bar Brahma Granja - FDB Filial - Kamino</t>
        </is>
      </c>
    </row>
    <row r="129">
      <c r="A129" t="n">
        <v>194077</v>
      </c>
      <c r="B129" t="n">
        <v>148</v>
      </c>
      <c r="C129" t="inlineStr">
        <is>
          <t>Bar Brahma - Granja</t>
        </is>
      </c>
      <c r="D129" t="inlineStr">
        <is>
          <t>KELLY NUNES TORRES TEOTONIO</t>
        </is>
      </c>
      <c r="E129" t="n">
        <v>779.97</v>
      </c>
      <c r="F129" s="27" t="n">
        <v>46042</v>
      </c>
      <c r="G129" s="27" t="n">
        <v>46042</v>
      </c>
      <c r="H129" s="27" t="n">
        <v>46042</v>
      </c>
      <c r="I129" s="27" t="n">
        <v>46037</v>
      </c>
      <c r="J129" s="27" t="n"/>
      <c r="L129" t="inlineStr">
        <is>
          <t>Mão de Obra - Salários</t>
        </is>
      </c>
      <c r="M129" t="inlineStr">
        <is>
          <t>MDO CLT - Salário</t>
        </is>
      </c>
      <c r="O129" t="inlineStr">
        <is>
          <t>Documentação Aprovada</t>
        </is>
      </c>
      <c r="P129" t="inlineStr">
        <is>
          <t>Aprovado Diretoria</t>
        </is>
      </c>
      <c r="Q129" t="inlineStr">
        <is>
          <t>Aprovado Caixa</t>
        </is>
      </c>
      <c r="R129" t="inlineStr">
        <is>
          <t>Pago</t>
        </is>
      </c>
      <c r="S129" t="n">
        <v>148</v>
      </c>
      <c r="T129" t="inlineStr">
        <is>
          <t>Bar Brahma Granja - Tutum Filial - Kamino</t>
        </is>
      </c>
    </row>
    <row r="130">
      <c r="A130" t="n">
        <v>194075</v>
      </c>
      <c r="B130" t="n">
        <v>148</v>
      </c>
      <c r="C130" t="inlineStr">
        <is>
          <t>Bar Brahma - Granja</t>
        </is>
      </c>
      <c r="D130" t="inlineStr">
        <is>
          <t>JOAO HENRIQUE NUNES</t>
        </is>
      </c>
      <c r="E130" t="n">
        <v>747.76</v>
      </c>
      <c r="F130" s="27" t="n">
        <v>46042</v>
      </c>
      <c r="G130" s="27" t="n">
        <v>46042</v>
      </c>
      <c r="H130" s="27" t="n">
        <v>46042</v>
      </c>
      <c r="I130" s="27" t="n">
        <v>46037</v>
      </c>
      <c r="J130" s="27" t="n"/>
      <c r="L130" t="inlineStr">
        <is>
          <t>Mão de Obra - Salários</t>
        </is>
      </c>
      <c r="M130" t="inlineStr">
        <is>
          <t>MDO CLT - Salário</t>
        </is>
      </c>
      <c r="O130" t="inlineStr">
        <is>
          <t>Documentação Aprovada</t>
        </is>
      </c>
      <c r="P130" t="inlineStr">
        <is>
          <t>Aprovado Diretoria</t>
        </is>
      </c>
      <c r="Q130" t="inlineStr">
        <is>
          <t>Aprovado Caixa</t>
        </is>
      </c>
      <c r="R130" t="inlineStr">
        <is>
          <t>Pago</t>
        </is>
      </c>
      <c r="S130" t="n">
        <v>148</v>
      </c>
      <c r="T130" t="inlineStr">
        <is>
          <t>Bar Brahma Granja - Tutum Filial - Kamino</t>
        </is>
      </c>
    </row>
    <row r="131">
      <c r="A131" t="n">
        <v>194074</v>
      </c>
      <c r="B131" t="n">
        <v>148</v>
      </c>
      <c r="C131" t="inlineStr">
        <is>
          <t>Bar Brahma - Granja</t>
        </is>
      </c>
      <c r="D131" t="inlineStr">
        <is>
          <t>JEFERSON GOMES SILVA</t>
        </is>
      </c>
      <c r="E131" t="n">
        <v>1137.25</v>
      </c>
      <c r="F131" s="27" t="n">
        <v>46042</v>
      </c>
      <c r="G131" s="27" t="n">
        <v>46042</v>
      </c>
      <c r="H131" s="27" t="n">
        <v>46042</v>
      </c>
      <c r="I131" s="27" t="n">
        <v>46037</v>
      </c>
      <c r="J131" s="27" t="n"/>
      <c r="L131" t="inlineStr">
        <is>
          <t>Mão de Obra - Salários</t>
        </is>
      </c>
      <c r="M131" t="inlineStr">
        <is>
          <t>MDO CLT - Salário</t>
        </is>
      </c>
      <c r="O131" t="inlineStr">
        <is>
          <t>Documentação Aprovada</t>
        </is>
      </c>
      <c r="P131" t="inlineStr">
        <is>
          <t>Aprovado Diretoria</t>
        </is>
      </c>
      <c r="Q131" t="inlineStr">
        <is>
          <t>Aprovado Caixa</t>
        </is>
      </c>
      <c r="R131" t="inlineStr">
        <is>
          <t>Pago</t>
        </is>
      </c>
      <c r="S131" t="n">
        <v>148</v>
      </c>
      <c r="T131" t="inlineStr">
        <is>
          <t>Bar Brahma Granja - Tutum Filial - Kamino</t>
        </is>
      </c>
    </row>
    <row r="132">
      <c r="A132" t="n">
        <v>194073</v>
      </c>
      <c r="B132" t="n">
        <v>148</v>
      </c>
      <c r="C132" t="inlineStr">
        <is>
          <t>Bar Brahma - Granja</t>
        </is>
      </c>
      <c r="D132" t="inlineStr">
        <is>
          <t>IARA SAMIRIS OLIVEIRA BRAGA</t>
        </is>
      </c>
      <c r="E132" t="n">
        <v>747.76</v>
      </c>
      <c r="F132" s="27" t="n">
        <v>46042</v>
      </c>
      <c r="G132" s="27" t="n">
        <v>46042</v>
      </c>
      <c r="H132" s="27" t="n">
        <v>46042</v>
      </c>
      <c r="I132" s="27" t="n">
        <v>46037</v>
      </c>
      <c r="J132" s="27" t="n"/>
      <c r="L132" t="inlineStr">
        <is>
          <t>Mão de Obra - Salários</t>
        </is>
      </c>
      <c r="M132" t="inlineStr">
        <is>
          <t>MDO CLT - Salário</t>
        </is>
      </c>
      <c r="O132" t="inlineStr">
        <is>
          <t>Documentação Aprovada</t>
        </is>
      </c>
      <c r="P132" t="inlineStr">
        <is>
          <t>Aprovado Diretoria</t>
        </is>
      </c>
      <c r="Q132" t="inlineStr">
        <is>
          <t>Aprovado Caixa</t>
        </is>
      </c>
      <c r="R132" t="inlineStr">
        <is>
          <t>Pago</t>
        </is>
      </c>
      <c r="S132" t="n">
        <v>148</v>
      </c>
      <c r="T132" t="inlineStr">
        <is>
          <t>Bar Brahma Granja - Tutum Filial - Kamino</t>
        </is>
      </c>
    </row>
    <row r="133">
      <c r="A133" t="n">
        <v>194072</v>
      </c>
      <c r="B133" t="n">
        <v>148</v>
      </c>
      <c r="C133" t="inlineStr">
        <is>
          <t>Bar Brahma - Granja</t>
        </is>
      </c>
      <c r="D133" t="inlineStr">
        <is>
          <t>IAGO CARINO PORTO RAMOS</t>
        </is>
      </c>
      <c r="E133" t="n">
        <v>747.76</v>
      </c>
      <c r="F133" s="27" t="n">
        <v>46042</v>
      </c>
      <c r="G133" s="27" t="n">
        <v>46042</v>
      </c>
      <c r="H133" s="27" t="n">
        <v>46042</v>
      </c>
      <c r="I133" s="27" t="n">
        <v>46037</v>
      </c>
      <c r="J133" s="27" t="n"/>
      <c r="L133" t="inlineStr">
        <is>
          <t>Mão de Obra - Salários</t>
        </is>
      </c>
      <c r="M133" t="inlineStr">
        <is>
          <t>MDO CLT - Salário</t>
        </is>
      </c>
      <c r="O133" t="inlineStr">
        <is>
          <t>Documentação Aprovada</t>
        </is>
      </c>
      <c r="P133" t="inlineStr">
        <is>
          <t>Aprovado Diretoria</t>
        </is>
      </c>
      <c r="Q133" t="inlineStr">
        <is>
          <t>Aprovado Caixa</t>
        </is>
      </c>
      <c r="R133" t="inlineStr">
        <is>
          <t>Pago</t>
        </is>
      </c>
      <c r="S133" t="n">
        <v>148</v>
      </c>
      <c r="T133" t="inlineStr">
        <is>
          <t>Bar Brahma Granja - Tutum Filial - Kamino</t>
        </is>
      </c>
    </row>
    <row r="134">
      <c r="A134" t="n">
        <v>194071</v>
      </c>
      <c r="B134" t="n">
        <v>148</v>
      </c>
      <c r="C134" t="inlineStr">
        <is>
          <t>Bar Brahma - Granja</t>
        </is>
      </c>
      <c r="D134" t="inlineStr">
        <is>
          <t>FLAVIO PEREIRA DOS SANTOS</t>
        </is>
      </c>
      <c r="E134" t="n">
        <v>850.16</v>
      </c>
      <c r="F134" s="27" t="n">
        <v>46042</v>
      </c>
      <c r="G134" s="27" t="n">
        <v>46042</v>
      </c>
      <c r="H134" s="27" t="n">
        <v>46042</v>
      </c>
      <c r="I134" s="27" t="n">
        <v>46037</v>
      </c>
      <c r="J134" s="27" t="n"/>
      <c r="L134" t="inlineStr">
        <is>
          <t>Mão de Obra - Salários</t>
        </is>
      </c>
      <c r="M134" t="inlineStr">
        <is>
          <t>MDO CLT - Salário</t>
        </is>
      </c>
      <c r="O134" t="inlineStr">
        <is>
          <t>Documentação Aprovada</t>
        </is>
      </c>
      <c r="P134" t="inlineStr">
        <is>
          <t>Aprovado Diretoria</t>
        </is>
      </c>
      <c r="Q134" t="inlineStr">
        <is>
          <t>Aprovado Caixa</t>
        </is>
      </c>
      <c r="R134" t="inlineStr">
        <is>
          <t>Pago</t>
        </is>
      </c>
      <c r="S134" t="n">
        <v>148</v>
      </c>
      <c r="T134" t="inlineStr">
        <is>
          <t>Bar Brahma Granja - Tutum Filial - Kamino</t>
        </is>
      </c>
    </row>
    <row r="135">
      <c r="A135" t="n">
        <v>194070</v>
      </c>
      <c r="B135" t="n">
        <v>148</v>
      </c>
      <c r="C135" t="inlineStr">
        <is>
          <t>Bar Brahma - Granja</t>
        </is>
      </c>
      <c r="D135" t="inlineStr">
        <is>
          <t>EDIVALDO ALVES ESTEVES</t>
        </is>
      </c>
      <c r="E135" t="n">
        <v>747.76</v>
      </c>
      <c r="F135" s="27" t="n">
        <v>46042</v>
      </c>
      <c r="G135" s="27" t="n">
        <v>46042</v>
      </c>
      <c r="H135" s="27" t="n">
        <v>46042</v>
      </c>
      <c r="I135" s="27" t="n">
        <v>46037</v>
      </c>
      <c r="J135" s="27" t="n"/>
      <c r="L135" t="inlineStr">
        <is>
          <t>Mão de Obra - Salários</t>
        </is>
      </c>
      <c r="M135" t="inlineStr">
        <is>
          <t>MDO CLT - Salário</t>
        </is>
      </c>
      <c r="O135" t="inlineStr">
        <is>
          <t>Documentação Aprovada</t>
        </is>
      </c>
      <c r="P135" t="inlineStr">
        <is>
          <t>Aprovado Diretoria</t>
        </is>
      </c>
      <c r="Q135" t="inlineStr">
        <is>
          <t>Aprovado Caixa</t>
        </is>
      </c>
      <c r="R135" t="inlineStr">
        <is>
          <t>Pago</t>
        </is>
      </c>
      <c r="S135" t="n">
        <v>148</v>
      </c>
      <c r="T135" t="inlineStr">
        <is>
          <t>Bar Brahma Granja - Tutum Filial - Kamino</t>
        </is>
      </c>
    </row>
    <row r="136">
      <c r="A136" t="n">
        <v>194069</v>
      </c>
      <c r="B136" t="n">
        <v>148</v>
      </c>
      <c r="C136" t="inlineStr">
        <is>
          <t>Bar Brahma - Granja</t>
        </is>
      </c>
      <c r="D136" t="inlineStr">
        <is>
          <t>DAIANE DE JESUS ROCHA</t>
        </is>
      </c>
      <c r="E136" t="n">
        <v>747.76</v>
      </c>
      <c r="F136" s="27" t="n">
        <v>46042</v>
      </c>
      <c r="G136" s="27" t="n">
        <v>46042</v>
      </c>
      <c r="H136" s="27" t="n">
        <v>46042</v>
      </c>
      <c r="I136" s="27" t="n">
        <v>46037</v>
      </c>
      <c r="J136" s="27" t="n"/>
      <c r="L136" t="inlineStr">
        <is>
          <t>Mão de Obra - Salários</t>
        </is>
      </c>
      <c r="M136" t="inlineStr">
        <is>
          <t>MDO CLT - Salário</t>
        </is>
      </c>
      <c r="O136" t="inlineStr">
        <is>
          <t>Documentação Aprovada</t>
        </is>
      </c>
      <c r="P136" t="inlineStr">
        <is>
          <t>Aprovado Diretoria</t>
        </is>
      </c>
      <c r="Q136" t="inlineStr">
        <is>
          <t>Aprovado Caixa</t>
        </is>
      </c>
      <c r="R136" t="inlineStr">
        <is>
          <t>Pago</t>
        </is>
      </c>
      <c r="S136" t="n">
        <v>148</v>
      </c>
      <c r="T136" t="inlineStr">
        <is>
          <t>Bar Brahma Granja - Tutum Filial - Kamino</t>
        </is>
      </c>
    </row>
    <row r="137">
      <c r="A137" t="n">
        <v>194068</v>
      </c>
      <c r="B137" t="n">
        <v>148</v>
      </c>
      <c r="C137" t="inlineStr">
        <is>
          <t>Bar Brahma - Granja</t>
        </is>
      </c>
      <c r="D137" t="inlineStr">
        <is>
          <t>ARIANA TEIXEIRA DE AZEVEDO</t>
        </is>
      </c>
      <c r="E137" t="n">
        <v>721.6</v>
      </c>
      <c r="F137" s="27" t="n">
        <v>46042</v>
      </c>
      <c r="G137" s="27" t="n">
        <v>46042</v>
      </c>
      <c r="H137" s="27" t="n">
        <v>46042</v>
      </c>
      <c r="I137" s="27" t="n">
        <v>46037</v>
      </c>
      <c r="J137" s="27" t="n"/>
      <c r="L137" t="inlineStr">
        <is>
          <t>Mão de Obra - Salários</t>
        </is>
      </c>
      <c r="M137" t="inlineStr">
        <is>
          <t>MDO CLT - Salário</t>
        </is>
      </c>
      <c r="O137" t="inlineStr">
        <is>
          <t>Documentação Aprovada</t>
        </is>
      </c>
      <c r="P137" t="inlineStr">
        <is>
          <t>Aprovado Diretoria</t>
        </is>
      </c>
      <c r="Q137" t="inlineStr">
        <is>
          <t>Aprovado Caixa</t>
        </is>
      </c>
      <c r="R137" t="inlineStr">
        <is>
          <t>Pago</t>
        </is>
      </c>
      <c r="S137" t="n">
        <v>148</v>
      </c>
      <c r="T137" t="inlineStr">
        <is>
          <t>Bar Brahma Granja - Tutum Filial - Kamino</t>
        </is>
      </c>
    </row>
    <row r="138">
      <c r="A138" t="n">
        <v>194067</v>
      </c>
      <c r="B138" t="n">
        <v>148</v>
      </c>
      <c r="C138" t="inlineStr">
        <is>
          <t>Bar Brahma - Granja</t>
        </is>
      </c>
      <c r="D138" t="inlineStr">
        <is>
          <t>ANA PAULA ROSA SANTANA</t>
        </is>
      </c>
      <c r="E138" t="n">
        <v>747.76</v>
      </c>
      <c r="F138" s="27" t="n">
        <v>46042</v>
      </c>
      <c r="G138" s="27" t="n">
        <v>46042</v>
      </c>
      <c r="H138" s="27" t="n">
        <v>46042</v>
      </c>
      <c r="I138" s="27" t="n">
        <v>46037</v>
      </c>
      <c r="J138" s="27" t="n"/>
      <c r="L138" t="inlineStr">
        <is>
          <t>Mão de Obra - Salários</t>
        </is>
      </c>
      <c r="M138" t="inlineStr">
        <is>
          <t>MDO CLT - Salário</t>
        </is>
      </c>
      <c r="O138" t="inlineStr">
        <is>
          <t>Documentação Aprovada</t>
        </is>
      </c>
      <c r="P138" t="inlineStr">
        <is>
          <t>Aprovado Diretoria</t>
        </is>
      </c>
      <c r="Q138" t="inlineStr">
        <is>
          <t>Aprovado Caixa</t>
        </is>
      </c>
      <c r="R138" t="inlineStr">
        <is>
          <t>Pago</t>
        </is>
      </c>
      <c r="S138" t="n">
        <v>148</v>
      </c>
      <c r="T138" t="inlineStr">
        <is>
          <t>Bar Brahma Granja - Tutum Filial - Kamino</t>
        </is>
      </c>
    </row>
    <row r="139">
      <c r="A139" t="n">
        <v>194066</v>
      </c>
      <c r="B139" t="n">
        <v>148</v>
      </c>
      <c r="C139" t="inlineStr">
        <is>
          <t>Bar Brahma - Granja</t>
        </is>
      </c>
      <c r="D139" t="inlineStr">
        <is>
          <t>ANA PAULA NASCIMENTO SOARES</t>
        </is>
      </c>
      <c r="E139" t="n">
        <v>747.76</v>
      </c>
      <c r="F139" s="27" t="n">
        <v>46042</v>
      </c>
      <c r="G139" s="27" t="n">
        <v>46042</v>
      </c>
      <c r="H139" s="27" t="n">
        <v>46042</v>
      </c>
      <c r="I139" s="27" t="n">
        <v>46037</v>
      </c>
      <c r="J139" s="27" t="n"/>
      <c r="L139" t="inlineStr">
        <is>
          <t>Mão de Obra - Salários</t>
        </is>
      </c>
      <c r="M139" t="inlineStr">
        <is>
          <t>MDO CLT - Salário</t>
        </is>
      </c>
      <c r="O139" t="inlineStr">
        <is>
          <t>Documentação Aprovada</t>
        </is>
      </c>
      <c r="P139" t="inlineStr">
        <is>
          <t>Aprovado Diretoria</t>
        </is>
      </c>
      <c r="Q139" t="inlineStr">
        <is>
          <t>Aprovado Caixa</t>
        </is>
      </c>
      <c r="R139" t="inlineStr">
        <is>
          <t>Pago</t>
        </is>
      </c>
      <c r="S139" t="n">
        <v>148</v>
      </c>
      <c r="T139" t="inlineStr">
        <is>
          <t>Bar Brahma Granja - Tutum Filial - Kamino</t>
        </is>
      </c>
    </row>
    <row r="140">
      <c r="A140" t="n">
        <v>194065</v>
      </c>
      <c r="B140" t="n">
        <v>148</v>
      </c>
      <c r="C140" t="inlineStr">
        <is>
          <t>Bar Brahma - Granja</t>
        </is>
      </c>
      <c r="D140" t="inlineStr">
        <is>
          <t>ADRIAN CARDENAS RODRIGUES</t>
        </is>
      </c>
      <c r="E140" t="n">
        <v>721.6</v>
      </c>
      <c r="F140" s="27" t="n">
        <v>46042</v>
      </c>
      <c r="G140" s="27" t="n">
        <v>46042</v>
      </c>
      <c r="H140" s="27" t="n">
        <v>46042</v>
      </c>
      <c r="I140" s="27" t="n">
        <v>46037</v>
      </c>
      <c r="J140" s="27" t="n"/>
      <c r="L140" t="inlineStr">
        <is>
          <t>Mão de Obra - Salários</t>
        </is>
      </c>
      <c r="M140" t="inlineStr">
        <is>
          <t>MDO CLT - Salário</t>
        </is>
      </c>
      <c r="O140" t="inlineStr">
        <is>
          <t>Documentação Aprovada</t>
        </is>
      </c>
      <c r="P140" t="inlineStr">
        <is>
          <t>Aprovado Diretoria</t>
        </is>
      </c>
      <c r="Q140" t="inlineStr">
        <is>
          <t>Aprovado Caixa</t>
        </is>
      </c>
      <c r="R140" t="inlineStr">
        <is>
          <t>Pago</t>
        </is>
      </c>
      <c r="S140" t="n">
        <v>148</v>
      </c>
      <c r="T140" t="inlineStr">
        <is>
          <t>Bar Brahma Granja - Tutum Filial - Kamino</t>
        </is>
      </c>
    </row>
    <row r="141">
      <c r="A141" t="n">
        <v>188728</v>
      </c>
      <c r="B141" t="n">
        <v>148</v>
      </c>
      <c r="C141" t="inlineStr">
        <is>
          <t>Bar Brahma - Granja</t>
        </is>
      </c>
      <c r="D141" t="inlineStr">
        <is>
          <t>MARCOS SILVA DO NASCIMENTO</t>
        </is>
      </c>
      <c r="E141" t="n">
        <v>2790.92</v>
      </c>
      <c r="F141" s="27" t="n">
        <v>46042</v>
      </c>
      <c r="G141" s="27" t="n">
        <v>46042</v>
      </c>
      <c r="H141" s="27" t="n">
        <v>46042</v>
      </c>
      <c r="I141" s="27" t="n">
        <v>46021</v>
      </c>
      <c r="J141" s="27" t="n">
        <v>46027</v>
      </c>
      <c r="K141" t="inlineStr">
        <is>
          <t>Boleto Bancário</t>
        </is>
      </c>
      <c r="L141" t="inlineStr">
        <is>
          <t>Custo Mercadoria Vendida</t>
        </is>
      </c>
      <c r="M141" t="inlineStr">
        <is>
          <t>Insumos - Alimentos</t>
        </is>
      </c>
      <c r="N141" t="inlineStr">
        <is>
          <t>694</t>
        </is>
      </c>
      <c r="O141" t="inlineStr">
        <is>
          <t>Documentação Aprovada</t>
        </is>
      </c>
      <c r="P141" t="inlineStr">
        <is>
          <t>Aprovado Diretoria</t>
        </is>
      </c>
      <c r="Q141" t="inlineStr">
        <is>
          <t>Aprovado Caixa</t>
        </is>
      </c>
      <c r="R141" t="inlineStr">
        <is>
          <t>Pago</t>
        </is>
      </c>
      <c r="S141" t="n">
        <v>164</v>
      </c>
      <c r="T141" t="inlineStr">
        <is>
          <t>Bar Brahma Granja - FDB Filial - Kamino</t>
        </is>
      </c>
    </row>
    <row r="142">
      <c r="A142" t="n">
        <v>188562</v>
      </c>
      <c r="B142" t="n">
        <v>148</v>
      </c>
      <c r="C142" t="inlineStr">
        <is>
          <t>Bar Brahma - Granja</t>
        </is>
      </c>
      <c r="D142" t="inlineStr">
        <is>
          <t>CECILIA TSUYACO ARAKI SILVA LTDA</t>
        </is>
      </c>
      <c r="E142" t="n">
        <v>371.85</v>
      </c>
      <c r="F142" s="27" t="n">
        <v>46042</v>
      </c>
      <c r="G142" s="27" t="n">
        <v>46042</v>
      </c>
      <c r="H142" s="27" t="n">
        <v>46042</v>
      </c>
      <c r="I142" s="27" t="n">
        <v>46014</v>
      </c>
      <c r="J142" s="27" t="n">
        <v>46027</v>
      </c>
      <c r="K142" t="inlineStr">
        <is>
          <t>Boleto Bancário</t>
        </is>
      </c>
      <c r="L142" t="inlineStr">
        <is>
          <t>Custo Mercadoria Vendida</t>
        </is>
      </c>
      <c r="M142" t="inlineStr">
        <is>
          <t>Insumos - Alimentos</t>
        </is>
      </c>
      <c r="N142" t="inlineStr">
        <is>
          <t>384119</t>
        </is>
      </c>
      <c r="O142" t="inlineStr">
        <is>
          <t>Documentação Aprovada</t>
        </is>
      </c>
      <c r="P142" t="inlineStr">
        <is>
          <t>Aprovado Diretoria</t>
        </is>
      </c>
      <c r="Q142" t="inlineStr">
        <is>
          <t>Aprovado Caixa</t>
        </is>
      </c>
      <c r="R142" t="inlineStr">
        <is>
          <t>Pago</t>
        </is>
      </c>
      <c r="S142" t="n">
        <v>164</v>
      </c>
      <c r="T142" t="inlineStr">
        <is>
          <t>Bar Brahma Granja - FDB Filial - Kamino</t>
        </is>
      </c>
    </row>
    <row r="143">
      <c r="A143" t="n">
        <v>187599</v>
      </c>
      <c r="B143" t="n">
        <v>148</v>
      </c>
      <c r="C143" t="inlineStr">
        <is>
          <t>Bar Brahma - Granja</t>
        </is>
      </c>
      <c r="D143" t="inlineStr">
        <is>
          <t xml:space="preserve">ABRASEL SAO PAULO </t>
        </is>
      </c>
      <c r="E143" t="n">
        <v>185</v>
      </c>
      <c r="F143" s="27" t="n">
        <v>46042</v>
      </c>
      <c r="G143" s="27" t="n">
        <v>46042</v>
      </c>
      <c r="H143" s="27" t="n">
        <v>46042</v>
      </c>
      <c r="I143" s="27" t="n">
        <v>46029</v>
      </c>
      <c r="J143" s="27" t="n">
        <v>46024</v>
      </c>
      <c r="K143" t="inlineStr">
        <is>
          <t>Boleto Bancário</t>
        </is>
      </c>
      <c r="L143" t="inlineStr">
        <is>
          <t>Serviços de Terceiros</t>
        </is>
      </c>
      <c r="M143" t="inlineStr">
        <is>
          <t>Assessoria Financeira</t>
        </is>
      </c>
      <c r="N143" t="inlineStr">
        <is>
          <t>174197</t>
        </is>
      </c>
      <c r="O143" t="inlineStr">
        <is>
          <t>Documentação Aprovada</t>
        </is>
      </c>
      <c r="P143" t="inlineStr">
        <is>
          <t>Aprovado Diretoria</t>
        </is>
      </c>
      <c r="Q143" t="inlineStr">
        <is>
          <t>Aprovado Caixa</t>
        </is>
      </c>
      <c r="R143" t="inlineStr">
        <is>
          <t>Pago</t>
        </is>
      </c>
    </row>
    <row r="144">
      <c r="A144" t="n">
        <v>187353</v>
      </c>
      <c r="B144" t="n">
        <v>148</v>
      </c>
      <c r="C144" t="inlineStr">
        <is>
          <t>Bar Brahma - Granja</t>
        </is>
      </c>
      <c r="D144" t="inlineStr">
        <is>
          <t>FGTS</t>
        </is>
      </c>
      <c r="E144" t="n">
        <v>11460.8</v>
      </c>
      <c r="F144" s="27" t="n">
        <v>46042</v>
      </c>
      <c r="G144" s="27" t="n">
        <v>46042</v>
      </c>
      <c r="H144" s="27" t="n">
        <v>46042</v>
      </c>
      <c r="I144" s="27" t="n">
        <v>46021</v>
      </c>
      <c r="J144" s="27" t="n">
        <v>46022</v>
      </c>
      <c r="K144" t="inlineStr">
        <is>
          <t>Boleto Bancário</t>
        </is>
      </c>
      <c r="L144" t="inlineStr">
        <is>
          <t>Mão de Obra - Encargos e Provisões</t>
        </is>
      </c>
      <c r="M144" t="inlineStr">
        <is>
          <t xml:space="preserve">  -  FGTS</t>
        </is>
      </c>
      <c r="N144" t="inlineStr">
        <is>
          <t>DEZ2025</t>
        </is>
      </c>
      <c r="O144" t="inlineStr">
        <is>
          <t>Documentação Aprovada</t>
        </is>
      </c>
      <c r="P144" t="inlineStr">
        <is>
          <t>Aprovado Diretoria</t>
        </is>
      </c>
      <c r="Q144" t="inlineStr">
        <is>
          <t>Aprovado Caixa</t>
        </is>
      </c>
      <c r="R144" t="inlineStr">
        <is>
          <t>Pago</t>
        </is>
      </c>
      <c r="S144" t="n">
        <v>148</v>
      </c>
      <c r="T144" t="inlineStr">
        <is>
          <t>Bar Brahma Granja - Tutum Filial - Kamino</t>
        </is>
      </c>
    </row>
    <row r="145">
      <c r="A145" t="n">
        <v>188555</v>
      </c>
      <c r="B145" t="n">
        <v>148</v>
      </c>
      <c r="C145" t="inlineStr">
        <is>
          <t>Bar Brahma - Granja</t>
        </is>
      </c>
      <c r="D145" t="inlineStr">
        <is>
          <t>EAU - DISTRIBUIDORA DE AGUA MINERAL LTDA</t>
        </is>
      </c>
      <c r="E145" t="n">
        <v>1124.9</v>
      </c>
      <c r="F145" s="27" t="n">
        <v>46042</v>
      </c>
      <c r="G145" s="27" t="n">
        <v>46042</v>
      </c>
      <c r="H145" s="27" t="n">
        <v>46042</v>
      </c>
      <c r="I145" s="27" t="n">
        <v>46006</v>
      </c>
      <c r="J145" s="27" t="n">
        <v>46027</v>
      </c>
      <c r="K145" t="inlineStr">
        <is>
          <t>Boleto Bancário</t>
        </is>
      </c>
      <c r="L145" t="inlineStr">
        <is>
          <t>Custo Mercadoria Vendida</t>
        </is>
      </c>
      <c r="M145" t="inlineStr">
        <is>
          <t>Insumos - Bebidas</t>
        </is>
      </c>
      <c r="N145" t="inlineStr">
        <is>
          <t>282480</t>
        </is>
      </c>
      <c r="O145" t="inlineStr">
        <is>
          <t>Documentação Aprovada</t>
        </is>
      </c>
      <c r="P145" t="inlineStr">
        <is>
          <t>Aprovado Diretoria</t>
        </is>
      </c>
      <c r="Q145" t="inlineStr">
        <is>
          <t>Aprovado Caixa</t>
        </is>
      </c>
      <c r="R145" t="inlineStr">
        <is>
          <t>Pago</t>
        </is>
      </c>
      <c r="S145" t="n">
        <v>164</v>
      </c>
      <c r="T145" t="inlineStr">
        <is>
          <t>Bar Brahma Granja - FDB Filial - Kamino</t>
        </is>
      </c>
    </row>
    <row r="146">
      <c r="A146" t="n">
        <v>187370</v>
      </c>
      <c r="B146" t="n">
        <v>148</v>
      </c>
      <c r="C146" t="inlineStr">
        <is>
          <t>Bar Brahma - Granja</t>
        </is>
      </c>
      <c r="D146" t="inlineStr">
        <is>
          <t>INSS</t>
        </is>
      </c>
      <c r="E146" t="n">
        <v>7203.21</v>
      </c>
      <c r="F146" s="27" t="n">
        <v>46042</v>
      </c>
      <c r="G146" s="27" t="n">
        <v>46042</v>
      </c>
      <c r="H146" s="27" t="n">
        <v>46042</v>
      </c>
      <c r="I146" s="27" t="n">
        <v>46021</v>
      </c>
      <c r="J146" s="27" t="n">
        <v>46022</v>
      </c>
      <c r="K146" t="inlineStr">
        <is>
          <t>Boleto Bancário</t>
        </is>
      </c>
      <c r="L146" t="inlineStr">
        <is>
          <t>Mão de Obra - Encargos e Provisões</t>
        </is>
      </c>
      <c r="M146" t="inlineStr">
        <is>
          <t xml:space="preserve">  -  INSS Segurados</t>
        </is>
      </c>
      <c r="N146" t="inlineStr">
        <is>
          <t>DEZ2025</t>
        </is>
      </c>
      <c r="O146" t="inlineStr">
        <is>
          <t>Documentação Aprovada</t>
        </is>
      </c>
      <c r="P146" t="inlineStr">
        <is>
          <t>Aprovado Diretoria</t>
        </is>
      </c>
      <c r="Q146" t="inlineStr">
        <is>
          <t>Aprovado Caixa</t>
        </is>
      </c>
      <c r="R146" t="inlineStr">
        <is>
          <t>Pago</t>
        </is>
      </c>
      <c r="S146" t="n">
        <v>148</v>
      </c>
      <c r="T146" t="inlineStr">
        <is>
          <t>Bar Brahma Granja - Tutum Filial - Kamino</t>
        </is>
      </c>
    </row>
    <row r="147">
      <c r="A147" t="n">
        <v>187336</v>
      </c>
      <c r="B147" t="n">
        <v>148</v>
      </c>
      <c r="C147" t="inlineStr">
        <is>
          <t>Bar Brahma - Granja</t>
        </is>
      </c>
      <c r="D147" t="inlineStr">
        <is>
          <t>IRRF</t>
        </is>
      </c>
      <c r="E147" t="n">
        <v>770.23</v>
      </c>
      <c r="F147" s="27" t="n">
        <v>46042</v>
      </c>
      <c r="G147" s="27" t="n">
        <v>46042</v>
      </c>
      <c r="H147" s="27" t="n">
        <v>46042</v>
      </c>
      <c r="I147" s="27" t="n">
        <v>46021</v>
      </c>
      <c r="J147" s="27" t="n">
        <v>46022</v>
      </c>
      <c r="K147" t="inlineStr">
        <is>
          <t>Boleto Bancário</t>
        </is>
      </c>
      <c r="L147" t="inlineStr">
        <is>
          <t>Mão de Obra - Encargos e Provisões</t>
        </is>
      </c>
      <c r="M147" t="inlineStr">
        <is>
          <t>IRRF - MDO CLT - Salário</t>
        </is>
      </c>
      <c r="N147" t="inlineStr">
        <is>
          <t>DEZ2025</t>
        </is>
      </c>
      <c r="O147" t="inlineStr">
        <is>
          <t>Documentação Aprovada</t>
        </is>
      </c>
      <c r="P147" t="inlineStr">
        <is>
          <t>Aprovado Diretoria</t>
        </is>
      </c>
      <c r="Q147" t="inlineStr">
        <is>
          <t>Aprovado Caixa</t>
        </is>
      </c>
      <c r="R147" t="inlineStr">
        <is>
          <t>Pago</t>
        </is>
      </c>
      <c r="S147" t="n">
        <v>148</v>
      </c>
      <c r="T147" t="inlineStr">
        <is>
          <t>Bar Brahma Granja - Tutum Filial - Kamino</t>
        </is>
      </c>
    </row>
    <row r="148">
      <c r="A148" t="n">
        <v>182654</v>
      </c>
      <c r="B148" t="n">
        <v>148</v>
      </c>
      <c r="C148" t="inlineStr">
        <is>
          <t>Bar Brahma - Granja</t>
        </is>
      </c>
      <c r="D148" t="inlineStr">
        <is>
          <t>ENGETAX EQUIPAMENTOS LTDA</t>
        </is>
      </c>
      <c r="E148" t="n">
        <v>591.17</v>
      </c>
      <c r="F148" s="27" t="n">
        <v>46042</v>
      </c>
      <c r="G148" s="27" t="n">
        <v>46042</v>
      </c>
      <c r="H148" s="27" t="n">
        <v>46042</v>
      </c>
      <c r="I148" s="27" t="n">
        <v>45995</v>
      </c>
      <c r="J148" s="27" t="n">
        <v>46002</v>
      </c>
      <c r="K148" t="inlineStr">
        <is>
          <t>Boleto Bancário</t>
        </is>
      </c>
      <c r="L148" t="inlineStr">
        <is>
          <t>Manutenção</t>
        </is>
      </c>
      <c r="M148" t="inlineStr">
        <is>
          <t>Manutenção de Equipamentos</t>
        </is>
      </c>
      <c r="N148" t="inlineStr">
        <is>
          <t>15387</t>
        </is>
      </c>
      <c r="O148" t="inlineStr">
        <is>
          <t>Documentação Aprovada</t>
        </is>
      </c>
      <c r="P148" t="inlineStr">
        <is>
          <t>Aprovado Diretoria</t>
        </is>
      </c>
      <c r="Q148" t="inlineStr">
        <is>
          <t>Aprovado Caixa</t>
        </is>
      </c>
      <c r="R148" t="inlineStr">
        <is>
          <t>Pago</t>
        </is>
      </c>
      <c r="S148" t="n">
        <v>164</v>
      </c>
      <c r="T148" t="inlineStr">
        <is>
          <t>Bar Brahma Granja - FDB Filial - Kamino</t>
        </is>
      </c>
    </row>
    <row r="149">
      <c r="A149" t="n">
        <v>195196</v>
      </c>
      <c r="B149" t="n">
        <v>148</v>
      </c>
      <c r="C149" t="inlineStr">
        <is>
          <t>Bar Brahma - Granja</t>
        </is>
      </c>
      <c r="D149" t="inlineStr">
        <is>
          <t xml:space="preserve">KAMINO INSTITUICAO DE PAGAMENTO LTDA </t>
        </is>
      </c>
      <c r="E149" t="n">
        <v>2</v>
      </c>
      <c r="F149" s="27" t="n">
        <v>46042</v>
      </c>
      <c r="G149" s="27" t="n"/>
      <c r="H149" s="27" t="n">
        <v>46042</v>
      </c>
      <c r="I149" s="27" t="n">
        <v>46042</v>
      </c>
      <c r="J149" s="27" t="n"/>
      <c r="K149" t="inlineStr">
        <is>
          <t xml:space="preserve">Debito Automático </t>
        </is>
      </c>
      <c r="L149" t="inlineStr">
        <is>
          <t>Despesas Financeiras</t>
        </is>
      </c>
      <c r="M149" t="inlineStr">
        <is>
          <t>Tarifas Bancárias</t>
        </is>
      </c>
      <c r="O149" t="inlineStr">
        <is>
          <t>Documentação Aprovada</t>
        </is>
      </c>
      <c r="P149" t="inlineStr">
        <is>
          <t>Aprovado Diretoria</t>
        </is>
      </c>
      <c r="Q149" t="inlineStr">
        <is>
          <t>Aprovado Caixa</t>
        </is>
      </c>
      <c r="R149" t="inlineStr">
        <is>
          <t>Pago</t>
        </is>
      </c>
      <c r="S149" t="n">
        <v>148</v>
      </c>
      <c r="T149" t="inlineStr">
        <is>
          <t>Bar Brahma Granja - Tutum Filial - Kamino</t>
        </is>
      </c>
    </row>
    <row r="150">
      <c r="A150" t="n">
        <v>195261</v>
      </c>
      <c r="B150" t="n">
        <v>148</v>
      </c>
      <c r="C150" t="inlineStr">
        <is>
          <t>Bar Brahma - Granja</t>
        </is>
      </c>
      <c r="D150" t="inlineStr">
        <is>
          <t>CIELO</t>
        </is>
      </c>
      <c r="E150" t="n">
        <v>99.90000000000001</v>
      </c>
      <c r="F150" s="27" t="n">
        <v>46042</v>
      </c>
      <c r="G150" s="27" t="n"/>
      <c r="H150" s="27" t="n">
        <v>46042</v>
      </c>
      <c r="I150" s="27" t="n">
        <v>46042</v>
      </c>
      <c r="J150" s="27" t="n"/>
      <c r="K150" t="inlineStr">
        <is>
          <t xml:space="preserve">Debito Automático </t>
        </is>
      </c>
      <c r="L150" t="inlineStr">
        <is>
          <t>Deduções sobre Venda</t>
        </is>
      </c>
      <c r="M150" t="inlineStr">
        <is>
          <t>Meios de pagamento</t>
        </is>
      </c>
      <c r="O150" t="inlineStr">
        <is>
          <t>Documentação Aprovada</t>
        </is>
      </c>
      <c r="P150" t="inlineStr">
        <is>
          <t>Aprovado Diretoria</t>
        </is>
      </c>
      <c r="Q150" t="inlineStr">
        <is>
          <t>Aprovado Caixa</t>
        </is>
      </c>
      <c r="R150" t="inlineStr">
        <is>
          <t>Pago</t>
        </is>
      </c>
      <c r="S150" t="n">
        <v>153</v>
      </c>
      <c r="T150" t="inlineStr">
        <is>
          <t>Bar Brahma Granja - FDB Novo - Banco do Brasil</t>
        </is>
      </c>
    </row>
    <row r="151">
      <c r="A151" t="n">
        <v>101627</v>
      </c>
      <c r="B151" t="n">
        <v>148</v>
      </c>
      <c r="C151" t="inlineStr">
        <is>
          <t>Bar Brahma - Granja</t>
        </is>
      </c>
      <c r="D151" t="inlineStr">
        <is>
          <t>IRRF</t>
        </is>
      </c>
      <c r="E151" t="n">
        <v>18.93</v>
      </c>
      <c r="F151" s="27" t="n">
        <v>46042</v>
      </c>
      <c r="G151" s="27" t="n">
        <v>46042</v>
      </c>
      <c r="H151" s="27" t="n">
        <v>46042</v>
      </c>
      <c r="I151" s="27" t="n">
        <v>46021</v>
      </c>
      <c r="J151" s="27" t="n"/>
      <c r="K151" t="inlineStr">
        <is>
          <t>Boleto Bancário</t>
        </is>
      </c>
      <c r="L151" t="inlineStr">
        <is>
          <t>Serviços de Terceiros</t>
        </is>
      </c>
      <c r="M151" t="inlineStr">
        <is>
          <t>Assessoria Contabil</t>
        </is>
      </c>
      <c r="N151" t="inlineStr">
        <is>
          <t>Dezembro/2025</t>
        </is>
      </c>
      <c r="O151" t="inlineStr">
        <is>
          <t>Documentação Aprovada</t>
        </is>
      </c>
      <c r="P151" t="inlineStr">
        <is>
          <t>Aprovado Diretoria</t>
        </is>
      </c>
      <c r="Q151" t="inlineStr">
        <is>
          <t>Aprovado Caixa</t>
        </is>
      </c>
      <c r="R151" t="inlineStr">
        <is>
          <t>Pago</t>
        </is>
      </c>
      <c r="S151" t="n">
        <v>148</v>
      </c>
      <c r="T151" t="inlineStr">
        <is>
          <t>Bar Brahma Granja - Tutum Filial - Kamino</t>
        </is>
      </c>
    </row>
    <row r="152">
      <c r="A152" t="n">
        <v>103845</v>
      </c>
      <c r="B152" t="n">
        <v>148</v>
      </c>
      <c r="C152" t="inlineStr">
        <is>
          <t>Bar Brahma - Granja</t>
        </is>
      </c>
      <c r="D152" t="inlineStr">
        <is>
          <t xml:space="preserve">CSRF </t>
        </is>
      </c>
      <c r="E152" t="n">
        <v>58.88</v>
      </c>
      <c r="F152" s="27" t="n">
        <v>46042</v>
      </c>
      <c r="G152" s="27" t="n">
        <v>46042</v>
      </c>
      <c r="H152" s="27" t="n">
        <v>46042</v>
      </c>
      <c r="I152" s="27" t="n">
        <v>46021</v>
      </c>
      <c r="J152" s="27" t="n"/>
      <c r="K152" t="inlineStr">
        <is>
          <t>Boleto Bancário</t>
        </is>
      </c>
      <c r="L152" t="inlineStr">
        <is>
          <t>Serviços de Terceiros</t>
        </is>
      </c>
      <c r="M152" t="inlineStr">
        <is>
          <t>Assessoria Contabil</t>
        </is>
      </c>
      <c r="N152" t="inlineStr">
        <is>
          <t>DEZ2025</t>
        </is>
      </c>
      <c r="O152" t="inlineStr">
        <is>
          <t>Documentação Aprovada</t>
        </is>
      </c>
      <c r="P152" t="inlineStr">
        <is>
          <t>Aprovado Diretoria</t>
        </is>
      </c>
      <c r="Q152" t="inlineStr">
        <is>
          <t>Aprovado Caixa</t>
        </is>
      </c>
      <c r="R152" t="inlineStr">
        <is>
          <t>Pago</t>
        </is>
      </c>
      <c r="S152" t="n">
        <v>164</v>
      </c>
      <c r="T152" t="inlineStr">
        <is>
          <t>Bar Brahma Granja - FDB Filial - Kamino</t>
        </is>
      </c>
    </row>
    <row r="153">
      <c r="A153" t="n">
        <v>104042</v>
      </c>
      <c r="B153" t="n">
        <v>148</v>
      </c>
      <c r="C153" t="inlineStr">
        <is>
          <t>Bar Brahma - Granja</t>
        </is>
      </c>
      <c r="D153" t="inlineStr">
        <is>
          <t>ICMS</t>
        </is>
      </c>
      <c r="E153" t="n">
        <v>14193.85</v>
      </c>
      <c r="F153" s="27" t="n">
        <v>46042</v>
      </c>
      <c r="G153" s="27" t="n">
        <v>46042</v>
      </c>
      <c r="H153" s="27" t="n">
        <v>46042</v>
      </c>
      <c r="I153" s="27" t="n">
        <v>46021</v>
      </c>
      <c r="J153" s="27" t="n"/>
      <c r="K153" t="inlineStr">
        <is>
          <t>Boleto Bancário</t>
        </is>
      </c>
      <c r="L153" t="inlineStr">
        <is>
          <t>Impostos sobre Venda</t>
        </is>
      </c>
      <c r="M153" t="inlineStr">
        <is>
          <t>ICMS</t>
        </is>
      </c>
      <c r="N153" t="inlineStr">
        <is>
          <t>DEZ2025</t>
        </is>
      </c>
      <c r="O153" t="inlineStr">
        <is>
          <t>Documentação Aprovada</t>
        </is>
      </c>
      <c r="P153" t="inlineStr">
        <is>
          <t>Aprovado Diretoria</t>
        </is>
      </c>
      <c r="Q153" t="inlineStr">
        <is>
          <t>Aprovado Caixa</t>
        </is>
      </c>
      <c r="R153" t="inlineStr">
        <is>
          <t>Pago</t>
        </is>
      </c>
      <c r="S153" t="n">
        <v>164</v>
      </c>
      <c r="T153" t="inlineStr">
        <is>
          <t>Bar Brahma Granja - FDB Filial - Kamino</t>
        </is>
      </c>
    </row>
    <row r="154">
      <c r="A154" t="n">
        <v>188575</v>
      </c>
      <c r="B154" t="n">
        <v>148</v>
      </c>
      <c r="C154" t="inlineStr">
        <is>
          <t>Bar Brahma - Granja</t>
        </is>
      </c>
      <c r="D154" t="inlineStr">
        <is>
          <t>MARIO PEDRO FELICIANO - HORTIFRUTI</t>
        </is>
      </c>
      <c r="E154" t="n">
        <v>435.24</v>
      </c>
      <c r="F154" s="27" t="n">
        <v>46041</v>
      </c>
      <c r="G154" s="27" t="n">
        <v>46041</v>
      </c>
      <c r="H154" s="27" t="n">
        <v>46041</v>
      </c>
      <c r="I154" s="27" t="n">
        <v>46013</v>
      </c>
      <c r="J154" s="27" t="n">
        <v>46027</v>
      </c>
      <c r="K154" t="inlineStr">
        <is>
          <t>Boleto Bancário</t>
        </is>
      </c>
      <c r="L154" t="inlineStr">
        <is>
          <t>Custo Mercadoria Vendida</t>
        </is>
      </c>
      <c r="M154" t="inlineStr">
        <is>
          <t>Insumos - Alimentos</t>
        </is>
      </c>
      <c r="N154" t="inlineStr">
        <is>
          <t>462773</t>
        </is>
      </c>
      <c r="O154" t="inlineStr">
        <is>
          <t>Documentação Aprovada</t>
        </is>
      </c>
      <c r="P154" t="inlineStr">
        <is>
          <t>Aprovado Diretoria</t>
        </is>
      </c>
      <c r="Q154" t="inlineStr">
        <is>
          <t>Aprovado Caixa</t>
        </is>
      </c>
      <c r="R154" t="inlineStr">
        <is>
          <t>Pago</t>
        </is>
      </c>
      <c r="S154" t="n">
        <v>164</v>
      </c>
      <c r="T154" t="inlineStr">
        <is>
          <t>Bar Brahma Granja - FDB Filial - Kamino</t>
        </is>
      </c>
    </row>
    <row r="155">
      <c r="A155" t="n">
        <v>188608</v>
      </c>
      <c r="B155" t="n">
        <v>148</v>
      </c>
      <c r="C155" t="inlineStr">
        <is>
          <t>Bar Brahma - Granja</t>
        </is>
      </c>
      <c r="D155" t="inlineStr">
        <is>
          <t>HORTA NOVA DISTRIBUIDORA DE HORTIFRUTI LTDA</t>
        </is>
      </c>
      <c r="E155" t="n">
        <v>169.4</v>
      </c>
      <c r="F155" s="27" t="n">
        <v>46040</v>
      </c>
      <c r="G155" s="27" t="n">
        <v>46041</v>
      </c>
      <c r="H155" s="27" t="n">
        <v>46041</v>
      </c>
      <c r="I155" s="27" t="n">
        <v>46010</v>
      </c>
      <c r="J155" s="27" t="n">
        <v>46027</v>
      </c>
      <c r="K155" t="inlineStr">
        <is>
          <t>Boleto Bancário</t>
        </is>
      </c>
      <c r="L155" t="inlineStr">
        <is>
          <t>Custo Mercadoria Vendida</t>
        </is>
      </c>
      <c r="M155" t="inlineStr">
        <is>
          <t>Insumos - Alimentos</t>
        </is>
      </c>
      <c r="N155" t="inlineStr">
        <is>
          <t>8162</t>
        </is>
      </c>
      <c r="O155" t="inlineStr">
        <is>
          <t>Documentação Aprovada</t>
        </is>
      </c>
      <c r="P155" t="inlineStr">
        <is>
          <t>Aprovado Diretoria</t>
        </is>
      </c>
      <c r="Q155" t="inlineStr">
        <is>
          <t>Aprovado Caixa</t>
        </is>
      </c>
      <c r="R155" t="inlineStr">
        <is>
          <t>Pago</t>
        </is>
      </c>
      <c r="S155" t="n">
        <v>164</v>
      </c>
      <c r="T155" t="inlineStr">
        <is>
          <t>Bar Brahma Granja - FDB Filial - Kamino</t>
        </is>
      </c>
    </row>
    <row r="156">
      <c r="A156" t="n">
        <v>188573</v>
      </c>
      <c r="B156" t="n">
        <v>148</v>
      </c>
      <c r="C156" t="inlineStr">
        <is>
          <t>Bar Brahma - Granja</t>
        </is>
      </c>
      <c r="D156" t="inlineStr">
        <is>
          <t>FRIGORIFICO M.B. LTDA</t>
        </is>
      </c>
      <c r="E156" t="n">
        <v>409.5</v>
      </c>
      <c r="F156" s="27" t="n">
        <v>46041</v>
      </c>
      <c r="G156" s="27" t="n">
        <v>46041</v>
      </c>
      <c r="H156" s="27" t="n">
        <v>46041</v>
      </c>
      <c r="I156" s="27" t="n">
        <v>46013</v>
      </c>
      <c r="J156" s="27" t="n">
        <v>46027</v>
      </c>
      <c r="K156" t="inlineStr">
        <is>
          <t>Boleto Bancário</t>
        </is>
      </c>
      <c r="L156" t="inlineStr">
        <is>
          <t>Custo Mercadoria Vendida</t>
        </is>
      </c>
      <c r="M156" t="inlineStr">
        <is>
          <t>Insumos - Alimentos</t>
        </is>
      </c>
      <c r="N156" t="inlineStr">
        <is>
          <t>80048</t>
        </is>
      </c>
      <c r="O156" t="inlineStr">
        <is>
          <t>Documentação Aprovada</t>
        </is>
      </c>
      <c r="P156" t="inlineStr">
        <is>
          <t>Aprovado Diretoria</t>
        </is>
      </c>
      <c r="Q156" t="inlineStr">
        <is>
          <t>Aprovado Caixa</t>
        </is>
      </c>
      <c r="R156" t="inlineStr">
        <is>
          <t>Pago</t>
        </is>
      </c>
      <c r="S156" t="n">
        <v>164</v>
      </c>
      <c r="T156" t="inlineStr">
        <is>
          <t>Bar Brahma Granja - FDB Filial - Kamino</t>
        </is>
      </c>
    </row>
    <row r="157">
      <c r="A157" t="n">
        <v>188588</v>
      </c>
      <c r="B157" t="n">
        <v>148</v>
      </c>
      <c r="C157" t="inlineStr">
        <is>
          <t>Bar Brahma - Granja</t>
        </is>
      </c>
      <c r="D157" t="inlineStr">
        <is>
          <t>CECILIA TSUYACO ARAKI SILVA LTDA</t>
        </is>
      </c>
      <c r="E157" t="n">
        <v>136.4</v>
      </c>
      <c r="F157" s="27" t="n">
        <v>46041</v>
      </c>
      <c r="G157" s="27" t="n">
        <v>46041</v>
      </c>
      <c r="H157" s="27" t="n">
        <v>46041</v>
      </c>
      <c r="I157" s="27" t="n">
        <v>46013</v>
      </c>
      <c r="J157" s="27" t="n">
        <v>46027</v>
      </c>
      <c r="K157" t="inlineStr">
        <is>
          <t>Boleto Bancário</t>
        </is>
      </c>
      <c r="L157" t="inlineStr">
        <is>
          <t>Custo Mercadoria Vendida</t>
        </is>
      </c>
      <c r="M157" t="inlineStr">
        <is>
          <t>Insumos - Alimentos</t>
        </is>
      </c>
      <c r="N157" t="inlineStr">
        <is>
          <t>384053</t>
        </is>
      </c>
      <c r="O157" t="inlineStr">
        <is>
          <t>Documentação Aprovada</t>
        </is>
      </c>
      <c r="P157" t="inlineStr">
        <is>
          <t>Aprovado Diretoria</t>
        </is>
      </c>
      <c r="Q157" t="inlineStr">
        <is>
          <t>Aprovado Caixa</t>
        </is>
      </c>
      <c r="R157" t="inlineStr">
        <is>
          <t>Pago</t>
        </is>
      </c>
      <c r="S157" t="n">
        <v>164</v>
      </c>
      <c r="T157" t="inlineStr">
        <is>
          <t>Bar Brahma Granja - FDB Filial - Kamino</t>
        </is>
      </c>
    </row>
    <row r="158">
      <c r="A158" t="n">
        <v>188601</v>
      </c>
      <c r="B158" t="n">
        <v>148</v>
      </c>
      <c r="C158" t="inlineStr">
        <is>
          <t>Bar Brahma - Granja</t>
        </is>
      </c>
      <c r="D158" t="inlineStr">
        <is>
          <t>AMBEV S. A. - CDD SAO PAULO</t>
        </is>
      </c>
      <c r="E158" t="n">
        <v>1929.13</v>
      </c>
      <c r="F158" s="27" t="n">
        <v>46041</v>
      </c>
      <c r="G158" s="27" t="n">
        <v>46041</v>
      </c>
      <c r="H158" s="27" t="n">
        <v>46041</v>
      </c>
      <c r="I158" s="27" t="n">
        <v>46010</v>
      </c>
      <c r="J158" s="27" t="n">
        <v>46027</v>
      </c>
      <c r="K158" t="inlineStr">
        <is>
          <t>Boleto Bancário</t>
        </is>
      </c>
      <c r="L158" t="inlineStr">
        <is>
          <t>Custo Mercadoria Vendida</t>
        </is>
      </c>
      <c r="M158" t="inlineStr">
        <is>
          <t>Insumos - Bebidas</t>
        </is>
      </c>
      <c r="N158" t="inlineStr">
        <is>
          <t>980011</t>
        </is>
      </c>
      <c r="O158" t="inlineStr">
        <is>
          <t>Documentação Aprovada</t>
        </is>
      </c>
      <c r="P158" t="inlineStr">
        <is>
          <t>Aprovado Diretoria</t>
        </is>
      </c>
      <c r="Q158" t="inlineStr">
        <is>
          <t>Aprovado Caixa</t>
        </is>
      </c>
      <c r="R158" t="inlineStr">
        <is>
          <t>Pago</t>
        </is>
      </c>
      <c r="S158" t="n">
        <v>164</v>
      </c>
      <c r="T158" t="inlineStr">
        <is>
          <t>Bar Brahma Granja - FDB Filial - Kamino</t>
        </is>
      </c>
    </row>
    <row r="159">
      <c r="A159" t="n">
        <v>188583</v>
      </c>
      <c r="B159" t="n">
        <v>148</v>
      </c>
      <c r="C159" t="inlineStr">
        <is>
          <t>Bar Brahma - Granja</t>
        </is>
      </c>
      <c r="D159" t="inlineStr">
        <is>
          <t>FRONT BEBIDAS LTDA</t>
        </is>
      </c>
      <c r="E159" t="n">
        <v>718.92</v>
      </c>
      <c r="F159" s="27" t="n">
        <v>46041</v>
      </c>
      <c r="G159" s="27" t="n">
        <v>46041</v>
      </c>
      <c r="H159" s="27" t="n">
        <v>46041</v>
      </c>
      <c r="I159" s="27" t="n">
        <v>46013</v>
      </c>
      <c r="J159" s="27" t="n">
        <v>46027</v>
      </c>
      <c r="K159" t="inlineStr">
        <is>
          <t>Boleto Bancário</t>
        </is>
      </c>
      <c r="L159" t="inlineStr">
        <is>
          <t>Custo Mercadoria Vendida</t>
        </is>
      </c>
      <c r="M159" t="inlineStr">
        <is>
          <t>Insumos - Bebidas</t>
        </is>
      </c>
      <c r="N159" t="inlineStr">
        <is>
          <t>785872</t>
        </is>
      </c>
      <c r="O159" t="inlineStr">
        <is>
          <t>Documentação Aprovada</t>
        </is>
      </c>
      <c r="P159" t="inlineStr">
        <is>
          <t>Aprovado Diretoria</t>
        </is>
      </c>
      <c r="Q159" t="inlineStr">
        <is>
          <t>Aprovado Caixa</t>
        </is>
      </c>
      <c r="R159" t="inlineStr">
        <is>
          <t>Pago</t>
        </is>
      </c>
      <c r="S159" t="n">
        <v>164</v>
      </c>
      <c r="T159" t="inlineStr">
        <is>
          <t>Bar Brahma Granja - FDB Filial - Kamino</t>
        </is>
      </c>
    </row>
    <row r="160">
      <c r="A160" t="n">
        <v>188582</v>
      </c>
      <c r="B160" t="n">
        <v>148</v>
      </c>
      <c r="C160" t="inlineStr">
        <is>
          <t>Bar Brahma - Granja</t>
        </is>
      </c>
      <c r="D160" t="inlineStr">
        <is>
          <t xml:space="preserve">ARENA VIP DISTRIBUIDORA DE BEBIDAS LTDA </t>
        </is>
      </c>
      <c r="E160" t="n">
        <v>251.27</v>
      </c>
      <c r="F160" s="27" t="n">
        <v>46041</v>
      </c>
      <c r="G160" s="27" t="n">
        <v>46041</v>
      </c>
      <c r="H160" s="27" t="n">
        <v>46041</v>
      </c>
      <c r="I160" s="27" t="n">
        <v>46013</v>
      </c>
      <c r="J160" s="27" t="n">
        <v>46027</v>
      </c>
      <c r="K160" t="inlineStr">
        <is>
          <t>Boleto Bancário</t>
        </is>
      </c>
      <c r="L160" t="inlineStr">
        <is>
          <t>Custo Mercadoria Vendida</t>
        </is>
      </c>
      <c r="M160" t="inlineStr">
        <is>
          <t>Insumos - Bebidas</t>
        </is>
      </c>
      <c r="N160" t="inlineStr">
        <is>
          <t>23187</t>
        </is>
      </c>
      <c r="O160" t="inlineStr">
        <is>
          <t>Documentação Aprovada</t>
        </is>
      </c>
      <c r="P160" t="inlineStr">
        <is>
          <t>Aprovado Diretoria</t>
        </is>
      </c>
      <c r="Q160" t="inlineStr">
        <is>
          <t>Aprovado Caixa</t>
        </is>
      </c>
      <c r="R160" t="inlineStr">
        <is>
          <t>Pago</t>
        </is>
      </c>
      <c r="S160" t="n">
        <v>164</v>
      </c>
      <c r="T160" t="inlineStr">
        <is>
          <t>Bar Brahma Granja - FDB Filial - Kamino</t>
        </is>
      </c>
    </row>
    <row r="161">
      <c r="A161" t="n">
        <v>188565</v>
      </c>
      <c r="B161" t="n">
        <v>148</v>
      </c>
      <c r="C161" t="inlineStr">
        <is>
          <t>Bar Brahma - Granja</t>
        </is>
      </c>
      <c r="D161" t="inlineStr">
        <is>
          <t>B.B DISTRIBUIDORA DE CARNES LTDA</t>
        </is>
      </c>
      <c r="E161" t="n">
        <v>903.9</v>
      </c>
      <c r="F161" s="27" t="n">
        <v>46041</v>
      </c>
      <c r="G161" s="27" t="n">
        <v>46041</v>
      </c>
      <c r="H161" s="27" t="n">
        <v>46041</v>
      </c>
      <c r="I161" s="27" t="n">
        <v>46013</v>
      </c>
      <c r="J161" s="27" t="n">
        <v>46027</v>
      </c>
      <c r="K161" t="inlineStr">
        <is>
          <t>Boleto Bancário</t>
        </is>
      </c>
      <c r="L161" t="inlineStr">
        <is>
          <t>Custo Mercadoria Vendida</t>
        </is>
      </c>
      <c r="M161" t="inlineStr">
        <is>
          <t>Insumos - Alimentos</t>
        </is>
      </c>
      <c r="N161" t="inlineStr">
        <is>
          <t>410884</t>
        </is>
      </c>
      <c r="O161" t="inlineStr">
        <is>
          <t>Documentação Aprovada</t>
        </is>
      </c>
      <c r="P161" t="inlineStr">
        <is>
          <t>Aprovado Diretoria</t>
        </is>
      </c>
      <c r="Q161" t="inlineStr">
        <is>
          <t>Aprovado Caixa</t>
        </is>
      </c>
      <c r="R161" t="inlineStr">
        <is>
          <t>Pago</t>
        </is>
      </c>
      <c r="S161" t="n">
        <v>164</v>
      </c>
      <c r="T161" t="inlineStr">
        <is>
          <t>Bar Brahma Granja - FDB Filial - Kamino</t>
        </is>
      </c>
    </row>
    <row r="162">
      <c r="A162" t="n">
        <v>188581</v>
      </c>
      <c r="B162" t="n">
        <v>148</v>
      </c>
      <c r="C162" t="inlineStr">
        <is>
          <t>Bar Brahma - Granja</t>
        </is>
      </c>
      <c r="D162" t="inlineStr">
        <is>
          <t>AMBEV S. A. - CDD SAO PAULO</t>
        </is>
      </c>
      <c r="E162" t="n">
        <v>5746.01</v>
      </c>
      <c r="F162" s="27" t="n">
        <v>46041</v>
      </c>
      <c r="G162" s="27" t="n">
        <v>46041</v>
      </c>
      <c r="H162" s="27" t="n">
        <v>46041</v>
      </c>
      <c r="I162" s="27" t="n">
        <v>46010</v>
      </c>
      <c r="J162" s="27" t="n">
        <v>46027</v>
      </c>
      <c r="K162" t="inlineStr">
        <is>
          <t>Boleto Bancário</t>
        </is>
      </c>
      <c r="L162" t="inlineStr">
        <is>
          <t>Custo Mercadoria Vendida</t>
        </is>
      </c>
      <c r="M162" t="inlineStr">
        <is>
          <t>Insumos - Bebidas</t>
        </is>
      </c>
      <c r="N162" t="inlineStr">
        <is>
          <t>980012</t>
        </is>
      </c>
      <c r="O162" t="inlineStr">
        <is>
          <t>Documentação Aprovada</t>
        </is>
      </c>
      <c r="P162" t="inlineStr">
        <is>
          <t>Aprovado Diretoria</t>
        </is>
      </c>
      <c r="Q162" t="inlineStr">
        <is>
          <t>Aprovado Caixa</t>
        </is>
      </c>
      <c r="R162" t="inlineStr">
        <is>
          <t>Pago</t>
        </is>
      </c>
      <c r="S162" t="n">
        <v>164</v>
      </c>
      <c r="T162" t="inlineStr">
        <is>
          <t>Bar Brahma Granja - FDB Filial - Kamino</t>
        </is>
      </c>
    </row>
    <row r="163">
      <c r="A163" t="n">
        <v>188644</v>
      </c>
      <c r="B163" t="n">
        <v>148</v>
      </c>
      <c r="C163" t="inlineStr">
        <is>
          <t>Bar Brahma - Granja</t>
        </is>
      </c>
      <c r="D163" t="inlineStr">
        <is>
          <t>MARIO PEDRO FELICIANO - HORTIFRUTI</t>
        </is>
      </c>
      <c r="E163" t="n">
        <v>198.36</v>
      </c>
      <c r="F163" s="27" t="n">
        <v>46039</v>
      </c>
      <c r="G163" s="27" t="n">
        <v>46041</v>
      </c>
      <c r="H163" s="27" t="n">
        <v>46041</v>
      </c>
      <c r="I163" s="27" t="n">
        <v>46011</v>
      </c>
      <c r="J163" s="27" t="n">
        <v>46027</v>
      </c>
      <c r="K163" t="inlineStr">
        <is>
          <t>Boleto Bancário</t>
        </is>
      </c>
      <c r="L163" t="inlineStr">
        <is>
          <t>Custo Mercadoria Vendida</t>
        </is>
      </c>
      <c r="M163" t="inlineStr">
        <is>
          <t>Insumos - Alimentos</t>
        </is>
      </c>
      <c r="N163" t="inlineStr">
        <is>
          <t>462662</t>
        </is>
      </c>
      <c r="O163" t="inlineStr">
        <is>
          <t>Documentação Aprovada</t>
        </is>
      </c>
      <c r="P163" t="inlineStr">
        <is>
          <t>Aprovado Diretoria</t>
        </is>
      </c>
      <c r="Q163" t="inlineStr">
        <is>
          <t>Aprovado Caixa</t>
        </is>
      </c>
      <c r="R163" t="inlineStr">
        <is>
          <t>Pago</t>
        </is>
      </c>
      <c r="S163" t="n">
        <v>164</v>
      </c>
      <c r="T163" t="inlineStr">
        <is>
          <t>Bar Brahma Granja - FDB Filial - Kamino</t>
        </is>
      </c>
    </row>
    <row r="164">
      <c r="A164" t="n">
        <v>188725</v>
      </c>
      <c r="B164" t="n">
        <v>148</v>
      </c>
      <c r="C164" t="inlineStr">
        <is>
          <t>Bar Brahma - Granja</t>
        </is>
      </c>
      <c r="D164" t="inlineStr">
        <is>
          <t>CRYSTALMIXX-GAS COMERCIO E MANUTENCAO DE EQUIPAMENTOS DE GAS LTDA</t>
        </is>
      </c>
      <c r="E164" t="n">
        <v>883.2</v>
      </c>
      <c r="F164" s="27" t="n">
        <v>46041</v>
      </c>
      <c r="G164" s="27" t="n">
        <v>46041</v>
      </c>
      <c r="H164" s="27" t="n">
        <v>46041</v>
      </c>
      <c r="I164" s="27" t="n">
        <v>46020</v>
      </c>
      <c r="J164" s="27" t="n">
        <v>46027</v>
      </c>
      <c r="K164" t="inlineStr">
        <is>
          <t>Boleto Bancário</t>
        </is>
      </c>
      <c r="L164" t="inlineStr">
        <is>
          <t>Utilidades</t>
        </is>
      </c>
      <c r="M164" t="inlineStr">
        <is>
          <t>Material de Consumo - Gelo/ Gas CO2/ Carvao /Velas</t>
        </is>
      </c>
      <c r="N164" t="inlineStr">
        <is>
          <t>31694</t>
        </is>
      </c>
      <c r="O164" t="inlineStr">
        <is>
          <t>Documentação Aprovada</t>
        </is>
      </c>
      <c r="P164" t="inlineStr">
        <is>
          <t>Aprovado Diretoria</t>
        </is>
      </c>
      <c r="Q164" t="inlineStr">
        <is>
          <t>Aprovado Caixa</t>
        </is>
      </c>
      <c r="R164" t="inlineStr">
        <is>
          <t>Pago</t>
        </is>
      </c>
      <c r="S164" t="n">
        <v>164</v>
      </c>
      <c r="T164" t="inlineStr">
        <is>
          <t>Bar Brahma Granja - FDB Filial - Kamino</t>
        </is>
      </c>
    </row>
    <row r="165">
      <c r="A165" t="n">
        <v>188638</v>
      </c>
      <c r="B165" t="n">
        <v>148</v>
      </c>
      <c r="C165" t="inlineStr">
        <is>
          <t>Bar Brahma - Granja</t>
        </is>
      </c>
      <c r="D165" t="inlineStr">
        <is>
          <t>WPP COMERCIO DE CARNES LTDA</t>
        </is>
      </c>
      <c r="E165" t="n">
        <v>1006.5</v>
      </c>
      <c r="F165" s="27" t="n">
        <v>46041</v>
      </c>
      <c r="G165" s="27" t="n">
        <v>46041</v>
      </c>
      <c r="H165" s="27" t="n">
        <v>46041</v>
      </c>
      <c r="I165" s="27" t="n">
        <v>46013</v>
      </c>
      <c r="J165" s="27" t="n">
        <v>46027</v>
      </c>
      <c r="K165" t="inlineStr">
        <is>
          <t>Boleto Bancário</t>
        </is>
      </c>
      <c r="L165" t="inlineStr">
        <is>
          <t>Custo Mercadoria Vendida</t>
        </is>
      </c>
      <c r="M165" t="inlineStr">
        <is>
          <t>Insumos - Alimentos</t>
        </is>
      </c>
      <c r="N165" t="inlineStr">
        <is>
          <t>76376</t>
        </is>
      </c>
      <c r="O165" t="inlineStr">
        <is>
          <t>Documentação Aprovada</t>
        </is>
      </c>
      <c r="P165" t="inlineStr">
        <is>
          <t>Aprovado Diretoria</t>
        </is>
      </c>
      <c r="Q165" t="inlineStr">
        <is>
          <t>Aprovado Caixa</t>
        </is>
      </c>
      <c r="R165" t="inlineStr">
        <is>
          <t>Pago</t>
        </is>
      </c>
      <c r="S165" t="n">
        <v>164</v>
      </c>
      <c r="T165" t="inlineStr">
        <is>
          <t>Bar Brahma Granja - FDB Filial - Kamino</t>
        </is>
      </c>
    </row>
    <row r="166">
      <c r="A166" t="n">
        <v>188634</v>
      </c>
      <c r="B166" t="n">
        <v>148</v>
      </c>
      <c r="C166" t="inlineStr">
        <is>
          <t>Bar Brahma - Granja</t>
        </is>
      </c>
      <c r="D166" t="inlineStr">
        <is>
          <t>WPP COMERCIO DE CARNES LTDA</t>
        </is>
      </c>
      <c r="E166" t="n">
        <v>1852.38</v>
      </c>
      <c r="F166" s="27" t="n">
        <v>46041</v>
      </c>
      <c r="G166" s="27" t="n">
        <v>46041</v>
      </c>
      <c r="H166" s="27" t="n">
        <v>46041</v>
      </c>
      <c r="I166" s="27" t="n">
        <v>46013</v>
      </c>
      <c r="J166" s="27" t="n">
        <v>46027</v>
      </c>
      <c r="K166" t="inlineStr">
        <is>
          <t>Boleto Bancário</t>
        </is>
      </c>
      <c r="L166" t="inlineStr">
        <is>
          <t>Custo Mercadoria Vendida</t>
        </is>
      </c>
      <c r="M166" t="inlineStr">
        <is>
          <t>Insumos - Alimentos</t>
        </is>
      </c>
      <c r="N166" t="inlineStr">
        <is>
          <t>76377</t>
        </is>
      </c>
      <c r="O166" t="inlineStr">
        <is>
          <t>Documentação Aprovada</t>
        </is>
      </c>
      <c r="P166" t="inlineStr">
        <is>
          <t>Aprovado Diretoria</t>
        </is>
      </c>
      <c r="Q166" t="inlineStr">
        <is>
          <t>Aprovado Caixa</t>
        </is>
      </c>
      <c r="R166" t="inlineStr">
        <is>
          <t>Pago</t>
        </is>
      </c>
      <c r="S166" t="n">
        <v>164</v>
      </c>
      <c r="T166" t="inlineStr">
        <is>
          <t>Bar Brahma Granja - FDB Filial - Kamino</t>
        </is>
      </c>
    </row>
    <row r="167">
      <c r="A167" t="n">
        <v>187695</v>
      </c>
      <c r="B167" t="n">
        <v>148</v>
      </c>
      <c r="C167" t="inlineStr">
        <is>
          <t>Bar Brahma - Granja</t>
        </is>
      </c>
      <c r="D167" t="inlineStr">
        <is>
          <t>FILIPE FERREIRA OLIVEIRA</t>
        </is>
      </c>
      <c r="E167" t="n">
        <v>650</v>
      </c>
      <c r="F167" s="27" t="n">
        <v>46041</v>
      </c>
      <c r="G167" s="27" t="n">
        <v>46041</v>
      </c>
      <c r="H167" s="27" t="n">
        <v>46041</v>
      </c>
      <c r="I167" s="27" t="n">
        <v>46028</v>
      </c>
      <c r="J167" s="27" t="n">
        <v>46028</v>
      </c>
      <c r="K167" t="inlineStr">
        <is>
          <t>Boleto Bancário</t>
        </is>
      </c>
      <c r="L167" t="inlineStr">
        <is>
          <t>Manutenção</t>
        </is>
      </c>
      <c r="M167" t="inlineStr">
        <is>
          <t>Manutenção de Equipamentos</t>
        </is>
      </c>
      <c r="N167" t="inlineStr">
        <is>
          <t>155</t>
        </is>
      </c>
      <c r="O167" t="inlineStr">
        <is>
          <t>Documentação Aprovada</t>
        </is>
      </c>
      <c r="P167" t="inlineStr">
        <is>
          <t>Aprovado Diretoria</t>
        </is>
      </c>
      <c r="Q167" t="inlineStr">
        <is>
          <t>Aprovado Caixa</t>
        </is>
      </c>
      <c r="R167" t="inlineStr">
        <is>
          <t>Pago</t>
        </is>
      </c>
    </row>
    <row r="168">
      <c r="A168" t="n">
        <v>188628</v>
      </c>
      <c r="B168" t="n">
        <v>148</v>
      </c>
      <c r="C168" t="inlineStr">
        <is>
          <t>Bar Brahma - Granja</t>
        </is>
      </c>
      <c r="D168" t="inlineStr">
        <is>
          <t>HORTA NOVA DISTRIBUIDORA DE HORTIFRUTI LTDA</t>
        </is>
      </c>
      <c r="E168" t="n">
        <v>369.12</v>
      </c>
      <c r="F168" s="27" t="n">
        <v>46040</v>
      </c>
      <c r="G168" s="27" t="n">
        <v>46041</v>
      </c>
      <c r="H168" s="27" t="n">
        <v>46041</v>
      </c>
      <c r="I168" s="27" t="n">
        <v>46010</v>
      </c>
      <c r="J168" s="27" t="n">
        <v>46027</v>
      </c>
      <c r="K168" t="inlineStr">
        <is>
          <t>Boleto Bancário</t>
        </is>
      </c>
      <c r="L168" t="inlineStr">
        <is>
          <t>Custo Mercadoria Vendida</t>
        </is>
      </c>
      <c r="M168" t="inlineStr">
        <is>
          <t>Insumos - Alimentos</t>
        </is>
      </c>
      <c r="N168" t="inlineStr">
        <is>
          <t>8160</t>
        </is>
      </c>
      <c r="O168" t="inlineStr">
        <is>
          <t>Documentação Aprovada</t>
        </is>
      </c>
      <c r="P168" t="inlineStr">
        <is>
          <t>Aprovado Diretoria</t>
        </is>
      </c>
      <c r="Q168" t="inlineStr">
        <is>
          <t>Aprovado Caixa</t>
        </is>
      </c>
      <c r="R168" t="inlineStr">
        <is>
          <t>Pago</t>
        </is>
      </c>
      <c r="S168" t="n">
        <v>164</v>
      </c>
      <c r="T168" t="inlineStr">
        <is>
          <t>Bar Brahma Granja - FDB Filial - Kamino</t>
        </is>
      </c>
    </row>
    <row r="169">
      <c r="A169" t="n">
        <v>186979</v>
      </c>
      <c r="B169" t="n">
        <v>148</v>
      </c>
      <c r="C169" t="inlineStr">
        <is>
          <t>Bar Brahma - Granja</t>
        </is>
      </c>
      <c r="D169" t="inlineStr">
        <is>
          <t>HORTA NOVA DISTRIBUIDORA DE HORTIFRUTI LTDA</t>
        </is>
      </c>
      <c r="E169" t="n">
        <v>460.21</v>
      </c>
      <c r="F169" s="27" t="n">
        <v>46039</v>
      </c>
      <c r="G169" s="27" t="n">
        <v>46041</v>
      </c>
      <c r="H169" s="27" t="n">
        <v>46041</v>
      </c>
      <c r="I169" s="27" t="n">
        <v>46009</v>
      </c>
      <c r="J169" s="27" t="n">
        <v>46021</v>
      </c>
      <c r="K169" t="inlineStr">
        <is>
          <t>Boleto Bancário</t>
        </is>
      </c>
      <c r="L169" t="inlineStr">
        <is>
          <t>Custo Mercadoria Vendida</t>
        </is>
      </c>
      <c r="M169" t="inlineStr">
        <is>
          <t>Insumos - Alimentos</t>
        </is>
      </c>
      <c r="N169" t="inlineStr">
        <is>
          <t>8113</t>
        </is>
      </c>
      <c r="O169" t="inlineStr">
        <is>
          <t>Documentação Aprovada</t>
        </is>
      </c>
      <c r="P169" t="inlineStr">
        <is>
          <t>Aprovado Diretoria</t>
        </is>
      </c>
      <c r="Q169" t="inlineStr">
        <is>
          <t>Aprovado Caixa</t>
        </is>
      </c>
      <c r="R169" t="inlineStr">
        <is>
          <t>Pago</t>
        </is>
      </c>
      <c r="S169" t="n">
        <v>164</v>
      </c>
      <c r="T169" t="inlineStr">
        <is>
          <t>Bar Brahma Granja - FDB Filial - Kamino</t>
        </is>
      </c>
    </row>
    <row r="170">
      <c r="A170" t="n">
        <v>187026</v>
      </c>
      <c r="B170" t="n">
        <v>148</v>
      </c>
      <c r="C170" t="inlineStr">
        <is>
          <t>Bar Brahma - Granja</t>
        </is>
      </c>
      <c r="D170" t="inlineStr">
        <is>
          <t>AMBEV S. A. - CDD SAO PAULO</t>
        </is>
      </c>
      <c r="E170" t="n">
        <v>965.59</v>
      </c>
      <c r="F170" s="27" t="n">
        <v>46041</v>
      </c>
      <c r="G170" s="27" t="n">
        <v>46041</v>
      </c>
      <c r="H170" s="27" t="n">
        <v>46041</v>
      </c>
      <c r="I170" s="27" t="n">
        <v>46009</v>
      </c>
      <c r="J170" s="27" t="n">
        <v>46021</v>
      </c>
      <c r="K170" t="inlineStr">
        <is>
          <t>Boleto Bancário</t>
        </is>
      </c>
      <c r="L170" t="inlineStr">
        <is>
          <t>Custo Mercadoria Vendida</t>
        </is>
      </c>
      <c r="M170" t="inlineStr">
        <is>
          <t>Insumos - Bebidas</t>
        </is>
      </c>
      <c r="N170" t="inlineStr">
        <is>
          <t>795741</t>
        </is>
      </c>
      <c r="O170" t="inlineStr">
        <is>
          <t>Documentação Aprovada</t>
        </is>
      </c>
      <c r="P170" t="inlineStr">
        <is>
          <t>Aprovado Diretoria</t>
        </is>
      </c>
      <c r="Q170" t="inlineStr">
        <is>
          <t>Aprovado Caixa</t>
        </is>
      </c>
      <c r="R170" t="inlineStr">
        <is>
          <t>Pago</t>
        </is>
      </c>
      <c r="S170" t="n">
        <v>164</v>
      </c>
      <c r="T170" t="inlineStr">
        <is>
          <t>Bar Brahma Granja - FDB Filial - Kamino</t>
        </is>
      </c>
    </row>
    <row r="171">
      <c r="A171" t="n">
        <v>187021</v>
      </c>
      <c r="B171" t="n">
        <v>148</v>
      </c>
      <c r="C171" t="inlineStr">
        <is>
          <t>Bar Brahma - Granja</t>
        </is>
      </c>
      <c r="D171" t="inlineStr">
        <is>
          <t>AMBEV S. A. - CDD SAO PAULO</t>
        </is>
      </c>
      <c r="E171" t="n">
        <v>482.81</v>
      </c>
      <c r="F171" s="27" t="n">
        <v>46041</v>
      </c>
      <c r="G171" s="27" t="n">
        <v>46041</v>
      </c>
      <c r="H171" s="27" t="n">
        <v>46041</v>
      </c>
      <c r="I171" s="27" t="n">
        <v>46009</v>
      </c>
      <c r="J171" s="27" t="n">
        <v>46021</v>
      </c>
      <c r="K171" t="inlineStr">
        <is>
          <t>Boleto Bancário</t>
        </is>
      </c>
      <c r="L171" t="inlineStr">
        <is>
          <t>Custo Mercadoria Vendida</t>
        </is>
      </c>
      <c r="M171" t="inlineStr">
        <is>
          <t>Insumos - Bebidas</t>
        </is>
      </c>
      <c r="N171" t="inlineStr">
        <is>
          <t>795742</t>
        </is>
      </c>
      <c r="O171" t="inlineStr">
        <is>
          <t>Documentação Aprovada</t>
        </is>
      </c>
      <c r="P171" t="inlineStr">
        <is>
          <t>Aprovado Diretoria</t>
        </is>
      </c>
      <c r="Q171" t="inlineStr">
        <is>
          <t>Aprovado Caixa</t>
        </is>
      </c>
      <c r="R171" t="inlineStr">
        <is>
          <t>Pago</t>
        </is>
      </c>
      <c r="S171" t="n">
        <v>164</v>
      </c>
      <c r="T171" t="inlineStr">
        <is>
          <t>Bar Brahma Granja - FDB Filial - Kamino</t>
        </is>
      </c>
    </row>
    <row r="172">
      <c r="A172" t="n">
        <v>187017</v>
      </c>
      <c r="B172" t="n">
        <v>148</v>
      </c>
      <c r="C172" t="inlineStr">
        <is>
          <t>Bar Brahma - Granja</t>
        </is>
      </c>
      <c r="D172" t="inlineStr">
        <is>
          <t>AMBEV S. A. - CDD SAO PAULO</t>
        </is>
      </c>
      <c r="E172" t="n">
        <v>482.81</v>
      </c>
      <c r="F172" s="27" t="n">
        <v>46041</v>
      </c>
      <c r="G172" s="27" t="n">
        <v>46041</v>
      </c>
      <c r="H172" s="27" t="n">
        <v>46041</v>
      </c>
      <c r="I172" s="27" t="n">
        <v>46009</v>
      </c>
      <c r="J172" s="27" t="n">
        <v>46021</v>
      </c>
      <c r="K172" t="inlineStr">
        <is>
          <t>Boleto Bancário</t>
        </is>
      </c>
      <c r="L172" t="inlineStr">
        <is>
          <t>Custo Mercadoria Vendida</t>
        </is>
      </c>
      <c r="M172" t="inlineStr">
        <is>
          <t>Insumos - Bebidas</t>
        </is>
      </c>
      <c r="N172" t="inlineStr">
        <is>
          <t>795743</t>
        </is>
      </c>
      <c r="O172" t="inlineStr">
        <is>
          <t>Documentação Aprovada</t>
        </is>
      </c>
      <c r="P172" t="inlineStr">
        <is>
          <t>Aprovado Diretoria</t>
        </is>
      </c>
      <c r="Q172" t="inlineStr">
        <is>
          <t>Aprovado Caixa</t>
        </is>
      </c>
      <c r="R172" t="inlineStr">
        <is>
          <t>Pago</t>
        </is>
      </c>
      <c r="S172" t="n">
        <v>164</v>
      </c>
      <c r="T172" t="inlineStr">
        <is>
          <t>Bar Brahma Granja - FDB Filial - Kamino</t>
        </is>
      </c>
    </row>
    <row r="173">
      <c r="A173" t="n">
        <v>187012</v>
      </c>
      <c r="B173" t="n">
        <v>148</v>
      </c>
      <c r="C173" t="inlineStr">
        <is>
          <t>Bar Brahma - Granja</t>
        </is>
      </c>
      <c r="D173" t="inlineStr">
        <is>
          <t>AMBEV S. A. - CDD SAO PAULO</t>
        </is>
      </c>
      <c r="E173" t="n">
        <v>1932.75</v>
      </c>
      <c r="F173" s="27" t="n">
        <v>46041</v>
      </c>
      <c r="G173" s="27" t="n">
        <v>46041</v>
      </c>
      <c r="H173" s="27" t="n">
        <v>46041</v>
      </c>
      <c r="I173" s="27" t="n">
        <v>46009</v>
      </c>
      <c r="J173" s="27" t="n">
        <v>46021</v>
      </c>
      <c r="K173" t="inlineStr">
        <is>
          <t>Boleto Bancário</t>
        </is>
      </c>
      <c r="L173" t="inlineStr">
        <is>
          <t>Custo Mercadoria Vendida</t>
        </is>
      </c>
      <c r="M173" t="inlineStr">
        <is>
          <t>Insumos - Bebidas</t>
        </is>
      </c>
      <c r="N173" t="inlineStr">
        <is>
          <t>795738</t>
        </is>
      </c>
      <c r="O173" t="inlineStr">
        <is>
          <t>Documentação Aprovada</t>
        </is>
      </c>
      <c r="P173" t="inlineStr">
        <is>
          <t>Aprovado Diretoria</t>
        </is>
      </c>
      <c r="Q173" t="inlineStr">
        <is>
          <t>Aprovado Caixa</t>
        </is>
      </c>
      <c r="R173" t="inlineStr">
        <is>
          <t>Pago</t>
        </is>
      </c>
      <c r="S173" t="n">
        <v>164</v>
      </c>
      <c r="T173" t="inlineStr">
        <is>
          <t>Bar Brahma Granja - FDB Filial - Kamino</t>
        </is>
      </c>
    </row>
    <row r="174">
      <c r="A174" t="n">
        <v>187007</v>
      </c>
      <c r="B174" t="n">
        <v>148</v>
      </c>
      <c r="C174" t="inlineStr">
        <is>
          <t>Bar Brahma - Granja</t>
        </is>
      </c>
      <c r="D174" t="inlineStr">
        <is>
          <t>AMBEV S. A. - CDD SAO PAULO</t>
        </is>
      </c>
      <c r="E174" t="n">
        <v>12075</v>
      </c>
      <c r="F174" s="27" t="n">
        <v>46041</v>
      </c>
      <c r="G174" s="27" t="n">
        <v>46041</v>
      </c>
      <c r="H174" s="27" t="n">
        <v>46041</v>
      </c>
      <c r="I174" s="27" t="n">
        <v>46009</v>
      </c>
      <c r="J174" s="27" t="n">
        <v>46021</v>
      </c>
      <c r="K174" t="inlineStr">
        <is>
          <t>Boleto Bancário</t>
        </is>
      </c>
      <c r="L174" t="inlineStr">
        <is>
          <t>Custo Mercadoria Vendida</t>
        </is>
      </c>
      <c r="M174" t="inlineStr">
        <is>
          <t>Insumos - Bebidas</t>
        </is>
      </c>
      <c r="N174" t="inlineStr">
        <is>
          <t>978633</t>
        </is>
      </c>
      <c r="O174" t="inlineStr">
        <is>
          <t>Documentação Aprovada</t>
        </is>
      </c>
      <c r="P174" t="inlineStr">
        <is>
          <t>Aprovado Diretoria</t>
        </is>
      </c>
      <c r="Q174" t="inlineStr">
        <is>
          <t>Aprovado Caixa</t>
        </is>
      </c>
      <c r="R174" t="inlineStr">
        <is>
          <t>Pago</t>
        </is>
      </c>
      <c r="S174" t="n">
        <v>164</v>
      </c>
      <c r="T174" t="inlineStr">
        <is>
          <t>Bar Brahma Granja - FDB Filial - Kamino</t>
        </is>
      </c>
    </row>
    <row r="175">
      <c r="A175" t="n">
        <v>187004</v>
      </c>
      <c r="B175" t="n">
        <v>148</v>
      </c>
      <c r="C175" t="inlineStr">
        <is>
          <t>Bar Brahma - Granja</t>
        </is>
      </c>
      <c r="D175" t="inlineStr">
        <is>
          <t>AMBEV S. A. - CDD SAO PAULO</t>
        </is>
      </c>
      <c r="E175" t="n">
        <v>919.5599999999999</v>
      </c>
      <c r="F175" s="27" t="n">
        <v>46041</v>
      </c>
      <c r="G175" s="27" t="n">
        <v>46041</v>
      </c>
      <c r="H175" s="27" t="n">
        <v>46041</v>
      </c>
      <c r="I175" s="27" t="n">
        <v>46009</v>
      </c>
      <c r="J175" s="27" t="n">
        <v>46021</v>
      </c>
      <c r="K175" t="inlineStr">
        <is>
          <t>Boleto Bancário</t>
        </is>
      </c>
      <c r="L175" t="inlineStr">
        <is>
          <t>Custo Mercadoria Vendida</t>
        </is>
      </c>
      <c r="M175" t="inlineStr">
        <is>
          <t>Insumos - Bebidas</t>
        </is>
      </c>
      <c r="N175" t="inlineStr">
        <is>
          <t>978632</t>
        </is>
      </c>
      <c r="O175" t="inlineStr">
        <is>
          <t>Documentação Aprovada</t>
        </is>
      </c>
      <c r="P175" t="inlineStr">
        <is>
          <t>Aprovado Diretoria</t>
        </is>
      </c>
      <c r="Q175" t="inlineStr">
        <is>
          <t>Aprovado Caixa</t>
        </is>
      </c>
      <c r="R175" t="inlineStr">
        <is>
          <t>Pago</t>
        </is>
      </c>
      <c r="S175" t="n">
        <v>164</v>
      </c>
      <c r="T175" t="inlineStr">
        <is>
          <t>Bar Brahma Granja - FDB Filial - Kamino</t>
        </is>
      </c>
    </row>
    <row r="176">
      <c r="A176" t="n">
        <v>186999</v>
      </c>
      <c r="B176" t="n">
        <v>148</v>
      </c>
      <c r="C176" t="inlineStr">
        <is>
          <t>Bar Brahma - Granja</t>
        </is>
      </c>
      <c r="D176" t="inlineStr">
        <is>
          <t>AMBEV S. A. - CDD SAO PAULO</t>
        </is>
      </c>
      <c r="E176" t="n">
        <v>1931.2</v>
      </c>
      <c r="F176" s="27" t="n">
        <v>46041</v>
      </c>
      <c r="G176" s="27" t="n">
        <v>46041</v>
      </c>
      <c r="H176" s="27" t="n">
        <v>46041</v>
      </c>
      <c r="I176" s="27" t="n">
        <v>46009</v>
      </c>
      <c r="J176" s="27" t="n">
        <v>46021</v>
      </c>
      <c r="K176" t="inlineStr">
        <is>
          <t>Boleto Bancário</t>
        </is>
      </c>
      <c r="L176" t="inlineStr">
        <is>
          <t>Custo Mercadoria Vendida</t>
        </is>
      </c>
      <c r="M176" t="inlineStr">
        <is>
          <t>Insumos - Bebidas</t>
        </is>
      </c>
      <c r="N176" t="inlineStr">
        <is>
          <t>795740</t>
        </is>
      </c>
      <c r="O176" t="inlineStr">
        <is>
          <t>Documentação Aprovada</t>
        </is>
      </c>
      <c r="P176" t="inlineStr">
        <is>
          <t>Aprovado Diretoria</t>
        </is>
      </c>
      <c r="Q176" t="inlineStr">
        <is>
          <t>Aprovado Caixa</t>
        </is>
      </c>
      <c r="R176" t="inlineStr">
        <is>
          <t>Pago</t>
        </is>
      </c>
      <c r="S176" t="n">
        <v>164</v>
      </c>
      <c r="T176" t="inlineStr">
        <is>
          <t>Bar Brahma Granja - FDB Filial - Kamino</t>
        </is>
      </c>
    </row>
    <row r="177">
      <c r="A177" t="n">
        <v>186985</v>
      </c>
      <c r="B177" t="n">
        <v>148</v>
      </c>
      <c r="C177" t="inlineStr">
        <is>
          <t>Bar Brahma - Granja</t>
        </is>
      </c>
      <c r="D177" t="inlineStr">
        <is>
          <t>EAU - DISTRIBUIDORA DE AGUA MINERAL LTDA</t>
        </is>
      </c>
      <c r="E177" t="n">
        <v>431.1</v>
      </c>
      <c r="F177" s="27" t="n">
        <v>46041</v>
      </c>
      <c r="G177" s="27" t="n">
        <v>46041</v>
      </c>
      <c r="H177" s="27" t="n">
        <v>46041</v>
      </c>
      <c r="I177" s="27" t="n">
        <v>46003</v>
      </c>
      <c r="J177" s="27" t="n">
        <v>46021</v>
      </c>
      <c r="K177" t="inlineStr">
        <is>
          <t>Boleto Bancário</t>
        </is>
      </c>
      <c r="L177" t="inlineStr">
        <is>
          <t>Custo Mercadoria Vendida</t>
        </is>
      </c>
      <c r="M177" t="inlineStr">
        <is>
          <t>Insumos - Bebidas</t>
        </is>
      </c>
      <c r="N177" t="inlineStr">
        <is>
          <t>282285</t>
        </is>
      </c>
      <c r="O177" t="inlineStr">
        <is>
          <t>Documentação Aprovada</t>
        </is>
      </c>
      <c r="P177" t="inlineStr">
        <is>
          <t>Aprovado Diretoria</t>
        </is>
      </c>
      <c r="Q177" t="inlineStr">
        <is>
          <t>Aprovado Caixa</t>
        </is>
      </c>
      <c r="R177" t="inlineStr">
        <is>
          <t>Pago</t>
        </is>
      </c>
      <c r="S177" t="n">
        <v>164</v>
      </c>
      <c r="T177" t="inlineStr">
        <is>
          <t>Bar Brahma Granja - FDB Filial - Kamino</t>
        </is>
      </c>
    </row>
    <row r="178">
      <c r="A178" t="n">
        <v>186992</v>
      </c>
      <c r="B178" t="n">
        <v>148</v>
      </c>
      <c r="C178" t="inlineStr">
        <is>
          <t>Bar Brahma - Granja</t>
        </is>
      </c>
      <c r="D178" t="inlineStr">
        <is>
          <t>ANDREIA SANTOS FREITAS DUARTE</t>
        </is>
      </c>
      <c r="E178" t="n">
        <v>706.21</v>
      </c>
      <c r="F178" s="27" t="n">
        <v>46041</v>
      </c>
      <c r="G178" s="27" t="n">
        <v>46041</v>
      </c>
      <c r="H178" s="27" t="n">
        <v>46041</v>
      </c>
      <c r="I178" s="27" t="n">
        <v>46009</v>
      </c>
      <c r="J178" s="27" t="n">
        <v>46021</v>
      </c>
      <c r="K178" t="inlineStr">
        <is>
          <t>Boleto Bancário</t>
        </is>
      </c>
      <c r="L178" t="inlineStr">
        <is>
          <t>Custo Mercadoria Vendida</t>
        </is>
      </c>
      <c r="M178" t="inlineStr">
        <is>
          <t>Insumos - Alimentos</t>
        </is>
      </c>
      <c r="N178" t="inlineStr">
        <is>
          <t>2344</t>
        </is>
      </c>
      <c r="O178" t="inlineStr">
        <is>
          <t>Documentação Aprovada</t>
        </is>
      </c>
      <c r="P178" t="inlineStr">
        <is>
          <t>Aprovado Diretoria</t>
        </is>
      </c>
      <c r="Q178" t="inlineStr">
        <is>
          <t>Aprovado Caixa</t>
        </is>
      </c>
      <c r="R178" t="inlineStr">
        <is>
          <t>Pago</t>
        </is>
      </c>
      <c r="S178" t="n">
        <v>164</v>
      </c>
      <c r="T178" t="inlineStr">
        <is>
          <t>Bar Brahma Granja - FDB Filial - Kamino</t>
        </is>
      </c>
    </row>
    <row r="179">
      <c r="A179" t="n">
        <v>186990</v>
      </c>
      <c r="B179" t="n">
        <v>148</v>
      </c>
      <c r="C179" t="inlineStr">
        <is>
          <t>Bar Brahma - Granja</t>
        </is>
      </c>
      <c r="D179" t="inlineStr">
        <is>
          <t>ANDREIA SANTOS FREITAS DUARTE</t>
        </is>
      </c>
      <c r="E179" t="n">
        <v>59</v>
      </c>
      <c r="F179" s="27" t="n">
        <v>46041</v>
      </c>
      <c r="G179" s="27" t="n">
        <v>46041</v>
      </c>
      <c r="H179" s="27" t="n">
        <v>46041</v>
      </c>
      <c r="I179" s="27" t="n">
        <v>46008</v>
      </c>
      <c r="J179" s="27" t="n">
        <v>46021</v>
      </c>
      <c r="K179" t="inlineStr">
        <is>
          <t>Boleto Bancário</t>
        </is>
      </c>
      <c r="L179" t="inlineStr">
        <is>
          <t>Utilidades</t>
        </is>
      </c>
      <c r="M179" t="inlineStr">
        <is>
          <t>Higiene e Limpeza</t>
        </is>
      </c>
      <c r="N179" t="inlineStr">
        <is>
          <t>2337</t>
        </is>
      </c>
      <c r="O179" t="inlineStr">
        <is>
          <t>Documentação Aprovada</t>
        </is>
      </c>
      <c r="P179" t="inlineStr">
        <is>
          <t>Aprovado Diretoria</t>
        </is>
      </c>
      <c r="Q179" t="inlineStr">
        <is>
          <t>Aprovado Caixa</t>
        </is>
      </c>
      <c r="R179" t="inlineStr">
        <is>
          <t>Pago</t>
        </is>
      </c>
      <c r="S179" t="n">
        <v>164</v>
      </c>
      <c r="T179" t="inlineStr">
        <is>
          <t>Bar Brahma Granja - FDB Filial - Kamino</t>
        </is>
      </c>
    </row>
    <row r="180">
      <c r="A180" t="n">
        <v>186994</v>
      </c>
      <c r="B180" t="n">
        <v>148</v>
      </c>
      <c r="C180" t="inlineStr">
        <is>
          <t>Bar Brahma - Granja</t>
        </is>
      </c>
      <c r="D180" t="inlineStr">
        <is>
          <t>AMBEV S. A. - CDD SAO PAULO</t>
        </is>
      </c>
      <c r="E180" t="n">
        <v>1931.2</v>
      </c>
      <c r="F180" s="27" t="n">
        <v>46041</v>
      </c>
      <c r="G180" s="27" t="n">
        <v>46041</v>
      </c>
      <c r="H180" s="27" t="n">
        <v>46041</v>
      </c>
      <c r="I180" s="27" t="n">
        <v>46009</v>
      </c>
      <c r="J180" s="27" t="n">
        <v>46021</v>
      </c>
      <c r="K180" t="inlineStr">
        <is>
          <t>Boleto Bancário</t>
        </is>
      </c>
      <c r="L180" t="inlineStr">
        <is>
          <t>Custo Mercadoria Vendida</t>
        </is>
      </c>
      <c r="M180" t="inlineStr">
        <is>
          <t>Insumos - Bebidas</t>
        </is>
      </c>
      <c r="N180" t="inlineStr">
        <is>
          <t>795744</t>
        </is>
      </c>
      <c r="O180" t="inlineStr">
        <is>
          <t>Documentação Aprovada</t>
        </is>
      </c>
      <c r="P180" t="inlineStr">
        <is>
          <t>Aprovado Diretoria</t>
        </is>
      </c>
      <c r="Q180" t="inlineStr">
        <is>
          <t>Aprovado Caixa</t>
        </is>
      </c>
      <c r="R180" t="inlineStr">
        <is>
          <t>Pago</t>
        </is>
      </c>
      <c r="S180" t="n">
        <v>164</v>
      </c>
      <c r="T180" t="inlineStr">
        <is>
          <t>Bar Brahma Granja - FDB Filial - Kamino</t>
        </is>
      </c>
    </row>
    <row r="181">
      <c r="A181" t="n">
        <v>186997</v>
      </c>
      <c r="B181" t="n">
        <v>148</v>
      </c>
      <c r="C181" t="inlineStr">
        <is>
          <t>Bar Brahma - Granja</t>
        </is>
      </c>
      <c r="D181" t="inlineStr">
        <is>
          <t>AMBEV S. A. - CDD SAO PAULO</t>
        </is>
      </c>
      <c r="E181" t="n">
        <v>1931.2</v>
      </c>
      <c r="F181" s="27" t="n">
        <v>46041</v>
      </c>
      <c r="G181" s="27" t="n">
        <v>46041</v>
      </c>
      <c r="H181" s="27" t="n">
        <v>46041</v>
      </c>
      <c r="I181" s="27" t="n">
        <v>46009</v>
      </c>
      <c r="J181" s="27" t="n">
        <v>46021</v>
      </c>
      <c r="K181" t="inlineStr">
        <is>
          <t>Boleto Bancário</t>
        </is>
      </c>
      <c r="L181" t="inlineStr">
        <is>
          <t>Custo Mercadoria Vendida</t>
        </is>
      </c>
      <c r="M181" t="inlineStr">
        <is>
          <t>Insumos - Bebidas</t>
        </is>
      </c>
      <c r="N181" t="inlineStr">
        <is>
          <t>795739</t>
        </is>
      </c>
      <c r="O181" t="inlineStr">
        <is>
          <t>Documentação Aprovada</t>
        </is>
      </c>
      <c r="P181" t="inlineStr">
        <is>
          <t>Aprovado Diretoria</t>
        </is>
      </c>
      <c r="Q181" t="inlineStr">
        <is>
          <t>Aprovado Caixa</t>
        </is>
      </c>
      <c r="R181" t="inlineStr">
        <is>
          <t>Pago</t>
        </is>
      </c>
      <c r="S181" t="n">
        <v>164</v>
      </c>
      <c r="T181" t="inlineStr">
        <is>
          <t>Bar Brahma Granja - FDB Filial - Kamino</t>
        </is>
      </c>
    </row>
    <row r="182">
      <c r="A182" t="n">
        <v>192273</v>
      </c>
      <c r="B182" t="n">
        <v>148</v>
      </c>
      <c r="C182" t="inlineStr">
        <is>
          <t>Bar Brahma - Granja</t>
        </is>
      </c>
      <c r="D182" t="inlineStr">
        <is>
          <t>DIO MIO COMERCIO DE SORVETES LTDA</t>
        </is>
      </c>
      <c r="E182" t="n">
        <v>350.98</v>
      </c>
      <c r="F182" s="27" t="n">
        <v>46041</v>
      </c>
      <c r="G182" s="27" t="n">
        <v>46041</v>
      </c>
      <c r="H182" s="27" t="n">
        <v>46041</v>
      </c>
      <c r="I182" s="27" t="n">
        <v>45982</v>
      </c>
      <c r="J182" s="27" t="n">
        <v>46036</v>
      </c>
      <c r="K182" t="inlineStr">
        <is>
          <t>Transferência Bancária ou Pix</t>
        </is>
      </c>
      <c r="L182" t="inlineStr">
        <is>
          <t>Custo Mercadoria Vendida</t>
        </is>
      </c>
      <c r="M182" t="inlineStr">
        <is>
          <t>Insumos - Alimentos</t>
        </is>
      </c>
      <c r="N182" t="inlineStr">
        <is>
          <t>22199</t>
        </is>
      </c>
      <c r="O182" t="inlineStr">
        <is>
          <t>Documentação Aprovada</t>
        </is>
      </c>
      <c r="P182" t="inlineStr">
        <is>
          <t>Aprovado Diretoria</t>
        </is>
      </c>
      <c r="Q182" t="inlineStr">
        <is>
          <t>Aprovado Caixa</t>
        </is>
      </c>
      <c r="R182" t="inlineStr">
        <is>
          <t>Pago</t>
        </is>
      </c>
      <c r="S182" t="n">
        <v>164</v>
      </c>
      <c r="T182" t="inlineStr">
        <is>
          <t>Bar Brahma Granja - FDB Filial - Kamino</t>
        </is>
      </c>
    </row>
    <row r="183">
      <c r="A183" t="n">
        <v>194607</v>
      </c>
      <c r="B183" t="n">
        <v>148</v>
      </c>
      <c r="C183" t="inlineStr">
        <is>
          <t>Bar Brahma - Granja</t>
        </is>
      </c>
      <c r="D183" t="inlineStr">
        <is>
          <t>CAIXA ECONOMICA FEDERAL</t>
        </is>
      </c>
      <c r="E183" t="n">
        <v>8.5</v>
      </c>
      <c r="F183" s="27" t="n">
        <v>46041</v>
      </c>
      <c r="G183" s="27" t="n"/>
      <c r="H183" s="27" t="n">
        <v>46041</v>
      </c>
      <c r="I183" s="27" t="n">
        <v>46041</v>
      </c>
      <c r="J183" s="27" t="n"/>
      <c r="K183" t="inlineStr">
        <is>
          <t xml:space="preserve">Debito Automático </t>
        </is>
      </c>
      <c r="L183" t="inlineStr">
        <is>
          <t>Despesas Financeiras</t>
        </is>
      </c>
      <c r="M183" t="inlineStr">
        <is>
          <t>Tarifas Bancárias</t>
        </is>
      </c>
      <c r="O183" t="inlineStr">
        <is>
          <t>Documentação Aprovada</t>
        </is>
      </c>
      <c r="P183" t="inlineStr">
        <is>
          <t>Aprovado Diretoria</t>
        </is>
      </c>
      <c r="Q183" t="inlineStr">
        <is>
          <t>Aprovado Caixa</t>
        </is>
      </c>
      <c r="R183" t="inlineStr">
        <is>
          <t>Pago</t>
        </is>
      </c>
      <c r="S183" t="n">
        <v>187</v>
      </c>
      <c r="T183" t="inlineStr">
        <is>
          <t>Bar Brahma Granja - FDB Novo - Caixa</t>
        </is>
      </c>
    </row>
    <row r="184">
      <c r="A184" t="n">
        <v>189607</v>
      </c>
      <c r="B184" t="n">
        <v>148</v>
      </c>
      <c r="C184" t="inlineStr">
        <is>
          <t>Bar Brahma - Granja</t>
        </is>
      </c>
      <c r="D184" t="inlineStr">
        <is>
          <t>BR22 INDUSTRIA E COMERCIO DE ALIMENTOS LTDA</t>
        </is>
      </c>
      <c r="E184" t="n">
        <v>837.27</v>
      </c>
      <c r="F184" s="27" t="n">
        <v>46039</v>
      </c>
      <c r="G184" s="27" t="n">
        <v>46041</v>
      </c>
      <c r="H184" s="27" t="n">
        <v>46041</v>
      </c>
      <c r="I184" s="27" t="n">
        <v>46024</v>
      </c>
      <c r="J184" s="27" t="n">
        <v>46029</v>
      </c>
      <c r="K184" t="inlineStr">
        <is>
          <t>Boleto Bancário</t>
        </is>
      </c>
      <c r="L184" t="inlineStr">
        <is>
          <t>Custo Mercadoria Vendida</t>
        </is>
      </c>
      <c r="M184" t="inlineStr">
        <is>
          <t>Insumos - Alimentos</t>
        </is>
      </c>
      <c r="N184" t="inlineStr">
        <is>
          <t>767</t>
        </is>
      </c>
      <c r="O184" t="inlineStr">
        <is>
          <t>Documentação Aprovada</t>
        </is>
      </c>
      <c r="P184" t="inlineStr">
        <is>
          <t>Aprovado Diretoria</t>
        </is>
      </c>
      <c r="Q184" t="inlineStr">
        <is>
          <t>Aprovado Caixa</t>
        </is>
      </c>
      <c r="R184" t="inlineStr">
        <is>
          <t>Pago</t>
        </is>
      </c>
      <c r="S184" t="n">
        <v>164</v>
      </c>
      <c r="T184" t="inlineStr">
        <is>
          <t>Bar Brahma Granja - FDB Filial - Kamino</t>
        </is>
      </c>
    </row>
    <row r="185">
      <c r="A185" t="n">
        <v>191136</v>
      </c>
      <c r="B185" t="n">
        <v>148</v>
      </c>
      <c r="C185" t="inlineStr">
        <is>
          <t>Bar Brahma - Granja</t>
        </is>
      </c>
      <c r="D185" t="inlineStr">
        <is>
          <t>MARFRIG GLOBAL FOODS S.A.</t>
        </is>
      </c>
      <c r="E185" t="n">
        <v>1327.55</v>
      </c>
      <c r="F185" s="27" t="n">
        <v>46041</v>
      </c>
      <c r="G185" s="27" t="n">
        <v>46041</v>
      </c>
      <c r="H185" s="27" t="n">
        <v>46041</v>
      </c>
      <c r="I185" s="27" t="n">
        <v>46034</v>
      </c>
      <c r="J185" s="27" t="n">
        <v>46034</v>
      </c>
      <c r="K185" t="inlineStr">
        <is>
          <t>Boleto Bancário</t>
        </is>
      </c>
      <c r="L185" t="inlineStr">
        <is>
          <t>Custo Mercadoria Vendida</t>
        </is>
      </c>
      <c r="M185" t="inlineStr">
        <is>
          <t>Insumos - Alimentos</t>
        </is>
      </c>
      <c r="N185" t="inlineStr">
        <is>
          <t>1293093</t>
        </is>
      </c>
      <c r="O185" t="inlineStr">
        <is>
          <t>Documentação Aprovada</t>
        </is>
      </c>
      <c r="P185" t="inlineStr">
        <is>
          <t>Aprovado Diretoria</t>
        </is>
      </c>
      <c r="Q185" t="inlineStr">
        <is>
          <t>Aprovado Caixa</t>
        </is>
      </c>
      <c r="R185" t="inlineStr">
        <is>
          <t>Pago</t>
        </is>
      </c>
      <c r="S185" t="n">
        <v>164</v>
      </c>
      <c r="T185" t="inlineStr">
        <is>
          <t>Bar Brahma Granja - FDB Filial - Kamino</t>
        </is>
      </c>
    </row>
    <row r="186">
      <c r="A186" t="n">
        <v>188919</v>
      </c>
      <c r="B186" t="n">
        <v>148</v>
      </c>
      <c r="C186" t="inlineStr">
        <is>
          <t>Bar Brahma - Granja</t>
        </is>
      </c>
      <c r="D186" t="inlineStr">
        <is>
          <t>DIO MIO COMERCIO DE SORVETES LTDA</t>
        </is>
      </c>
      <c r="E186" t="n">
        <v>584.96</v>
      </c>
      <c r="F186" s="27" t="n">
        <v>46041</v>
      </c>
      <c r="G186" s="27" t="n">
        <v>46041</v>
      </c>
      <c r="H186" s="27" t="n">
        <v>46041</v>
      </c>
      <c r="I186" s="27" t="n">
        <v>46013</v>
      </c>
      <c r="J186" s="27" t="n">
        <v>46028</v>
      </c>
      <c r="K186" t="inlineStr">
        <is>
          <t>Boleto Bancário</t>
        </is>
      </c>
      <c r="L186" t="inlineStr">
        <is>
          <t>Custo Mercadoria Vendida</t>
        </is>
      </c>
      <c r="M186" t="inlineStr">
        <is>
          <t>Insumos - Alimentos</t>
        </is>
      </c>
      <c r="N186" t="inlineStr">
        <is>
          <t>22615</t>
        </is>
      </c>
      <c r="O186" t="inlineStr">
        <is>
          <t>Documentação Aprovada</t>
        </is>
      </c>
      <c r="P186" t="inlineStr">
        <is>
          <t>Aprovado Diretoria</t>
        </is>
      </c>
      <c r="Q186" t="inlineStr">
        <is>
          <t>Aprovado Caixa</t>
        </is>
      </c>
      <c r="R186" t="inlineStr">
        <is>
          <t>Pago</t>
        </is>
      </c>
      <c r="S186" t="n">
        <v>164</v>
      </c>
      <c r="T186" t="inlineStr">
        <is>
          <t>Bar Brahma Granja - FDB Filial - Kamino</t>
        </is>
      </c>
    </row>
    <row r="187">
      <c r="A187" t="n">
        <v>188933</v>
      </c>
      <c r="B187" t="n">
        <v>148</v>
      </c>
      <c r="C187" t="inlineStr">
        <is>
          <t>Bar Brahma - Granja</t>
        </is>
      </c>
      <c r="D187" t="inlineStr">
        <is>
          <t>MARCOS SILVA DO NASCIMENTO</t>
        </is>
      </c>
      <c r="E187" t="n">
        <v>469.77</v>
      </c>
      <c r="F187" s="27" t="n">
        <v>46040</v>
      </c>
      <c r="G187" s="27" t="n">
        <v>46041</v>
      </c>
      <c r="H187" s="27" t="n">
        <v>46041</v>
      </c>
      <c r="I187" s="27" t="n">
        <v>46013</v>
      </c>
      <c r="J187" s="27" t="n">
        <v>46028</v>
      </c>
      <c r="K187" t="inlineStr">
        <is>
          <t>Boleto Bancário</t>
        </is>
      </c>
      <c r="L187" t="inlineStr">
        <is>
          <t>Custo Mercadoria Vendida</t>
        </is>
      </c>
      <c r="M187" t="inlineStr">
        <is>
          <t>Insumos - Alimentos</t>
        </is>
      </c>
      <c r="N187" t="inlineStr">
        <is>
          <t>692</t>
        </is>
      </c>
      <c r="O187" t="inlineStr">
        <is>
          <t>Documentação Aprovada</t>
        </is>
      </c>
      <c r="P187" t="inlineStr">
        <is>
          <t>Aprovado Diretoria</t>
        </is>
      </c>
      <c r="Q187" t="inlineStr">
        <is>
          <t>Aprovado Caixa</t>
        </is>
      </c>
      <c r="R187" t="inlineStr">
        <is>
          <t>Pago</t>
        </is>
      </c>
      <c r="S187" t="n">
        <v>164</v>
      </c>
      <c r="T187" t="inlineStr">
        <is>
          <t>Bar Brahma Granja - FDB Filial - Kamino</t>
        </is>
      </c>
    </row>
    <row r="188">
      <c r="A188" t="n">
        <v>174010</v>
      </c>
      <c r="B188" t="n">
        <v>148</v>
      </c>
      <c r="C188" t="inlineStr">
        <is>
          <t>Bar Brahma - Granja</t>
        </is>
      </c>
      <c r="D188" t="inlineStr">
        <is>
          <t>ESHOWS PROMOCOES ARTISTICAS LTDA</t>
        </is>
      </c>
      <c r="E188" t="n">
        <v>8750</v>
      </c>
      <c r="F188" s="27" t="n">
        <v>46041</v>
      </c>
      <c r="G188" s="27" t="n">
        <v>46041</v>
      </c>
      <c r="H188" s="27" t="n">
        <v>46041</v>
      </c>
      <c r="I188" s="27" t="n">
        <v>46019</v>
      </c>
      <c r="J188" s="27" t="n">
        <v>45972</v>
      </c>
      <c r="K188" t="inlineStr">
        <is>
          <t>Boleto Bancário</t>
        </is>
      </c>
      <c r="L188" t="inlineStr">
        <is>
          <t>Custos Artístico Geral</t>
        </is>
      </c>
      <c r="M188" t="inlineStr">
        <is>
          <t>Cachê de Músicos e Artistas</t>
        </is>
      </c>
      <c r="N188" t="inlineStr">
        <is>
          <t>709572624</t>
        </is>
      </c>
      <c r="O188" t="inlineStr">
        <is>
          <t>Documentação Aprovada</t>
        </is>
      </c>
      <c r="P188" t="inlineStr">
        <is>
          <t>Aprovado Diretoria</t>
        </is>
      </c>
      <c r="Q188" t="inlineStr">
        <is>
          <t>Aprovado Caixa</t>
        </is>
      </c>
      <c r="R188" t="inlineStr">
        <is>
          <t>Pago</t>
        </is>
      </c>
      <c r="S188" t="n">
        <v>164</v>
      </c>
      <c r="T188" t="inlineStr">
        <is>
          <t>Bar Brahma Granja - FDB Filial - Kamino</t>
        </is>
      </c>
    </row>
    <row r="189">
      <c r="A189" t="n">
        <v>173456</v>
      </c>
      <c r="B189" t="n">
        <v>148</v>
      </c>
      <c r="C189" t="inlineStr">
        <is>
          <t>Bar Brahma - Granja</t>
        </is>
      </c>
      <c r="D189" t="inlineStr">
        <is>
          <t xml:space="preserve">KAMINO INSTITUICAO DE PAGAMENTO LTDA </t>
        </is>
      </c>
      <c r="E189" t="n">
        <v>400</v>
      </c>
      <c r="F189" s="27" t="n">
        <v>46040</v>
      </c>
      <c r="G189" s="27" t="n">
        <v>46041</v>
      </c>
      <c r="H189" s="27" t="n">
        <v>46041</v>
      </c>
      <c r="I189" s="27" t="n">
        <v>46021</v>
      </c>
      <c r="J189" s="27" t="n">
        <v>45967</v>
      </c>
      <c r="K189" t="inlineStr">
        <is>
          <t>Boleto Bancário</t>
        </is>
      </c>
      <c r="L189" t="inlineStr">
        <is>
          <t>Despesas Financeiras</t>
        </is>
      </c>
      <c r="M189" t="inlineStr">
        <is>
          <t>Tarifas Bancárias</t>
        </is>
      </c>
      <c r="N189" t="inlineStr">
        <is>
          <t>7886</t>
        </is>
      </c>
      <c r="O189" t="inlineStr">
        <is>
          <t>Documentação Aprovada</t>
        </is>
      </c>
      <c r="P189" t="inlineStr">
        <is>
          <t>Aprovado Diretoria</t>
        </is>
      </c>
      <c r="Q189" t="inlineStr">
        <is>
          <t>Aprovado Caixa</t>
        </is>
      </c>
      <c r="R189" t="inlineStr">
        <is>
          <t>Pago</t>
        </is>
      </c>
      <c r="S189" t="n">
        <v>148</v>
      </c>
      <c r="T189" t="inlineStr">
        <is>
          <t>Bar Brahma Granja - Tutum Filial - Kamino</t>
        </is>
      </c>
    </row>
    <row r="190">
      <c r="A190" t="n">
        <v>173455</v>
      </c>
      <c r="B190" t="n">
        <v>148</v>
      </c>
      <c r="C190" t="inlineStr">
        <is>
          <t>Bar Brahma - Granja</t>
        </is>
      </c>
      <c r="D190" t="inlineStr">
        <is>
          <t xml:space="preserve">KAMINO INSTITUICAO DE PAGAMENTO LTDA </t>
        </is>
      </c>
      <c r="E190" t="n">
        <v>700</v>
      </c>
      <c r="F190" s="27" t="n">
        <v>46040</v>
      </c>
      <c r="G190" s="27" t="n">
        <v>46041</v>
      </c>
      <c r="H190" s="27" t="n">
        <v>46041</v>
      </c>
      <c r="I190" s="27" t="n">
        <v>46021</v>
      </c>
      <c r="J190" s="27" t="n">
        <v>45967</v>
      </c>
      <c r="K190" t="inlineStr">
        <is>
          <t>Boleto Bancário</t>
        </is>
      </c>
      <c r="L190" t="inlineStr">
        <is>
          <t>Despesas Financeiras</t>
        </is>
      </c>
      <c r="M190" t="inlineStr">
        <is>
          <t>Tarifas Bancárias</t>
        </is>
      </c>
      <c r="N190" t="inlineStr">
        <is>
          <t>8264</t>
        </is>
      </c>
      <c r="O190" t="inlineStr">
        <is>
          <t>Documentação Aprovada</t>
        </is>
      </c>
      <c r="P190" t="inlineStr">
        <is>
          <t>Aprovado Diretoria</t>
        </is>
      </c>
      <c r="Q190" t="inlineStr">
        <is>
          <t>Aprovado Caixa</t>
        </is>
      </c>
      <c r="R190" t="inlineStr">
        <is>
          <t>Pago</t>
        </is>
      </c>
      <c r="S190" t="n">
        <v>164</v>
      </c>
      <c r="T190" t="inlineStr">
        <is>
          <t>Bar Brahma Granja - FDB Filial - Kamino</t>
        </is>
      </c>
    </row>
    <row r="191">
      <c r="A191" t="n">
        <v>173213</v>
      </c>
      <c r="B191" t="n">
        <v>148</v>
      </c>
      <c r="C191" t="inlineStr">
        <is>
          <t>Bar Brahma - Granja</t>
        </is>
      </c>
      <c r="D191" t="inlineStr">
        <is>
          <t>GODOI CONSTRUTORA SPE3 LTDA</t>
        </is>
      </c>
      <c r="E191" t="n">
        <v>32041.86</v>
      </c>
      <c r="F191" s="27" t="n">
        <v>46038</v>
      </c>
      <c r="G191" s="27" t="n">
        <v>46038</v>
      </c>
      <c r="H191" s="27" t="n">
        <v>46038</v>
      </c>
      <c r="I191" s="27" t="n">
        <v>46022</v>
      </c>
      <c r="J191" s="27" t="n">
        <v>45967</v>
      </c>
      <c r="K191" t="inlineStr">
        <is>
          <t>Boleto Bancário</t>
        </is>
      </c>
      <c r="L191" t="inlineStr">
        <is>
          <t>Custo de Ocupação</t>
        </is>
      </c>
      <c r="M191" t="inlineStr">
        <is>
          <t>Aluguel de Imoveis</t>
        </is>
      </c>
      <c r="N191" t="inlineStr">
        <is>
          <t>BOL 20512009460201</t>
        </is>
      </c>
      <c r="O191" t="inlineStr">
        <is>
          <t>Documentação Aprovada</t>
        </is>
      </c>
      <c r="P191" t="inlineStr">
        <is>
          <t>Aprovado Diretoria</t>
        </is>
      </c>
      <c r="Q191" t="inlineStr">
        <is>
          <t>Aprovado Caixa</t>
        </is>
      </c>
      <c r="R191" t="inlineStr">
        <is>
          <t>Pago</t>
        </is>
      </c>
      <c r="S191" t="n">
        <v>164</v>
      </c>
      <c r="T191" t="inlineStr">
        <is>
          <t>Bar Brahma Granja - FDB Filial - Kamino</t>
        </is>
      </c>
    </row>
    <row r="192">
      <c r="A192" t="n">
        <v>186975</v>
      </c>
      <c r="B192" t="n">
        <v>148</v>
      </c>
      <c r="C192" t="inlineStr">
        <is>
          <t>Bar Brahma - Granja</t>
        </is>
      </c>
      <c r="D192" t="inlineStr">
        <is>
          <t>EMPORIO M&amp;L COMERCIO DE ALIM E BEBIDAS LTDA</t>
        </is>
      </c>
      <c r="E192" t="n">
        <v>801.3</v>
      </c>
      <c r="F192" s="27" t="n">
        <v>46038</v>
      </c>
      <c r="G192" s="27" t="n">
        <v>46038</v>
      </c>
      <c r="H192" s="27" t="n">
        <v>46038</v>
      </c>
      <c r="I192" s="27" t="n">
        <v>46008</v>
      </c>
      <c r="J192" s="27" t="n">
        <v>46021</v>
      </c>
      <c r="K192" t="inlineStr">
        <is>
          <t>Boleto Bancário</t>
        </is>
      </c>
      <c r="L192" t="inlineStr">
        <is>
          <t>Custo Mercadoria Vendida</t>
        </is>
      </c>
      <c r="M192" t="inlineStr">
        <is>
          <t>Insumos - Alimentos</t>
        </is>
      </c>
      <c r="N192" t="inlineStr">
        <is>
          <t>487544</t>
        </is>
      </c>
      <c r="O192" t="inlineStr">
        <is>
          <t>Documentação Aprovada</t>
        </is>
      </c>
      <c r="P192" t="inlineStr">
        <is>
          <t>Aprovado Diretoria</t>
        </is>
      </c>
      <c r="Q192" t="inlineStr">
        <is>
          <t>Aprovado Caixa</t>
        </is>
      </c>
      <c r="R192" t="inlineStr">
        <is>
          <t>Pago</t>
        </is>
      </c>
      <c r="S192" t="n">
        <v>164</v>
      </c>
      <c r="T192" t="inlineStr">
        <is>
          <t>Bar Brahma Granja - FDB Filial - Kamino</t>
        </is>
      </c>
    </row>
    <row r="193">
      <c r="A193" t="n">
        <v>186971</v>
      </c>
      <c r="B193" t="n">
        <v>148</v>
      </c>
      <c r="C193" t="inlineStr">
        <is>
          <t>Bar Brahma - Granja</t>
        </is>
      </c>
      <c r="D193" t="inlineStr">
        <is>
          <t>HORTA NOVA DISTRIBUIDORA DE HORTIFRUTI LTDA</t>
        </is>
      </c>
      <c r="E193" t="n">
        <v>134.5</v>
      </c>
      <c r="F193" s="27" t="n">
        <v>46038</v>
      </c>
      <c r="G193" s="27" t="n">
        <v>46038</v>
      </c>
      <c r="H193" s="27" t="n">
        <v>46038</v>
      </c>
      <c r="I193" s="27" t="n">
        <v>46008</v>
      </c>
      <c r="J193" s="27" t="n">
        <v>46021</v>
      </c>
      <c r="K193" t="inlineStr">
        <is>
          <t>Boleto Bancário</t>
        </is>
      </c>
      <c r="L193" t="inlineStr">
        <is>
          <t>Custo Mercadoria Vendida</t>
        </is>
      </c>
      <c r="M193" t="inlineStr">
        <is>
          <t>Insumos - Alimentos</t>
        </is>
      </c>
      <c r="N193" t="inlineStr">
        <is>
          <t>8092</t>
        </is>
      </c>
      <c r="O193" t="inlineStr">
        <is>
          <t>Documentação Aprovada</t>
        </is>
      </c>
      <c r="P193" t="inlineStr">
        <is>
          <t>Aprovado Diretoria</t>
        </is>
      </c>
      <c r="Q193" t="inlineStr">
        <is>
          <t>Aprovado Caixa</t>
        </is>
      </c>
      <c r="R193" t="inlineStr">
        <is>
          <t>Pago</t>
        </is>
      </c>
      <c r="S193" t="n">
        <v>164</v>
      </c>
      <c r="T193" t="inlineStr">
        <is>
          <t>Bar Brahma Granja - FDB Filial - Kamino</t>
        </is>
      </c>
    </row>
    <row r="194">
      <c r="A194" t="n">
        <v>186963</v>
      </c>
      <c r="B194" t="n">
        <v>148</v>
      </c>
      <c r="C194" t="inlineStr">
        <is>
          <t>Bar Brahma - Granja</t>
        </is>
      </c>
      <c r="D194" t="inlineStr">
        <is>
          <t>AMBEV S. A. - CDD SAO PAULO</t>
        </is>
      </c>
      <c r="E194" t="n">
        <v>2599.91</v>
      </c>
      <c r="F194" s="27" t="n">
        <v>46038</v>
      </c>
      <c r="G194" s="27" t="n">
        <v>46038</v>
      </c>
      <c r="H194" s="27" t="n">
        <v>46038</v>
      </c>
      <c r="I194" s="27" t="n">
        <v>46007</v>
      </c>
      <c r="J194" s="27" t="n">
        <v>46021</v>
      </c>
      <c r="K194" t="inlineStr">
        <is>
          <t>Boleto Bancário</t>
        </is>
      </c>
      <c r="L194" t="inlineStr">
        <is>
          <t>Custo Mercadoria Vendida</t>
        </is>
      </c>
      <c r="M194" t="inlineStr">
        <is>
          <t>Insumos - Bebidas</t>
        </is>
      </c>
      <c r="N194" t="inlineStr">
        <is>
          <t>975707</t>
        </is>
      </c>
      <c r="O194" t="inlineStr">
        <is>
          <t>Documentação Aprovada</t>
        </is>
      </c>
      <c r="P194" t="inlineStr">
        <is>
          <t>Aprovado Diretoria</t>
        </is>
      </c>
      <c r="Q194" t="inlineStr">
        <is>
          <t>Aprovado Caixa</t>
        </is>
      </c>
      <c r="R194" t="inlineStr">
        <is>
          <t>Pago</t>
        </is>
      </c>
      <c r="S194" t="n">
        <v>164</v>
      </c>
      <c r="T194" t="inlineStr">
        <is>
          <t>Bar Brahma Granja - FDB Filial - Kamino</t>
        </is>
      </c>
    </row>
    <row r="195">
      <c r="A195" t="n">
        <v>186964</v>
      </c>
      <c r="B195" t="n">
        <v>148</v>
      </c>
      <c r="C195" t="inlineStr">
        <is>
          <t>Bar Brahma - Granja</t>
        </is>
      </c>
      <c r="D195" t="inlineStr">
        <is>
          <t>AMBEV S. A. - CDD SAO PAULO</t>
        </is>
      </c>
      <c r="E195" t="n">
        <v>2700.17</v>
      </c>
      <c r="F195" s="27" t="n">
        <v>46038</v>
      </c>
      <c r="G195" s="27" t="n">
        <v>46038</v>
      </c>
      <c r="H195" s="27" t="n">
        <v>46038</v>
      </c>
      <c r="I195" s="27" t="n">
        <v>46007</v>
      </c>
      <c r="J195" s="27" t="n">
        <v>46021</v>
      </c>
      <c r="K195" t="inlineStr">
        <is>
          <t>Boleto Bancário</t>
        </is>
      </c>
      <c r="L195" t="inlineStr">
        <is>
          <t>Custo Mercadoria Vendida</t>
        </is>
      </c>
      <c r="M195" t="inlineStr">
        <is>
          <t>Insumos - Bebidas</t>
        </is>
      </c>
      <c r="N195" t="inlineStr">
        <is>
          <t>975705</t>
        </is>
      </c>
      <c r="O195" t="inlineStr">
        <is>
          <t>Documentação Aprovada</t>
        </is>
      </c>
      <c r="P195" t="inlineStr">
        <is>
          <t>Aprovado Diretoria</t>
        </is>
      </c>
      <c r="Q195" t="inlineStr">
        <is>
          <t>Aprovado Caixa</t>
        </is>
      </c>
      <c r="R195" t="inlineStr">
        <is>
          <t>Pago</t>
        </is>
      </c>
      <c r="S195" t="n">
        <v>164</v>
      </c>
      <c r="T195" t="inlineStr">
        <is>
          <t>Bar Brahma Granja - FDB Filial - Kamino</t>
        </is>
      </c>
    </row>
    <row r="196">
      <c r="A196" t="n">
        <v>186974</v>
      </c>
      <c r="B196" t="n">
        <v>148</v>
      </c>
      <c r="C196" t="inlineStr">
        <is>
          <t>Bar Brahma - Granja</t>
        </is>
      </c>
      <c r="D196" t="inlineStr">
        <is>
          <t>EMPORIO M&amp;L COMERCIO DE ALIM E BEBIDAS LTDA</t>
        </is>
      </c>
      <c r="E196" t="n">
        <v>110.82</v>
      </c>
      <c r="F196" s="27" t="n">
        <v>46038</v>
      </c>
      <c r="G196" s="27" t="n">
        <v>46038</v>
      </c>
      <c r="H196" s="27" t="n">
        <v>46038</v>
      </c>
      <c r="I196" s="27" t="n">
        <v>46008</v>
      </c>
      <c r="J196" s="27" t="n">
        <v>46021</v>
      </c>
      <c r="K196" t="inlineStr">
        <is>
          <t>Boleto Bancário</t>
        </is>
      </c>
      <c r="L196" t="inlineStr">
        <is>
          <t>Custo Mercadoria Vendida</t>
        </is>
      </c>
      <c r="M196" t="inlineStr">
        <is>
          <t>Insumos - Alimentos</t>
        </is>
      </c>
      <c r="N196" t="inlineStr">
        <is>
          <t>487670</t>
        </is>
      </c>
      <c r="O196" t="inlineStr">
        <is>
          <t>Documentação Aprovada</t>
        </is>
      </c>
      <c r="P196" t="inlineStr">
        <is>
          <t>Aprovado Diretoria</t>
        </is>
      </c>
      <c r="Q196" t="inlineStr">
        <is>
          <t>Aprovado Caixa</t>
        </is>
      </c>
      <c r="R196" t="inlineStr">
        <is>
          <t>Pago</t>
        </is>
      </c>
      <c r="S196" t="n">
        <v>164</v>
      </c>
      <c r="T196" t="inlineStr">
        <is>
          <t>Bar Brahma Granja - FDB Filial - Kamino</t>
        </is>
      </c>
    </row>
    <row r="197">
      <c r="A197" t="n">
        <v>188606</v>
      </c>
      <c r="B197" t="n">
        <v>148</v>
      </c>
      <c r="C197" t="inlineStr">
        <is>
          <t>Bar Brahma - Granja</t>
        </is>
      </c>
      <c r="D197" t="inlineStr">
        <is>
          <t>CECILIA TSUYACO ARAKI SILVA LTDA</t>
        </is>
      </c>
      <c r="E197" t="n">
        <v>181.8</v>
      </c>
      <c r="F197" s="27" t="n">
        <v>46038</v>
      </c>
      <c r="G197" s="27" t="n">
        <v>46038</v>
      </c>
      <c r="H197" s="27" t="n">
        <v>46038</v>
      </c>
      <c r="I197" s="27" t="n">
        <v>46010</v>
      </c>
      <c r="J197" s="27" t="n">
        <v>46027</v>
      </c>
      <c r="K197" t="inlineStr">
        <is>
          <t>Boleto Bancário</t>
        </is>
      </c>
      <c r="L197" t="inlineStr">
        <is>
          <t>Custo Mercadoria Vendida</t>
        </is>
      </c>
      <c r="M197" t="inlineStr">
        <is>
          <t>Insumos - Alimentos</t>
        </is>
      </c>
      <c r="N197" t="inlineStr">
        <is>
          <t>383974</t>
        </is>
      </c>
      <c r="O197" t="inlineStr">
        <is>
          <t>Documentação Aprovada</t>
        </is>
      </c>
      <c r="P197" t="inlineStr">
        <is>
          <t>Aprovado Diretoria</t>
        </is>
      </c>
      <c r="Q197" t="inlineStr">
        <is>
          <t>Aprovado Caixa</t>
        </is>
      </c>
      <c r="R197" t="inlineStr">
        <is>
          <t>Pago</t>
        </is>
      </c>
      <c r="S197" t="n">
        <v>164</v>
      </c>
      <c r="T197" t="inlineStr">
        <is>
          <t>Bar Brahma Granja - FDB Filial - Kamino</t>
        </is>
      </c>
    </row>
    <row r="198">
      <c r="A198" t="n">
        <v>188611</v>
      </c>
      <c r="B198" t="n">
        <v>148</v>
      </c>
      <c r="C198" t="inlineStr">
        <is>
          <t>Bar Brahma - Granja</t>
        </is>
      </c>
      <c r="D198" t="inlineStr">
        <is>
          <t>B.B DISTRIBUIDORA DE CARNES LTDA</t>
        </is>
      </c>
      <c r="E198" t="n">
        <v>726</v>
      </c>
      <c r="F198" s="27" t="n">
        <v>46038</v>
      </c>
      <c r="G198" s="27" t="n">
        <v>46038</v>
      </c>
      <c r="H198" s="27" t="n">
        <v>46038</v>
      </c>
      <c r="I198" s="27" t="n">
        <v>46010</v>
      </c>
      <c r="J198" s="27" t="n">
        <v>46027</v>
      </c>
      <c r="K198" t="inlineStr">
        <is>
          <t>Boleto Bancário</t>
        </is>
      </c>
      <c r="L198" t="inlineStr">
        <is>
          <t>Custo Mercadoria Vendida</t>
        </is>
      </c>
      <c r="M198" t="inlineStr">
        <is>
          <t>Insumos - Alimentos</t>
        </is>
      </c>
      <c r="N198" t="inlineStr">
        <is>
          <t>410791</t>
        </is>
      </c>
      <c r="O198" t="inlineStr">
        <is>
          <t>Documentação Aprovada</t>
        </is>
      </c>
      <c r="P198" t="inlineStr">
        <is>
          <t>Aprovado Diretoria</t>
        </is>
      </c>
      <c r="Q198" t="inlineStr">
        <is>
          <t>Aprovado Caixa</t>
        </is>
      </c>
      <c r="R198" t="inlineStr">
        <is>
          <t>Pago</t>
        </is>
      </c>
      <c r="S198" t="n">
        <v>164</v>
      </c>
      <c r="T198" t="inlineStr">
        <is>
          <t>Bar Brahma Granja - FDB Filial - Kamino</t>
        </is>
      </c>
    </row>
    <row r="199">
      <c r="A199" t="n">
        <v>188615</v>
      </c>
      <c r="B199" t="n">
        <v>148</v>
      </c>
      <c r="C199" t="inlineStr">
        <is>
          <t>Bar Brahma - Granja</t>
        </is>
      </c>
      <c r="D199" t="inlineStr">
        <is>
          <t>CEPEL COMERCIO DE PAPEIS E EMBALAGENS LTDA</t>
        </is>
      </c>
      <c r="E199" t="n">
        <v>2320</v>
      </c>
      <c r="F199" s="27" t="n">
        <v>46038</v>
      </c>
      <c r="G199" s="27" t="n">
        <v>46038</v>
      </c>
      <c r="H199" s="27" t="n">
        <v>46038</v>
      </c>
      <c r="I199" s="27" t="n">
        <v>46010</v>
      </c>
      <c r="J199" s="27" t="n">
        <v>46027</v>
      </c>
      <c r="K199" t="inlineStr">
        <is>
          <t>Boleto Bancário</t>
        </is>
      </c>
      <c r="L199" t="inlineStr">
        <is>
          <t>Utilidades</t>
        </is>
      </c>
      <c r="M199" t="inlineStr">
        <is>
          <t>Higiene e Limpeza</t>
        </is>
      </c>
      <c r="N199" t="inlineStr">
        <is>
          <t>255618</t>
        </is>
      </c>
      <c r="O199" t="inlineStr">
        <is>
          <t>Documentação Aprovada</t>
        </is>
      </c>
      <c r="P199" t="inlineStr">
        <is>
          <t>Aprovado Diretoria</t>
        </is>
      </c>
      <c r="Q199" t="inlineStr">
        <is>
          <t>Aprovado Caixa</t>
        </is>
      </c>
      <c r="R199" t="inlineStr">
        <is>
          <t>Pago</t>
        </is>
      </c>
      <c r="S199" t="n">
        <v>164</v>
      </c>
      <c r="T199" t="inlineStr">
        <is>
          <t>Bar Brahma Granja - FDB Filial - Kamino</t>
        </is>
      </c>
    </row>
    <row r="200">
      <c r="A200" t="n">
        <v>188645</v>
      </c>
      <c r="B200" t="n">
        <v>148</v>
      </c>
      <c r="C200" t="inlineStr">
        <is>
          <t>Bar Brahma - Granja</t>
        </is>
      </c>
      <c r="D200" t="inlineStr">
        <is>
          <t>CEPEL COMERCIO DE PAPEIS E EMBALAGENS LTDA</t>
        </is>
      </c>
      <c r="E200" t="n">
        <v>483.65</v>
      </c>
      <c r="F200" s="27" t="n">
        <v>46038</v>
      </c>
      <c r="G200" s="27" t="n">
        <v>46038</v>
      </c>
      <c r="H200" s="27" t="n">
        <v>46038</v>
      </c>
      <c r="I200" s="27" t="n">
        <v>46010</v>
      </c>
      <c r="J200" s="27" t="n">
        <v>46027</v>
      </c>
      <c r="K200" t="inlineStr">
        <is>
          <t>Boleto Bancário</t>
        </is>
      </c>
      <c r="L200" t="inlineStr">
        <is>
          <t>Utilidades</t>
        </is>
      </c>
      <c r="M200" t="inlineStr">
        <is>
          <t>Higiene e Limpeza</t>
        </is>
      </c>
      <c r="N200" t="inlineStr">
        <is>
          <t>255583</t>
        </is>
      </c>
      <c r="O200" t="inlineStr">
        <is>
          <t>Documentação Aprovada</t>
        </is>
      </c>
      <c r="P200" t="inlineStr">
        <is>
          <t>Aprovado Diretoria</t>
        </is>
      </c>
      <c r="Q200" t="inlineStr">
        <is>
          <t>Aprovado Caixa</t>
        </is>
      </c>
      <c r="R200" t="inlineStr">
        <is>
          <t>Pago</t>
        </is>
      </c>
      <c r="S200" t="n">
        <v>164</v>
      </c>
      <c r="T200" t="inlineStr">
        <is>
          <t>Bar Brahma Granja - FDB Filial - Kamino</t>
        </is>
      </c>
    </row>
    <row r="201">
      <c r="A201" t="n">
        <v>188643</v>
      </c>
      <c r="B201" t="n">
        <v>148</v>
      </c>
      <c r="C201" t="inlineStr">
        <is>
          <t>Bar Brahma - Granja</t>
        </is>
      </c>
      <c r="D201" t="inlineStr">
        <is>
          <t>B.B DISTRIBUIDORA DE CARNES LTDA</t>
        </is>
      </c>
      <c r="E201" t="n">
        <v>3283.8</v>
      </c>
      <c r="F201" s="27" t="n">
        <v>46038</v>
      </c>
      <c r="G201" s="27" t="n">
        <v>46038</v>
      </c>
      <c r="H201" s="27" t="n">
        <v>46038</v>
      </c>
      <c r="I201" s="27" t="n">
        <v>46010</v>
      </c>
      <c r="J201" s="27" t="n">
        <v>46027</v>
      </c>
      <c r="K201" t="inlineStr">
        <is>
          <t>Boleto Bancário</t>
        </is>
      </c>
      <c r="L201" t="inlineStr">
        <is>
          <t>Custo Mercadoria Vendida</t>
        </is>
      </c>
      <c r="M201" t="inlineStr">
        <is>
          <t>Insumos - Alimentos</t>
        </is>
      </c>
      <c r="N201" t="inlineStr">
        <is>
          <t>410772</t>
        </is>
      </c>
      <c r="O201" t="inlineStr">
        <is>
          <t>Documentação Aprovada</t>
        </is>
      </c>
      <c r="P201" t="inlineStr">
        <is>
          <t>Aprovado Diretoria</t>
        </is>
      </c>
      <c r="Q201" t="inlineStr">
        <is>
          <t>Aprovado Caixa</t>
        </is>
      </c>
      <c r="R201" t="inlineStr">
        <is>
          <t>Pago</t>
        </is>
      </c>
      <c r="S201" t="n">
        <v>164</v>
      </c>
      <c r="T201" t="inlineStr">
        <is>
          <t>Bar Brahma Granja - FDB Filial - Kamino</t>
        </is>
      </c>
    </row>
    <row r="202">
      <c r="A202" t="n">
        <v>188618</v>
      </c>
      <c r="B202" t="n">
        <v>148</v>
      </c>
      <c r="C202" t="inlineStr">
        <is>
          <t>Bar Brahma - Granja</t>
        </is>
      </c>
      <c r="D202" t="inlineStr">
        <is>
          <t>MARIO PEDRO FELICIANO - HORTIFRUTI</t>
        </is>
      </c>
      <c r="E202" t="n">
        <v>523.15</v>
      </c>
      <c r="F202" s="27" t="n">
        <v>46038</v>
      </c>
      <c r="G202" s="27" t="n">
        <v>46038</v>
      </c>
      <c r="H202" s="27" t="n">
        <v>46038</v>
      </c>
      <c r="I202" s="27" t="n">
        <v>46010</v>
      </c>
      <c r="J202" s="27" t="n">
        <v>46027</v>
      </c>
      <c r="K202" t="inlineStr">
        <is>
          <t>Boleto Bancário</t>
        </is>
      </c>
      <c r="L202" t="inlineStr">
        <is>
          <t>Custo Mercadoria Vendida</t>
        </is>
      </c>
      <c r="M202" t="inlineStr">
        <is>
          <t>Insumos - Alimentos</t>
        </is>
      </c>
      <c r="N202" t="inlineStr">
        <is>
          <t>462539</t>
        </is>
      </c>
      <c r="O202" t="inlineStr">
        <is>
          <t>Documentação Aprovada</t>
        </is>
      </c>
      <c r="P202" t="inlineStr">
        <is>
          <t>Aprovado Diretoria</t>
        </is>
      </c>
      <c r="Q202" t="inlineStr">
        <is>
          <t>Aprovado Caixa</t>
        </is>
      </c>
      <c r="R202" t="inlineStr">
        <is>
          <t>Pago</t>
        </is>
      </c>
      <c r="S202" t="n">
        <v>164</v>
      </c>
      <c r="T202" t="inlineStr">
        <is>
          <t>Bar Brahma Granja - FDB Filial - Kamino</t>
        </is>
      </c>
    </row>
    <row r="203">
      <c r="A203" t="n">
        <v>188633</v>
      </c>
      <c r="B203" t="n">
        <v>148</v>
      </c>
      <c r="C203" t="inlineStr">
        <is>
          <t>Bar Brahma - Granja</t>
        </is>
      </c>
      <c r="D203" t="inlineStr">
        <is>
          <t>WIDE STOCK COMERCIO E DISTRIBUICAO LTDA</t>
        </is>
      </c>
      <c r="E203" t="n">
        <v>337.25</v>
      </c>
      <c r="F203" s="27" t="n">
        <v>46038</v>
      </c>
      <c r="G203" s="27" t="n">
        <v>46038</v>
      </c>
      <c r="H203" s="27" t="n">
        <v>46038</v>
      </c>
      <c r="I203" s="27" t="n">
        <v>46010</v>
      </c>
      <c r="J203" s="27" t="n">
        <v>46027</v>
      </c>
      <c r="K203" t="inlineStr">
        <is>
          <t>Boleto Bancário</t>
        </is>
      </c>
      <c r="L203" t="inlineStr">
        <is>
          <t>Utilidades</t>
        </is>
      </c>
      <c r="M203" t="inlineStr">
        <is>
          <t>Higiene e Limpeza</t>
        </is>
      </c>
      <c r="N203" t="inlineStr">
        <is>
          <t>422814</t>
        </is>
      </c>
      <c r="O203" t="inlineStr">
        <is>
          <t>Documentação Aprovada</t>
        </is>
      </c>
      <c r="P203" t="inlineStr">
        <is>
          <t>Aprovado Diretoria</t>
        </is>
      </c>
      <c r="Q203" t="inlineStr">
        <is>
          <t>Aprovado Caixa</t>
        </is>
      </c>
      <c r="R203" t="inlineStr">
        <is>
          <t>Pago</t>
        </is>
      </c>
      <c r="S203" t="n">
        <v>164</v>
      </c>
      <c r="T203" t="inlineStr">
        <is>
          <t>Bar Brahma Granja - FDB Filial - Kamino</t>
        </is>
      </c>
    </row>
    <row r="204">
      <c r="A204" t="n">
        <v>188624</v>
      </c>
      <c r="B204" t="n">
        <v>148</v>
      </c>
      <c r="C204" t="inlineStr">
        <is>
          <t>Bar Brahma - Granja</t>
        </is>
      </c>
      <c r="D204" t="inlineStr">
        <is>
          <t>CECILIA TSUYACO ARAKI SILVA LTDA</t>
        </is>
      </c>
      <c r="E204" t="n">
        <v>524.25</v>
      </c>
      <c r="F204" s="27" t="n">
        <v>46038</v>
      </c>
      <c r="G204" s="27" t="n">
        <v>46038</v>
      </c>
      <c r="H204" s="27" t="n">
        <v>46038</v>
      </c>
      <c r="I204" s="27" t="n">
        <v>46010</v>
      </c>
      <c r="J204" s="27" t="n">
        <v>46027</v>
      </c>
      <c r="K204" t="inlineStr">
        <is>
          <t>Boleto Bancário</t>
        </is>
      </c>
      <c r="L204" t="inlineStr">
        <is>
          <t>Custo Mercadoria Vendida</t>
        </is>
      </c>
      <c r="M204" t="inlineStr">
        <is>
          <t>Insumos - Alimentos</t>
        </is>
      </c>
      <c r="N204" t="inlineStr">
        <is>
          <t>383941</t>
        </is>
      </c>
      <c r="O204" t="inlineStr">
        <is>
          <t>Documentação Aprovada</t>
        </is>
      </c>
      <c r="P204" t="inlineStr">
        <is>
          <t>Aprovado Diretoria</t>
        </is>
      </c>
      <c r="Q204" t="inlineStr">
        <is>
          <t>Aprovado Caixa</t>
        </is>
      </c>
      <c r="R204" t="inlineStr">
        <is>
          <t>Pago</t>
        </is>
      </c>
      <c r="S204" t="n">
        <v>164</v>
      </c>
      <c r="T204" t="inlineStr">
        <is>
          <t>Bar Brahma Granja - FDB Filial - Kamino</t>
        </is>
      </c>
    </row>
    <row r="205">
      <c r="A205" t="n">
        <v>189605</v>
      </c>
      <c r="B205" t="n">
        <v>148</v>
      </c>
      <c r="C205" t="inlineStr">
        <is>
          <t>Bar Brahma - Granja</t>
        </is>
      </c>
      <c r="D205" t="inlineStr">
        <is>
          <t>NOVA COMERCIAL PESCADOS LTDA</t>
        </is>
      </c>
      <c r="E205" t="n">
        <v>1018.5</v>
      </c>
      <c r="F205" s="27" t="n">
        <v>46038</v>
      </c>
      <c r="G205" s="27" t="n">
        <v>46038</v>
      </c>
      <c r="H205" s="27" t="n">
        <v>46038</v>
      </c>
      <c r="I205" s="27" t="n">
        <v>46024</v>
      </c>
      <c r="J205" s="27" t="n">
        <v>46029</v>
      </c>
      <c r="K205" t="inlineStr">
        <is>
          <t>Boleto Bancário</t>
        </is>
      </c>
      <c r="L205" t="inlineStr">
        <is>
          <t>Custo Mercadoria Vendida</t>
        </is>
      </c>
      <c r="M205" t="inlineStr">
        <is>
          <t>Insumos - Alimentos</t>
        </is>
      </c>
      <c r="N205" t="inlineStr">
        <is>
          <t>30346</t>
        </is>
      </c>
      <c r="O205" t="inlineStr">
        <is>
          <t>Documentação Aprovada</t>
        </is>
      </c>
      <c r="P205" t="inlineStr">
        <is>
          <t>Aprovado Diretoria</t>
        </is>
      </c>
      <c r="Q205" t="inlineStr">
        <is>
          <t>Aprovado Caixa</t>
        </is>
      </c>
      <c r="R205" t="inlineStr">
        <is>
          <t>Pago</t>
        </is>
      </c>
      <c r="S205" t="n">
        <v>164</v>
      </c>
      <c r="T205" t="inlineStr">
        <is>
          <t>Bar Brahma Granja - FDB Filial - Kamino</t>
        </is>
      </c>
    </row>
    <row r="206">
      <c r="A206" t="n">
        <v>189606</v>
      </c>
      <c r="B206" t="n">
        <v>148</v>
      </c>
      <c r="C206" t="inlineStr">
        <is>
          <t>Bar Brahma - Granja</t>
        </is>
      </c>
      <c r="D206" t="inlineStr">
        <is>
          <t>MULTIFRANGOS COMERCIO DE ALIMENTOS LTDA</t>
        </is>
      </c>
      <c r="E206" t="n">
        <v>409.13</v>
      </c>
      <c r="F206" s="27" t="n">
        <v>46038</v>
      </c>
      <c r="G206" s="27" t="n">
        <v>46038</v>
      </c>
      <c r="H206" s="27" t="n">
        <v>46038</v>
      </c>
      <c r="I206" s="27" t="n">
        <v>46024</v>
      </c>
      <c r="J206" s="27" t="n">
        <v>46029</v>
      </c>
      <c r="K206" t="inlineStr">
        <is>
          <t>Boleto Bancário</t>
        </is>
      </c>
      <c r="L206" t="inlineStr">
        <is>
          <t>Custo Mercadoria Vendida</t>
        </is>
      </c>
      <c r="M206" t="inlineStr">
        <is>
          <t>Insumos - Alimentos</t>
        </is>
      </c>
      <c r="N206" t="inlineStr">
        <is>
          <t>937256</t>
        </is>
      </c>
      <c r="O206" t="inlineStr">
        <is>
          <t>Documentação Aprovada</t>
        </is>
      </c>
      <c r="P206" t="inlineStr">
        <is>
          <t>Aprovado Diretoria</t>
        </is>
      </c>
      <c r="Q206" t="inlineStr">
        <is>
          <t>Aprovado Caixa</t>
        </is>
      </c>
      <c r="R206" t="inlineStr">
        <is>
          <t>Pago</t>
        </is>
      </c>
      <c r="S206" t="n">
        <v>164</v>
      </c>
      <c r="T206" t="inlineStr">
        <is>
          <t>Bar Brahma Granja - FDB Filial - Kamino</t>
        </is>
      </c>
    </row>
    <row r="207">
      <c r="A207" t="n">
        <v>190037</v>
      </c>
      <c r="B207" t="n">
        <v>148</v>
      </c>
      <c r="C207" t="inlineStr">
        <is>
          <t>Bar Brahma - Granja</t>
        </is>
      </c>
      <c r="D207" t="inlineStr">
        <is>
          <t>MACRO CONTABILIDADE E CONSULTORIA LTDA</t>
        </is>
      </c>
      <c r="E207" t="n">
        <v>792.3200000000001</v>
      </c>
      <c r="F207" s="27" t="n">
        <v>46037</v>
      </c>
      <c r="G207" s="27" t="n">
        <v>46037</v>
      </c>
      <c r="H207" s="27" t="n">
        <v>46037</v>
      </c>
      <c r="I207" s="27" t="n">
        <v>46027</v>
      </c>
      <c r="J207" s="27" t="n">
        <v>46030</v>
      </c>
      <c r="K207" t="inlineStr">
        <is>
          <t>Boleto Bancário</t>
        </is>
      </c>
      <c r="L207" t="inlineStr">
        <is>
          <t>Serviços de Terceiros</t>
        </is>
      </c>
      <c r="M207" t="inlineStr">
        <is>
          <t>Assessoria Contabil</t>
        </is>
      </c>
      <c r="N207" t="inlineStr">
        <is>
          <t>10197</t>
        </is>
      </c>
      <c r="O207" t="inlineStr">
        <is>
          <t>Documentação Aprovada</t>
        </is>
      </c>
      <c r="P207" t="inlineStr">
        <is>
          <t>Aprovado Diretoria</t>
        </is>
      </c>
      <c r="Q207" t="inlineStr">
        <is>
          <t>Aprovado Caixa</t>
        </is>
      </c>
      <c r="R207" t="inlineStr">
        <is>
          <t>Pago</t>
        </is>
      </c>
      <c r="S207" t="n">
        <v>164</v>
      </c>
      <c r="T207" t="inlineStr">
        <is>
          <t>Bar Brahma Granja - FDB Filial - Kamino</t>
        </is>
      </c>
    </row>
    <row r="208">
      <c r="A208" t="n">
        <v>190135</v>
      </c>
      <c r="B208" t="n">
        <v>148</v>
      </c>
      <c r="C208" t="inlineStr">
        <is>
          <t>Bar Brahma - Granja</t>
        </is>
      </c>
      <c r="D208" t="inlineStr">
        <is>
          <t>ALEX OLIVEIRA DO NASCIMENTO</t>
        </is>
      </c>
      <c r="E208" t="n">
        <v>534</v>
      </c>
      <c r="F208" s="27" t="n">
        <v>46037</v>
      </c>
      <c r="G208" s="27" t="n">
        <v>46037</v>
      </c>
      <c r="H208" s="27" t="n">
        <v>46037</v>
      </c>
      <c r="I208" s="27" t="n">
        <v>46023</v>
      </c>
      <c r="J208" s="27" t="n">
        <v>46030</v>
      </c>
      <c r="K208" t="inlineStr">
        <is>
          <t>Transferência Bancária ou Pix</t>
        </is>
      </c>
      <c r="L208" t="inlineStr">
        <is>
          <t>Mão de Obra - Benefícios</t>
        </is>
      </c>
      <c r="M208" t="inlineStr">
        <is>
          <t xml:space="preserve">  -  Vale-transporte</t>
        </is>
      </c>
      <c r="N208" t="inlineStr">
        <is>
          <t>BOL 84301255</t>
        </is>
      </c>
      <c r="O208" t="inlineStr">
        <is>
          <t>Documentação Aprovada</t>
        </is>
      </c>
      <c r="P208" t="inlineStr">
        <is>
          <t>Aprovado Diretoria</t>
        </is>
      </c>
      <c r="Q208" t="inlineStr">
        <is>
          <t>Aprovado Caixa</t>
        </is>
      </c>
      <c r="R208" t="inlineStr">
        <is>
          <t>Pago</t>
        </is>
      </c>
      <c r="S208" t="n">
        <v>148</v>
      </c>
      <c r="T208" t="inlineStr">
        <is>
          <t>Bar Brahma Granja - Tutum Filial - Kamino</t>
        </is>
      </c>
    </row>
    <row r="209">
      <c r="A209" t="n">
        <v>190049</v>
      </c>
      <c r="B209" t="n">
        <v>148</v>
      </c>
      <c r="C209" t="inlineStr">
        <is>
          <t>Bar Brahma - Granja</t>
        </is>
      </c>
      <c r="D209" t="inlineStr">
        <is>
          <t>MACRO CONTABILIDADE E CONSULTORIA LTDA</t>
        </is>
      </c>
      <c r="E209" t="n">
        <v>1243.14</v>
      </c>
      <c r="F209" s="27" t="n">
        <v>46037</v>
      </c>
      <c r="G209" s="27" t="n">
        <v>46037</v>
      </c>
      <c r="H209" s="27" t="n">
        <v>46037</v>
      </c>
      <c r="I209" s="27" t="n">
        <v>46027</v>
      </c>
      <c r="J209" s="27" t="n">
        <v>46030</v>
      </c>
      <c r="K209" t="inlineStr">
        <is>
          <t>Boleto Bancário</t>
        </is>
      </c>
      <c r="L209" t="inlineStr">
        <is>
          <t>Serviços de Terceiros</t>
        </is>
      </c>
      <c r="M209" t="inlineStr">
        <is>
          <t>Assessoria Contabil</t>
        </is>
      </c>
      <c r="N209" t="inlineStr">
        <is>
          <t>10289</t>
        </is>
      </c>
      <c r="O209" t="inlineStr">
        <is>
          <t>Documentação Aprovada</t>
        </is>
      </c>
      <c r="P209" t="inlineStr">
        <is>
          <t>Aprovado Diretoria</t>
        </is>
      </c>
      <c r="Q209" t="inlineStr">
        <is>
          <t>Aprovado Caixa</t>
        </is>
      </c>
      <c r="R209" t="inlineStr">
        <is>
          <t>Pago</t>
        </is>
      </c>
      <c r="S209" t="n">
        <v>148</v>
      </c>
      <c r="T209" t="inlineStr">
        <is>
          <t>Bar Brahma Granja - Tutum Filial - Kamino</t>
        </is>
      </c>
    </row>
    <row r="210">
      <c r="A210" t="n">
        <v>189989</v>
      </c>
      <c r="B210" t="n">
        <v>148</v>
      </c>
      <c r="C210" t="inlineStr">
        <is>
          <t>Bar Brahma - Granja</t>
        </is>
      </c>
      <c r="D210" t="inlineStr">
        <is>
          <t>STAR COPIAS COMERCIO E SERVICOS LTDA</t>
        </is>
      </c>
      <c r="E210" t="n">
        <v>255</v>
      </c>
      <c r="F210" s="27" t="n">
        <v>46037</v>
      </c>
      <c r="G210" s="27" t="n">
        <v>46037</v>
      </c>
      <c r="H210" s="27" t="n">
        <v>46037</v>
      </c>
      <c r="I210" s="27" t="n">
        <v>46028</v>
      </c>
      <c r="J210" s="27" t="n">
        <v>46030</v>
      </c>
      <c r="K210" t="inlineStr">
        <is>
          <t>Boleto Bancário</t>
        </is>
      </c>
      <c r="L210" t="inlineStr">
        <is>
          <t>Locação de Equipamentos</t>
        </is>
      </c>
      <c r="M210" t="inlineStr">
        <is>
          <t>Locação de Equipamentos - Informatica e TI</t>
        </is>
      </c>
      <c r="N210" t="inlineStr">
        <is>
          <t>4924</t>
        </is>
      </c>
      <c r="O210" t="inlineStr">
        <is>
          <t>Documentação Aprovada</t>
        </is>
      </c>
      <c r="P210" t="inlineStr">
        <is>
          <t>Aprovado Diretoria</t>
        </is>
      </c>
      <c r="Q210" t="inlineStr">
        <is>
          <t>Aprovado Caixa</t>
        </is>
      </c>
      <c r="R210" t="inlineStr">
        <is>
          <t>Pago</t>
        </is>
      </c>
      <c r="S210" t="n">
        <v>164</v>
      </c>
      <c r="T210" t="inlineStr">
        <is>
          <t>Bar Brahma Granja - FDB Filial - Kamino</t>
        </is>
      </c>
    </row>
    <row r="211">
      <c r="A211" t="n">
        <v>189574</v>
      </c>
      <c r="B211" t="n">
        <v>148</v>
      </c>
      <c r="C211" t="inlineStr">
        <is>
          <t>Bar Brahma - Granja</t>
        </is>
      </c>
      <c r="D211" t="inlineStr">
        <is>
          <t>DECOMARTIN IND. COM DE VID E CRIST</t>
        </is>
      </c>
      <c r="E211" t="n">
        <v>591.33</v>
      </c>
      <c r="F211" s="27" t="n">
        <v>46037</v>
      </c>
      <c r="G211" s="27" t="n">
        <v>46037</v>
      </c>
      <c r="H211" s="27" t="n">
        <v>46037</v>
      </c>
      <c r="I211" s="27" t="n">
        <v>46009</v>
      </c>
      <c r="J211" s="27" t="n">
        <v>46029</v>
      </c>
      <c r="K211" t="inlineStr">
        <is>
          <t>Boleto Bancário</t>
        </is>
      </c>
      <c r="L211" t="inlineStr">
        <is>
          <t>Utilidades</t>
        </is>
      </c>
      <c r="M211" t="inlineStr">
        <is>
          <t>Utensilios</t>
        </is>
      </c>
      <c r="N211" t="inlineStr">
        <is>
          <t>31449</t>
        </is>
      </c>
      <c r="O211" t="inlineStr">
        <is>
          <t>Documentação Aprovada</t>
        </is>
      </c>
      <c r="P211" t="inlineStr">
        <is>
          <t>Aprovado Diretoria</t>
        </is>
      </c>
      <c r="Q211" t="inlineStr">
        <is>
          <t>Aprovado Caixa</t>
        </is>
      </c>
      <c r="R211" t="inlineStr">
        <is>
          <t>Pago</t>
        </is>
      </c>
      <c r="S211" t="n">
        <v>164</v>
      </c>
      <c r="T211" t="inlineStr">
        <is>
          <t>Bar Brahma Granja - FDB Filial - Kamino</t>
        </is>
      </c>
    </row>
    <row r="212">
      <c r="A212" t="n">
        <v>188939</v>
      </c>
      <c r="B212" t="n">
        <v>148</v>
      </c>
      <c r="C212" t="inlineStr">
        <is>
          <t>Bar Brahma - Granja</t>
        </is>
      </c>
      <c r="D212" t="inlineStr">
        <is>
          <t>ESTAFF SOLUCOES TECNOLOGICAS DE AGENCIAMENTO LTDA</t>
        </is>
      </c>
      <c r="E212" t="n">
        <v>2449.63</v>
      </c>
      <c r="F212" s="27" t="n">
        <v>46037</v>
      </c>
      <c r="G212" s="27" t="n">
        <v>46037</v>
      </c>
      <c r="H212" s="27" t="n">
        <v>46037</v>
      </c>
      <c r="I212" s="27" t="n">
        <v>46022</v>
      </c>
      <c r="J212" s="27" t="n">
        <v>46028</v>
      </c>
      <c r="K212" t="inlineStr">
        <is>
          <t>Boleto Bancário</t>
        </is>
      </c>
      <c r="L212" t="inlineStr">
        <is>
          <t>Mão de Obra - Extra</t>
        </is>
      </c>
      <c r="M212" t="inlineStr">
        <is>
          <t>Mão de Obra Extra</t>
        </is>
      </c>
      <c r="N212" t="inlineStr">
        <is>
          <t>17654-27786</t>
        </is>
      </c>
      <c r="O212" t="inlineStr">
        <is>
          <t>Documentação Aprovada</t>
        </is>
      </c>
      <c r="P212" t="inlineStr">
        <is>
          <t>Aprovado Diretoria</t>
        </is>
      </c>
      <c r="Q212" t="inlineStr">
        <is>
          <t>Aprovado Caixa</t>
        </is>
      </c>
      <c r="R212" t="inlineStr">
        <is>
          <t>Pago</t>
        </is>
      </c>
      <c r="S212" t="n">
        <v>164</v>
      </c>
      <c r="T212" t="inlineStr">
        <is>
          <t>Bar Brahma Granja - FDB Filial - Kamino</t>
        </is>
      </c>
    </row>
    <row r="213">
      <c r="A213" t="n">
        <v>188944</v>
      </c>
      <c r="B213" t="n">
        <v>148</v>
      </c>
      <c r="C213" t="inlineStr">
        <is>
          <t>Bar Brahma - Granja</t>
        </is>
      </c>
      <c r="D213" t="inlineStr">
        <is>
          <t>ESTAFF SOLUCOES TECNOLOGICAS DE AGENCIAMENTO LTDA</t>
        </is>
      </c>
      <c r="E213" t="n">
        <v>4638.36</v>
      </c>
      <c r="F213" s="27" t="n">
        <v>46037</v>
      </c>
      <c r="G213" s="27" t="n">
        <v>46037</v>
      </c>
      <c r="H213" s="27" t="n">
        <v>46037</v>
      </c>
      <c r="I213" s="27" t="n">
        <v>46026</v>
      </c>
      <c r="J213" s="27" t="n">
        <v>46028</v>
      </c>
      <c r="K213" t="inlineStr">
        <is>
          <t>Boleto Bancário</t>
        </is>
      </c>
      <c r="L213" t="inlineStr">
        <is>
          <t>Mão de Obra - Extra</t>
        </is>
      </c>
      <c r="M213" t="inlineStr">
        <is>
          <t>Mão de Obra Extra</t>
        </is>
      </c>
      <c r="N213" t="inlineStr">
        <is>
          <t>17654-27786</t>
        </is>
      </c>
      <c r="O213" t="inlineStr">
        <is>
          <t>Documentação Aprovada</t>
        </is>
      </c>
      <c r="P213" t="inlineStr">
        <is>
          <t>Aprovado Diretoria</t>
        </is>
      </c>
      <c r="Q213" t="inlineStr">
        <is>
          <t>Aprovado Caixa</t>
        </is>
      </c>
      <c r="R213" t="inlineStr">
        <is>
          <t>Pago</t>
        </is>
      </c>
      <c r="S213" t="n">
        <v>164</v>
      </c>
      <c r="T213" t="inlineStr">
        <is>
          <t>Bar Brahma Granja - FDB Filial - Kamino</t>
        </is>
      </c>
    </row>
    <row r="214">
      <c r="A214" t="n">
        <v>188755</v>
      </c>
      <c r="B214" t="n">
        <v>148</v>
      </c>
      <c r="C214" t="inlineStr">
        <is>
          <t>Bar Brahma - Granja</t>
        </is>
      </c>
      <c r="D214" t="inlineStr">
        <is>
          <t>GET IN TECNOLOGIA S.A.</t>
        </is>
      </c>
      <c r="E214" t="n">
        <v>231.3</v>
      </c>
      <c r="F214" s="27" t="n">
        <v>46037</v>
      </c>
      <c r="G214" s="27" t="n">
        <v>46037</v>
      </c>
      <c r="H214" s="27" t="n">
        <v>46037</v>
      </c>
      <c r="I214" s="27" t="n">
        <v>46023</v>
      </c>
      <c r="J214" s="27" t="n">
        <v>46027</v>
      </c>
      <c r="K214" t="inlineStr">
        <is>
          <t>Boleto Bancário</t>
        </is>
      </c>
      <c r="L214" t="inlineStr">
        <is>
          <t>Informática e TI</t>
        </is>
      </c>
      <c r="M214" t="inlineStr">
        <is>
          <t>Sistemas Gerais - Comunicação e Marketing</t>
        </is>
      </c>
      <c r="N214" t="inlineStr">
        <is>
          <t>64922</t>
        </is>
      </c>
      <c r="O214" t="inlineStr">
        <is>
          <t>Documentação Aprovada</t>
        </is>
      </c>
      <c r="P214" t="inlineStr">
        <is>
          <t>Aprovado Diretoria</t>
        </is>
      </c>
      <c r="Q214" t="inlineStr">
        <is>
          <t>Aprovado Caixa</t>
        </is>
      </c>
      <c r="R214" t="inlineStr">
        <is>
          <t>Pago</t>
        </is>
      </c>
      <c r="S214" t="n">
        <v>164</v>
      </c>
      <c r="T214" t="inlineStr">
        <is>
          <t>Bar Brahma Granja - FDB Filial - Kamino</t>
        </is>
      </c>
    </row>
    <row r="215">
      <c r="A215" t="n">
        <v>172383</v>
      </c>
      <c r="B215" t="n">
        <v>148</v>
      </c>
      <c r="C215" t="inlineStr">
        <is>
          <t>Bar Brahma - Granja</t>
        </is>
      </c>
      <c r="D215" t="inlineStr">
        <is>
          <t>ARTHUR ALVES DA SILVA</t>
        </is>
      </c>
      <c r="E215" t="n">
        <v>1407</v>
      </c>
      <c r="F215" s="27" t="n">
        <v>46037</v>
      </c>
      <c r="G215" s="27" t="n">
        <v>46037</v>
      </c>
      <c r="H215" s="27" t="n">
        <v>46037</v>
      </c>
      <c r="I215" s="27" t="n">
        <v>46034</v>
      </c>
      <c r="J215" s="27" t="n">
        <v>45965</v>
      </c>
      <c r="K215" t="inlineStr">
        <is>
          <t>Transferência Bancária ou Pix</t>
        </is>
      </c>
      <c r="L215" t="inlineStr">
        <is>
          <t>Serviços de Terceiros</t>
        </is>
      </c>
      <c r="M215" t="inlineStr">
        <is>
          <t>Valet/Motoboy</t>
        </is>
      </c>
      <c r="N215" t="inlineStr">
        <is>
          <t>89</t>
        </is>
      </c>
      <c r="O215" t="inlineStr">
        <is>
          <t>Documentação Aprovada</t>
        </is>
      </c>
      <c r="P215" t="inlineStr">
        <is>
          <t>Aprovado Diretoria</t>
        </is>
      </c>
      <c r="Q215" t="inlineStr">
        <is>
          <t>Aprovado Caixa</t>
        </is>
      </c>
      <c r="R215" t="inlineStr">
        <is>
          <t>Pago</t>
        </is>
      </c>
      <c r="S215" t="n">
        <v>164</v>
      </c>
      <c r="T215" t="inlineStr">
        <is>
          <t>Bar Brahma Granja - FDB Filial - Kamino</t>
        </is>
      </c>
    </row>
    <row r="216">
      <c r="A216" t="n">
        <v>187587</v>
      </c>
      <c r="B216" t="n">
        <v>148</v>
      </c>
      <c r="C216" t="inlineStr">
        <is>
          <t>Bar Brahma - Granja</t>
        </is>
      </c>
      <c r="D216" t="inlineStr">
        <is>
          <t>NIVALDO ALVES (SIMBAS)</t>
        </is>
      </c>
      <c r="E216" t="n">
        <v>4500</v>
      </c>
      <c r="F216" s="27" t="n">
        <v>46037</v>
      </c>
      <c r="G216" s="27" t="n">
        <v>46037</v>
      </c>
      <c r="H216" s="27" t="n">
        <v>46037</v>
      </c>
      <c r="I216" s="27" t="n">
        <v>46023</v>
      </c>
      <c r="J216" s="27" t="n">
        <v>46024</v>
      </c>
      <c r="K216" t="inlineStr">
        <is>
          <t>Transferência Bancária ou Pix</t>
        </is>
      </c>
      <c r="L216" t="inlineStr">
        <is>
          <t>Custos Artístico Geral</t>
        </is>
      </c>
      <c r="M216" t="inlineStr">
        <is>
          <t>Locação de Equipamentos Fixo</t>
        </is>
      </c>
      <c r="N216" t="inlineStr">
        <is>
          <t>PROVISAO</t>
        </is>
      </c>
      <c r="O216" t="inlineStr">
        <is>
          <t>Documentação Aprovada</t>
        </is>
      </c>
      <c r="P216" t="inlineStr">
        <is>
          <t>Aprovado Diretoria</t>
        </is>
      </c>
      <c r="Q216" t="inlineStr">
        <is>
          <t>Aprovado Caixa</t>
        </is>
      </c>
      <c r="R216" t="inlineStr">
        <is>
          <t>Pago</t>
        </is>
      </c>
      <c r="S216" t="n">
        <v>164</v>
      </c>
      <c r="T216" t="inlineStr">
        <is>
          <t>Bar Brahma Granja - FDB Filial - Kamino</t>
        </is>
      </c>
    </row>
    <row r="217">
      <c r="A217" t="n">
        <v>187707</v>
      </c>
      <c r="B217" t="n">
        <v>148</v>
      </c>
      <c r="C217" t="inlineStr">
        <is>
          <t>Bar Brahma - Granja</t>
        </is>
      </c>
      <c r="D217" t="inlineStr">
        <is>
          <t>FSM FAZENDA SANTA MARGARIDA LTDA</t>
        </is>
      </c>
      <c r="E217" t="n">
        <v>420</v>
      </c>
      <c r="F217" s="27" t="n">
        <v>46037</v>
      </c>
      <c r="G217" s="27" t="n">
        <v>46037</v>
      </c>
      <c r="H217" s="27" t="n">
        <v>46037</v>
      </c>
      <c r="I217" s="27" t="n">
        <v>46024</v>
      </c>
      <c r="J217" s="27" t="n">
        <v>46024</v>
      </c>
      <c r="K217" t="inlineStr">
        <is>
          <t>Boleto Bancário</t>
        </is>
      </c>
      <c r="L217" t="inlineStr">
        <is>
          <t>Locação de Equipamentos</t>
        </is>
      </c>
      <c r="M217" t="inlineStr">
        <is>
          <t>Locações de Equipamentos - Operacionais</t>
        </is>
      </c>
      <c r="N217" t="inlineStr">
        <is>
          <t>PROVISAO</t>
        </is>
      </c>
      <c r="O217" t="inlineStr">
        <is>
          <t>Documentação Aprovada</t>
        </is>
      </c>
      <c r="P217" t="inlineStr">
        <is>
          <t>Aprovado Diretoria</t>
        </is>
      </c>
      <c r="Q217" t="inlineStr">
        <is>
          <t>Aprovado Caixa</t>
        </is>
      </c>
      <c r="R217" t="inlineStr">
        <is>
          <t>Pago</t>
        </is>
      </c>
      <c r="S217" t="n">
        <v>164</v>
      </c>
      <c r="T217" t="inlineStr">
        <is>
          <t>Bar Brahma Granja - FDB Filial - Kamino</t>
        </is>
      </c>
    </row>
    <row r="218">
      <c r="A218" t="n">
        <v>188640</v>
      </c>
      <c r="B218" t="n">
        <v>148</v>
      </c>
      <c r="C218" t="inlineStr">
        <is>
          <t>Bar Brahma - Granja</t>
        </is>
      </c>
      <c r="D218" t="inlineStr">
        <is>
          <t>MARCOS SILVA DO NASCIMENTO</t>
        </is>
      </c>
      <c r="E218" t="n">
        <v>2449.03</v>
      </c>
      <c r="F218" s="27" t="n">
        <v>46037</v>
      </c>
      <c r="G218" s="27" t="n">
        <v>46037</v>
      </c>
      <c r="H218" s="27" t="n">
        <v>46037</v>
      </c>
      <c r="I218" s="27" t="n">
        <v>46013</v>
      </c>
      <c r="J218" s="27" t="n">
        <v>46027</v>
      </c>
      <c r="K218" t="inlineStr">
        <is>
          <t>Boleto Bancário</t>
        </is>
      </c>
      <c r="L218" t="inlineStr">
        <is>
          <t>Custo Mercadoria Vendida</t>
        </is>
      </c>
      <c r="M218" t="inlineStr">
        <is>
          <t>Insumos - Alimentos</t>
        </is>
      </c>
      <c r="N218" t="inlineStr">
        <is>
          <t>684</t>
        </is>
      </c>
      <c r="O218" t="inlineStr">
        <is>
          <t>Documentação Aprovada</t>
        </is>
      </c>
      <c r="P218" t="inlineStr">
        <is>
          <t>Aprovado Diretoria</t>
        </is>
      </c>
      <c r="Q218" t="inlineStr">
        <is>
          <t>Aprovado Caixa</t>
        </is>
      </c>
      <c r="R218" t="inlineStr">
        <is>
          <t>Pago</t>
        </is>
      </c>
      <c r="S218" t="n">
        <v>164</v>
      </c>
      <c r="T218" t="inlineStr">
        <is>
          <t>Bar Brahma Granja - FDB Filial - Kamino</t>
        </is>
      </c>
    </row>
    <row r="219">
      <c r="A219" t="n">
        <v>187575</v>
      </c>
      <c r="B219" t="n">
        <v>148</v>
      </c>
      <c r="C219" t="inlineStr">
        <is>
          <t>Bar Brahma - Granja</t>
        </is>
      </c>
      <c r="D219" t="inlineStr">
        <is>
          <t>CICERO EDUARDO PEREIRA BRITO</t>
        </is>
      </c>
      <c r="E219" t="n">
        <v>6000</v>
      </c>
      <c r="F219" s="27" t="n">
        <v>46037</v>
      </c>
      <c r="G219" s="27" t="n">
        <v>46037</v>
      </c>
      <c r="H219" s="27" t="n">
        <v>46037</v>
      </c>
      <c r="I219" s="27" t="n">
        <v>46023</v>
      </c>
      <c r="J219" s="27" t="n">
        <v>46024</v>
      </c>
      <c r="K219" t="inlineStr">
        <is>
          <t>Transferência Bancária ou Pix</t>
        </is>
      </c>
      <c r="L219" t="inlineStr">
        <is>
          <t>Custos Artístico Geral</t>
        </is>
      </c>
      <c r="M219" t="inlineStr">
        <is>
          <t>Técnico de Som / Luz</t>
        </is>
      </c>
      <c r="N219" t="inlineStr">
        <is>
          <t>PROVISAO</t>
        </is>
      </c>
      <c r="O219" t="inlineStr">
        <is>
          <t>Documentação Aprovada</t>
        </is>
      </c>
      <c r="P219" t="inlineStr">
        <is>
          <t>Aprovado Diretoria</t>
        </is>
      </c>
      <c r="Q219" t="inlineStr">
        <is>
          <t>Aprovado Caixa</t>
        </is>
      </c>
      <c r="R219" t="inlineStr">
        <is>
          <t>Pago</t>
        </is>
      </c>
      <c r="S219" t="n">
        <v>164</v>
      </c>
      <c r="T219" t="inlineStr">
        <is>
          <t>Bar Brahma Granja - FDB Filial - Kamino</t>
        </is>
      </c>
    </row>
    <row r="220">
      <c r="A220" t="n">
        <v>188552</v>
      </c>
      <c r="B220" t="n">
        <v>148</v>
      </c>
      <c r="C220" t="inlineStr">
        <is>
          <t>Bar Brahma - Granja</t>
        </is>
      </c>
      <c r="D220" t="inlineStr">
        <is>
          <t>FABLAB INOVACAO E SOLUCOES</t>
        </is>
      </c>
      <c r="E220" t="n">
        <v>429</v>
      </c>
      <c r="F220" s="27" t="n">
        <v>46037</v>
      </c>
      <c r="G220" s="27" t="n">
        <v>46037</v>
      </c>
      <c r="H220" s="27" t="n">
        <v>46037</v>
      </c>
      <c r="I220" s="27" t="n">
        <v>46017</v>
      </c>
      <c r="J220" s="27" t="n">
        <v>46027</v>
      </c>
      <c r="K220" t="inlineStr">
        <is>
          <t>Boleto Bancário</t>
        </is>
      </c>
      <c r="L220" t="inlineStr">
        <is>
          <t>Informática e TI</t>
        </is>
      </c>
      <c r="M220" t="inlineStr">
        <is>
          <t>Sistemas Gerais - Financeiros</t>
        </is>
      </c>
      <c r="N220" t="inlineStr">
        <is>
          <t>218</t>
        </is>
      </c>
      <c r="O220" t="inlineStr">
        <is>
          <t>Documentação Aprovada</t>
        </is>
      </c>
      <c r="P220" t="inlineStr">
        <is>
          <t>Aprovado Diretoria</t>
        </is>
      </c>
      <c r="Q220" t="inlineStr">
        <is>
          <t>Aprovado Caixa</t>
        </is>
      </c>
      <c r="R220" t="inlineStr">
        <is>
          <t>Pago</t>
        </is>
      </c>
      <c r="S220" t="n">
        <v>164</v>
      </c>
      <c r="T220" t="inlineStr">
        <is>
          <t>Bar Brahma Granja - FDB Filial - Kamino</t>
        </is>
      </c>
    </row>
    <row r="221">
      <c r="A221" t="n">
        <v>186962</v>
      </c>
      <c r="B221" t="n">
        <v>148</v>
      </c>
      <c r="C221" t="inlineStr">
        <is>
          <t>Bar Brahma - Granja</t>
        </is>
      </c>
      <c r="D221" t="inlineStr">
        <is>
          <t>CECILIA TSUYACO ARAKI SILVA LTDA</t>
        </is>
      </c>
      <c r="E221" t="n">
        <v>630.15</v>
      </c>
      <c r="F221" s="27" t="n">
        <v>46037</v>
      </c>
      <c r="G221" s="27" t="n">
        <v>46037</v>
      </c>
      <c r="H221" s="27" t="n">
        <v>46037</v>
      </c>
      <c r="I221" s="27" t="n">
        <v>46009</v>
      </c>
      <c r="J221" s="27" t="n">
        <v>46021</v>
      </c>
      <c r="K221" t="inlineStr">
        <is>
          <t>Boleto Bancário</t>
        </is>
      </c>
      <c r="L221" t="inlineStr">
        <is>
          <t>Custo Mercadoria Vendida</t>
        </is>
      </c>
      <c r="M221" t="inlineStr">
        <is>
          <t>Insumos - Alimentos</t>
        </is>
      </c>
      <c r="N221" t="inlineStr">
        <is>
          <t>383871</t>
        </is>
      </c>
      <c r="O221" t="inlineStr">
        <is>
          <t>Documentação Aprovada</t>
        </is>
      </c>
      <c r="P221" t="inlineStr">
        <is>
          <t>Aprovado Diretoria</t>
        </is>
      </c>
      <c r="Q221" t="inlineStr">
        <is>
          <t>Aprovado Caixa</t>
        </is>
      </c>
      <c r="R221" t="inlineStr">
        <is>
          <t>Pago</t>
        </is>
      </c>
      <c r="S221" t="n">
        <v>164</v>
      </c>
      <c r="T221" t="inlineStr">
        <is>
          <t>Bar Brahma Granja - FDB Filial - Kamino</t>
        </is>
      </c>
    </row>
    <row r="222">
      <c r="A222" t="n">
        <v>186961</v>
      </c>
      <c r="B222" t="n">
        <v>148</v>
      </c>
      <c r="C222" t="inlineStr">
        <is>
          <t>Bar Brahma - Granja</t>
        </is>
      </c>
      <c r="D222" t="inlineStr">
        <is>
          <t>MARIO PEDRO FELICIANO - HORTIFRUTI</t>
        </is>
      </c>
      <c r="E222" t="n">
        <v>233.67</v>
      </c>
      <c r="F222" s="27" t="n">
        <v>46037</v>
      </c>
      <c r="G222" s="27" t="n">
        <v>46037</v>
      </c>
      <c r="H222" s="27" t="n">
        <v>46037</v>
      </c>
      <c r="I222" s="27" t="n">
        <v>46009</v>
      </c>
      <c r="J222" s="27" t="n">
        <v>46021</v>
      </c>
      <c r="K222" t="inlineStr">
        <is>
          <t>Boleto Bancário</t>
        </is>
      </c>
      <c r="L222" t="inlineStr">
        <is>
          <t>Custo Mercadoria Vendida</t>
        </is>
      </c>
      <c r="M222" t="inlineStr">
        <is>
          <t>Insumos - Alimentos</t>
        </is>
      </c>
      <c r="N222" t="inlineStr">
        <is>
          <t>462480</t>
        </is>
      </c>
      <c r="O222" t="inlineStr">
        <is>
          <t>Documentação Aprovada</t>
        </is>
      </c>
      <c r="P222" t="inlineStr">
        <is>
          <t>Aprovado Diretoria</t>
        </is>
      </c>
      <c r="Q222" t="inlineStr">
        <is>
          <t>Aprovado Caixa</t>
        </is>
      </c>
      <c r="R222" t="inlineStr">
        <is>
          <t>Pago</t>
        </is>
      </c>
      <c r="S222" t="n">
        <v>164</v>
      </c>
      <c r="T222" t="inlineStr">
        <is>
          <t>Bar Brahma Granja - FDB Filial - Kamino</t>
        </is>
      </c>
    </row>
    <row r="223">
      <c r="A223" t="n">
        <v>186960</v>
      </c>
      <c r="B223" t="n">
        <v>148</v>
      </c>
      <c r="C223" t="inlineStr">
        <is>
          <t>Bar Brahma - Granja</t>
        </is>
      </c>
      <c r="D223" t="inlineStr">
        <is>
          <t>DTK COMERCIO DE ALIMENTOS LTDA</t>
        </is>
      </c>
      <c r="E223" t="n">
        <v>241.3</v>
      </c>
      <c r="F223" s="27" t="n">
        <v>46037</v>
      </c>
      <c r="G223" s="27" t="n">
        <v>46037</v>
      </c>
      <c r="H223" s="27" t="n">
        <v>46037</v>
      </c>
      <c r="I223" s="27" t="n">
        <v>46009</v>
      </c>
      <c r="J223" s="27" t="n">
        <v>46021</v>
      </c>
      <c r="K223" t="inlineStr">
        <is>
          <t>Boleto Bancário</t>
        </is>
      </c>
      <c r="L223" t="inlineStr">
        <is>
          <t>Custo Mercadoria Vendida</t>
        </is>
      </c>
      <c r="M223" t="inlineStr">
        <is>
          <t>Insumos - Alimentos</t>
        </is>
      </c>
      <c r="N223" t="inlineStr">
        <is>
          <t>57962</t>
        </is>
      </c>
      <c r="O223" t="inlineStr">
        <is>
          <t>Documentação Aprovada</t>
        </is>
      </c>
      <c r="P223" t="inlineStr">
        <is>
          <t>Aprovado Diretoria</t>
        </is>
      </c>
      <c r="Q223" t="inlineStr">
        <is>
          <t>Aprovado Caixa</t>
        </is>
      </c>
      <c r="R223" t="inlineStr">
        <is>
          <t>Pago</t>
        </is>
      </c>
      <c r="S223" t="n">
        <v>164</v>
      </c>
      <c r="T223" t="inlineStr">
        <is>
          <t>Bar Brahma Granja - FDB Filial - Kamino</t>
        </is>
      </c>
    </row>
    <row r="224">
      <c r="A224" t="n">
        <v>186959</v>
      </c>
      <c r="B224" t="n">
        <v>148</v>
      </c>
      <c r="C224" t="inlineStr">
        <is>
          <t>Bar Brahma - Granja</t>
        </is>
      </c>
      <c r="D224" t="inlineStr">
        <is>
          <t>HORTA NOVA DISTRIBUIDORA DE HORTIFRUTI LTDA</t>
        </is>
      </c>
      <c r="E224" t="n">
        <v>265.66</v>
      </c>
      <c r="F224" s="27" t="n">
        <v>46037</v>
      </c>
      <c r="G224" s="27" t="n">
        <v>46037</v>
      </c>
      <c r="H224" s="27" t="n">
        <v>46037</v>
      </c>
      <c r="I224" s="27" t="n">
        <v>46007</v>
      </c>
      <c r="J224" s="27" t="n">
        <v>46021</v>
      </c>
      <c r="K224" t="inlineStr">
        <is>
          <t>Boleto Bancário</t>
        </is>
      </c>
      <c r="L224" t="inlineStr">
        <is>
          <t>Custo Mercadoria Vendida</t>
        </is>
      </c>
      <c r="M224" t="inlineStr">
        <is>
          <t>Insumos - Alimentos</t>
        </is>
      </c>
      <c r="N224" t="inlineStr">
        <is>
          <t>8058</t>
        </is>
      </c>
      <c r="O224" t="inlineStr">
        <is>
          <t>Documentação Aprovada</t>
        </is>
      </c>
      <c r="P224" t="inlineStr">
        <is>
          <t>Aprovado Diretoria</t>
        </is>
      </c>
      <c r="Q224" t="inlineStr">
        <is>
          <t>Aprovado Caixa</t>
        </is>
      </c>
      <c r="R224" t="inlineStr">
        <is>
          <t>Pago</t>
        </is>
      </c>
      <c r="S224" t="n">
        <v>164</v>
      </c>
      <c r="T224" t="inlineStr">
        <is>
          <t>Bar Brahma Granja - FDB Filial - Kamino</t>
        </is>
      </c>
    </row>
    <row r="225">
      <c r="A225" t="n">
        <v>185716</v>
      </c>
      <c r="B225" t="n">
        <v>148</v>
      </c>
      <c r="C225" t="inlineStr">
        <is>
          <t>Bar Brahma - Granja</t>
        </is>
      </c>
      <c r="D225" t="inlineStr">
        <is>
          <t>PJ 60739274000129</t>
        </is>
      </c>
      <c r="E225" t="n">
        <v>5000</v>
      </c>
      <c r="F225" s="27" t="n">
        <v>46037</v>
      </c>
      <c r="G225" s="27" t="n">
        <v>46037</v>
      </c>
      <c r="H225" s="27" t="n">
        <v>46037</v>
      </c>
      <c r="I225" s="27" t="n">
        <v>45992</v>
      </c>
      <c r="J225" s="27" t="n">
        <v>46015</v>
      </c>
      <c r="K225" t="inlineStr">
        <is>
          <t>Transferência Bancária ou Pix</t>
        </is>
      </c>
      <c r="L225" t="inlineStr">
        <is>
          <t>Mão de Obra - PJ</t>
        </is>
      </c>
      <c r="M225" t="inlineStr">
        <is>
          <t>MDO PJ Fixo</t>
        </is>
      </c>
      <c r="N225" t="inlineStr">
        <is>
          <t>25</t>
        </is>
      </c>
      <c r="O225" t="inlineStr">
        <is>
          <t>Documentação Aprovada</t>
        </is>
      </c>
      <c r="P225" t="inlineStr">
        <is>
          <t>Aprovado Diretoria</t>
        </is>
      </c>
      <c r="Q225" t="inlineStr">
        <is>
          <t>Aprovado Caixa</t>
        </is>
      </c>
      <c r="R225" t="inlineStr">
        <is>
          <t>Pago</t>
        </is>
      </c>
      <c r="S225" t="n">
        <v>148</v>
      </c>
      <c r="T225" t="inlineStr">
        <is>
          <t>Bar Brahma Granja - Tutum Filial - Kamino</t>
        </is>
      </c>
    </row>
    <row r="226">
      <c r="A226" t="n">
        <v>185709</v>
      </c>
      <c r="B226" t="n">
        <v>148</v>
      </c>
      <c r="C226" t="inlineStr">
        <is>
          <t>Bar Brahma - Granja</t>
        </is>
      </c>
      <c r="D226" t="inlineStr">
        <is>
          <t>DUVAL MORITZ DOS SANTOS JUNIOR</t>
        </is>
      </c>
      <c r="E226" t="n">
        <v>2500</v>
      </c>
      <c r="F226" s="27" t="n">
        <v>46031</v>
      </c>
      <c r="G226" s="27" t="n">
        <v>46035</v>
      </c>
      <c r="H226" s="27" t="n">
        <v>46035</v>
      </c>
      <c r="I226" s="27" t="n">
        <v>45992</v>
      </c>
      <c r="J226" s="27" t="n">
        <v>46015</v>
      </c>
      <c r="K226" t="inlineStr">
        <is>
          <t>Transferência Bancária ou Pix</t>
        </is>
      </c>
      <c r="L226" t="inlineStr">
        <is>
          <t>Mão de Obra - PJ</t>
        </is>
      </c>
      <c r="M226" t="inlineStr">
        <is>
          <t>MDO PJ Fixo</t>
        </is>
      </c>
      <c r="N226" t="inlineStr">
        <is>
          <t>REC 12</t>
        </is>
      </c>
      <c r="O226" t="inlineStr">
        <is>
          <t>Documentação Aprovada</t>
        </is>
      </c>
      <c r="P226" t="inlineStr">
        <is>
          <t>Aprovado Diretoria</t>
        </is>
      </c>
      <c r="Q226" t="inlineStr">
        <is>
          <t>Aprovado Caixa</t>
        </is>
      </c>
      <c r="R226" t="inlineStr">
        <is>
          <t>Pago</t>
        </is>
      </c>
      <c r="S226" t="n">
        <v>148</v>
      </c>
      <c r="T226" t="inlineStr">
        <is>
          <t>Bar Brahma Granja - Tutum Filial - Kamino</t>
        </is>
      </c>
    </row>
    <row r="227">
      <c r="A227" t="n">
        <v>185710</v>
      </c>
      <c r="B227" t="n">
        <v>148</v>
      </c>
      <c r="C227" t="inlineStr">
        <is>
          <t>Bar Brahma - Granja</t>
        </is>
      </c>
      <c r="D227" t="inlineStr">
        <is>
          <t>PJ 33065651000119</t>
        </is>
      </c>
      <c r="E227" t="n">
        <v>5000</v>
      </c>
      <c r="F227" s="27" t="n">
        <v>46035</v>
      </c>
      <c r="G227" s="27" t="n">
        <v>46035</v>
      </c>
      <c r="H227" s="27" t="n">
        <v>46035</v>
      </c>
      <c r="I227" s="27" t="n">
        <v>45992</v>
      </c>
      <c r="J227" s="27" t="n">
        <v>46015</v>
      </c>
      <c r="K227" t="inlineStr">
        <is>
          <t>Transferência Bancária ou Pix</t>
        </is>
      </c>
      <c r="L227" t="inlineStr">
        <is>
          <t>Mão de Obra - PJ</t>
        </is>
      </c>
      <c r="M227" t="inlineStr">
        <is>
          <t>MDO PJ Fixo</t>
        </is>
      </c>
      <c r="N227" t="inlineStr">
        <is>
          <t>74</t>
        </is>
      </c>
      <c r="O227" t="inlineStr">
        <is>
          <t>Documentação Aprovada</t>
        </is>
      </c>
      <c r="P227" t="inlineStr">
        <is>
          <t>Aprovado Diretoria</t>
        </is>
      </c>
      <c r="Q227" t="inlineStr">
        <is>
          <t>Aprovado Caixa</t>
        </is>
      </c>
      <c r="R227" t="inlineStr">
        <is>
          <t>Pago</t>
        </is>
      </c>
      <c r="S227" t="n">
        <v>148</v>
      </c>
      <c r="T227" t="inlineStr">
        <is>
          <t>Bar Brahma Granja - Tutum Filial - Kamino</t>
        </is>
      </c>
    </row>
    <row r="228">
      <c r="A228" t="n">
        <v>186948</v>
      </c>
      <c r="B228" t="n">
        <v>148</v>
      </c>
      <c r="C228" t="inlineStr">
        <is>
          <t>Bar Brahma - Granja</t>
        </is>
      </c>
      <c r="D228" t="inlineStr">
        <is>
          <t>DTK COMERCIO DE ALIMENTOS LTDA</t>
        </is>
      </c>
      <c r="E228" t="n">
        <v>1646.65</v>
      </c>
      <c r="F228" s="27" t="n">
        <v>46036</v>
      </c>
      <c r="G228" s="27" t="n">
        <v>46035</v>
      </c>
      <c r="H228" s="27" t="n">
        <v>46035</v>
      </c>
      <c r="I228" s="27" t="n">
        <v>46008</v>
      </c>
      <c r="J228" s="27" t="n">
        <v>46021</v>
      </c>
      <c r="K228" t="inlineStr">
        <is>
          <t>Boleto Bancário</t>
        </is>
      </c>
      <c r="L228" t="inlineStr">
        <is>
          <t>Custo Mercadoria Vendida</t>
        </is>
      </c>
      <c r="M228" t="inlineStr">
        <is>
          <t>Insumos - Alimentos</t>
        </is>
      </c>
      <c r="N228" t="inlineStr">
        <is>
          <t>57801</t>
        </is>
      </c>
      <c r="O228" t="inlineStr">
        <is>
          <t>Documentação Aprovada</t>
        </is>
      </c>
      <c r="P228" t="inlineStr">
        <is>
          <t>Aprovado Diretoria</t>
        </is>
      </c>
      <c r="Q228" t="inlineStr">
        <is>
          <t>Aprovado Caixa</t>
        </is>
      </c>
      <c r="R228" t="inlineStr">
        <is>
          <t>Pago</t>
        </is>
      </c>
      <c r="S228" t="n">
        <v>164</v>
      </c>
      <c r="T228" t="inlineStr">
        <is>
          <t>Bar Brahma Granja - FDB Filial - Kamino</t>
        </is>
      </c>
    </row>
    <row r="229">
      <c r="A229" t="n">
        <v>186918</v>
      </c>
      <c r="B229" t="n">
        <v>148</v>
      </c>
      <c r="C229" t="inlineStr">
        <is>
          <t>Bar Brahma - Granja</t>
        </is>
      </c>
      <c r="D229" t="inlineStr">
        <is>
          <t>B.B DISTRIBUIDORA DE CARNES LTDA</t>
        </is>
      </c>
      <c r="E229" t="n">
        <v>3429.96</v>
      </c>
      <c r="F229" s="27" t="n">
        <v>46035</v>
      </c>
      <c r="G229" s="27" t="n">
        <v>46035</v>
      </c>
      <c r="H229" s="27" t="n">
        <v>46035</v>
      </c>
      <c r="I229" s="27" t="n">
        <v>46007</v>
      </c>
      <c r="J229" s="27" t="n">
        <v>46021</v>
      </c>
      <c r="K229" t="inlineStr">
        <is>
          <t>Boleto Bancário</t>
        </is>
      </c>
      <c r="L229" t="inlineStr">
        <is>
          <t>Custo Mercadoria Vendida</t>
        </is>
      </c>
      <c r="M229" t="inlineStr">
        <is>
          <t>Insumos - Alimentos</t>
        </is>
      </c>
      <c r="N229" t="inlineStr">
        <is>
          <t>410400</t>
        </is>
      </c>
      <c r="O229" t="inlineStr">
        <is>
          <t>Documentação Aprovada</t>
        </is>
      </c>
      <c r="P229" t="inlineStr">
        <is>
          <t>Aprovado Diretoria</t>
        </is>
      </c>
      <c r="Q229" t="inlineStr">
        <is>
          <t>Aprovado Caixa</t>
        </is>
      </c>
      <c r="R229" t="inlineStr">
        <is>
          <t>Pago</t>
        </is>
      </c>
      <c r="S229" t="n">
        <v>164</v>
      </c>
      <c r="T229" t="inlineStr">
        <is>
          <t>Bar Brahma Granja - FDB Filial - Kamino</t>
        </is>
      </c>
    </row>
    <row r="230">
      <c r="A230" t="n">
        <v>186947</v>
      </c>
      <c r="B230" t="n">
        <v>148</v>
      </c>
      <c r="C230" t="inlineStr">
        <is>
          <t>Bar Brahma - Granja</t>
        </is>
      </c>
      <c r="D230" t="inlineStr">
        <is>
          <t>MARIO PEDRO FELICIANO - HORTIFRUTI</t>
        </is>
      </c>
      <c r="E230" t="n">
        <v>72.77</v>
      </c>
      <c r="F230" s="27" t="n">
        <v>46036</v>
      </c>
      <c r="G230" s="27" t="n">
        <v>46035</v>
      </c>
      <c r="H230" s="27" t="n">
        <v>46035</v>
      </c>
      <c r="I230" s="27" t="n">
        <v>46008</v>
      </c>
      <c r="J230" s="27" t="n">
        <v>46021</v>
      </c>
      <c r="K230" t="inlineStr">
        <is>
          <t>Boleto Bancário</t>
        </is>
      </c>
      <c r="L230" t="inlineStr">
        <is>
          <t>Custo Mercadoria Vendida</t>
        </is>
      </c>
      <c r="M230" t="inlineStr">
        <is>
          <t>Insumos - Alimentos</t>
        </is>
      </c>
      <c r="N230" t="inlineStr">
        <is>
          <t>462266</t>
        </is>
      </c>
      <c r="O230" t="inlineStr">
        <is>
          <t>Documentação Aprovada</t>
        </is>
      </c>
      <c r="P230" t="inlineStr">
        <is>
          <t>Aprovado Diretoria</t>
        </is>
      </c>
      <c r="Q230" t="inlineStr">
        <is>
          <t>Aprovado Caixa</t>
        </is>
      </c>
      <c r="R230" t="inlineStr">
        <is>
          <t>Pago</t>
        </is>
      </c>
      <c r="S230" t="n">
        <v>164</v>
      </c>
      <c r="T230" t="inlineStr">
        <is>
          <t>Bar Brahma Granja - FDB Filial - Kamino</t>
        </is>
      </c>
    </row>
    <row r="231">
      <c r="A231" t="n">
        <v>186921</v>
      </c>
      <c r="B231" t="n">
        <v>148</v>
      </c>
      <c r="C231" t="inlineStr">
        <is>
          <t>Bar Brahma - Granja</t>
        </is>
      </c>
      <c r="D231" t="inlineStr">
        <is>
          <t>EMPORIO M&amp;L COMERCIO DE ALIM E BEBIDAS LTDA</t>
        </is>
      </c>
      <c r="E231" t="n">
        <v>262.7</v>
      </c>
      <c r="F231" s="27" t="n">
        <v>46035</v>
      </c>
      <c r="G231" s="27" t="n">
        <v>46035</v>
      </c>
      <c r="H231" s="27" t="n">
        <v>46035</v>
      </c>
      <c r="I231" s="27" t="n">
        <v>46007</v>
      </c>
      <c r="J231" s="27" t="n">
        <v>46021</v>
      </c>
      <c r="K231" t="inlineStr">
        <is>
          <t>Boleto Bancário</t>
        </is>
      </c>
      <c r="L231" t="inlineStr">
        <is>
          <t>Custo Mercadoria Vendida</t>
        </is>
      </c>
      <c r="M231" t="inlineStr">
        <is>
          <t>Insumos - Alimentos</t>
        </is>
      </c>
      <c r="N231" t="inlineStr">
        <is>
          <t>487239</t>
        </is>
      </c>
      <c r="O231" t="inlineStr">
        <is>
          <t>Documentação Aprovada</t>
        </is>
      </c>
      <c r="P231" t="inlineStr">
        <is>
          <t>Aprovado Diretoria</t>
        </is>
      </c>
      <c r="Q231" t="inlineStr">
        <is>
          <t>Aprovado Caixa</t>
        </is>
      </c>
      <c r="R231" t="inlineStr">
        <is>
          <t>Pago</t>
        </is>
      </c>
      <c r="S231" t="n">
        <v>164</v>
      </c>
      <c r="T231" t="inlineStr">
        <is>
          <t>Bar Brahma Granja - FDB Filial - Kamino</t>
        </is>
      </c>
    </row>
    <row r="232">
      <c r="A232" t="n">
        <v>186924</v>
      </c>
      <c r="B232" t="n">
        <v>148</v>
      </c>
      <c r="C232" t="inlineStr">
        <is>
          <t>Bar Brahma - Granja</t>
        </is>
      </c>
      <c r="D232" t="inlineStr">
        <is>
          <t>EMPORIO M&amp;L COMERCIO DE ALIM E BEBIDAS LTDA</t>
        </is>
      </c>
      <c r="E232" t="n">
        <v>4085.77</v>
      </c>
      <c r="F232" s="27" t="n">
        <v>46035</v>
      </c>
      <c r="G232" s="27" t="n">
        <v>46035</v>
      </c>
      <c r="H232" s="27" t="n">
        <v>46035</v>
      </c>
      <c r="I232" s="27" t="n">
        <v>46008</v>
      </c>
      <c r="J232" s="27" t="n">
        <v>46021</v>
      </c>
      <c r="K232" t="inlineStr">
        <is>
          <t>Boleto Bancário</t>
        </is>
      </c>
      <c r="L232" t="inlineStr">
        <is>
          <t>Custo Mercadoria Vendida</t>
        </is>
      </c>
      <c r="M232" t="inlineStr">
        <is>
          <t>Insumos - Alimentos</t>
        </is>
      </c>
      <c r="N232" t="inlineStr">
        <is>
          <t>487584</t>
        </is>
      </c>
      <c r="O232" t="inlineStr">
        <is>
          <t>Documentação Aprovada</t>
        </is>
      </c>
      <c r="P232" t="inlineStr">
        <is>
          <t>Aprovado Diretoria</t>
        </is>
      </c>
      <c r="Q232" t="inlineStr">
        <is>
          <t>Aprovado Caixa</t>
        </is>
      </c>
      <c r="R232" t="inlineStr">
        <is>
          <t>Pago</t>
        </is>
      </c>
      <c r="S232" t="n">
        <v>164</v>
      </c>
      <c r="T232" t="inlineStr">
        <is>
          <t>Bar Brahma Granja - FDB Filial - Kamino</t>
        </is>
      </c>
    </row>
    <row r="233">
      <c r="A233" t="n">
        <v>186928</v>
      </c>
      <c r="B233" t="n">
        <v>148</v>
      </c>
      <c r="C233" t="inlineStr">
        <is>
          <t>Bar Brahma - Granja</t>
        </is>
      </c>
      <c r="D233" t="inlineStr">
        <is>
          <t>WIDE STOCK COMERCIO E DISTRIBUICAO LTDA</t>
        </is>
      </c>
      <c r="E233" t="n">
        <v>386.87</v>
      </c>
      <c r="F233" s="27" t="n">
        <v>46035</v>
      </c>
      <c r="G233" s="27" t="n">
        <v>46035</v>
      </c>
      <c r="H233" s="27" t="n">
        <v>46035</v>
      </c>
      <c r="I233" s="27" t="n">
        <v>46007</v>
      </c>
      <c r="J233" s="27" t="n">
        <v>46021</v>
      </c>
      <c r="K233" t="inlineStr">
        <is>
          <t>Boleto Bancário</t>
        </is>
      </c>
      <c r="L233" t="inlineStr">
        <is>
          <t>Utilidades</t>
        </is>
      </c>
      <c r="M233" t="inlineStr">
        <is>
          <t>Higiene e Limpeza</t>
        </is>
      </c>
      <c r="N233" t="inlineStr">
        <is>
          <t>422474</t>
        </is>
      </c>
      <c r="O233" t="inlineStr">
        <is>
          <t>Documentação Aprovada</t>
        </is>
      </c>
      <c r="P233" t="inlineStr">
        <is>
          <t>Aprovado Diretoria</t>
        </is>
      </c>
      <c r="Q233" t="inlineStr">
        <is>
          <t>Aprovado Caixa</t>
        </is>
      </c>
      <c r="R233" t="inlineStr">
        <is>
          <t>Pago</t>
        </is>
      </c>
      <c r="S233" t="n">
        <v>164</v>
      </c>
      <c r="T233" t="inlineStr">
        <is>
          <t>Bar Brahma Granja - FDB Filial - Kamino</t>
        </is>
      </c>
    </row>
    <row r="234">
      <c r="A234" t="n">
        <v>186930</v>
      </c>
      <c r="B234" t="n">
        <v>148</v>
      </c>
      <c r="C234" t="inlineStr">
        <is>
          <t>Bar Brahma - Granja</t>
        </is>
      </c>
      <c r="D234" t="inlineStr">
        <is>
          <t>EAU - DISTRIBUIDORA DE AGUA MINERAL LTDA</t>
        </is>
      </c>
      <c r="E234" t="n">
        <v>272.1</v>
      </c>
      <c r="F234" s="27" t="n">
        <v>46035</v>
      </c>
      <c r="G234" s="27" t="n">
        <v>46035</v>
      </c>
      <c r="H234" s="27" t="n">
        <v>46035</v>
      </c>
      <c r="I234" s="27" t="n">
        <v>45999</v>
      </c>
      <c r="J234" s="27" t="n">
        <v>46021</v>
      </c>
      <c r="K234" t="inlineStr">
        <is>
          <t>Boleto Bancário</t>
        </is>
      </c>
      <c r="L234" t="inlineStr">
        <is>
          <t>Custo Mercadoria Vendida</t>
        </is>
      </c>
      <c r="M234" t="inlineStr">
        <is>
          <t>Insumos - Bebidas</t>
        </is>
      </c>
      <c r="N234" t="inlineStr">
        <is>
          <t>281281</t>
        </is>
      </c>
      <c r="O234" t="inlineStr">
        <is>
          <t>Documentação Aprovada</t>
        </is>
      </c>
      <c r="P234" t="inlineStr">
        <is>
          <t>Aprovado Diretoria</t>
        </is>
      </c>
      <c r="Q234" t="inlineStr">
        <is>
          <t>Aprovado Caixa</t>
        </is>
      </c>
      <c r="R234" t="inlineStr">
        <is>
          <t>Pago</t>
        </is>
      </c>
      <c r="S234" t="n">
        <v>164</v>
      </c>
      <c r="T234" t="inlineStr">
        <is>
          <t>Bar Brahma Granja - FDB Filial - Kamino</t>
        </is>
      </c>
    </row>
    <row r="235">
      <c r="A235" t="n">
        <v>186931</v>
      </c>
      <c r="B235" t="n">
        <v>148</v>
      </c>
      <c r="C235" t="inlineStr">
        <is>
          <t>Bar Brahma - Granja</t>
        </is>
      </c>
      <c r="D235" t="inlineStr">
        <is>
          <t>CECILIA TSUYACO ARAKI SILVA LTDA</t>
        </is>
      </c>
      <c r="E235" t="n">
        <v>369.6</v>
      </c>
      <c r="F235" s="27" t="n">
        <v>46035</v>
      </c>
      <c r="G235" s="27" t="n">
        <v>46035</v>
      </c>
      <c r="H235" s="27" t="n">
        <v>46035</v>
      </c>
      <c r="I235" s="27" t="n">
        <v>46007</v>
      </c>
      <c r="J235" s="27" t="n">
        <v>46021</v>
      </c>
      <c r="K235" t="inlineStr">
        <is>
          <t>Boleto Bancário</t>
        </is>
      </c>
      <c r="L235" t="inlineStr">
        <is>
          <t>Custo Mercadoria Vendida</t>
        </is>
      </c>
      <c r="M235" t="inlineStr">
        <is>
          <t>Insumos - Alimentos</t>
        </is>
      </c>
      <c r="N235" t="inlineStr">
        <is>
          <t>383726</t>
        </is>
      </c>
      <c r="O235" t="inlineStr">
        <is>
          <t>Documentação Aprovada</t>
        </is>
      </c>
      <c r="P235" t="inlineStr">
        <is>
          <t>Aprovado Diretoria</t>
        </is>
      </c>
      <c r="Q235" t="inlineStr">
        <is>
          <t>Aprovado Caixa</t>
        </is>
      </c>
      <c r="R235" t="inlineStr">
        <is>
          <t>Pago</t>
        </is>
      </c>
      <c r="S235" t="n">
        <v>164</v>
      </c>
      <c r="T235" t="inlineStr">
        <is>
          <t>Bar Brahma Granja - FDB Filial - Kamino</t>
        </is>
      </c>
    </row>
    <row r="236">
      <c r="A236" t="n">
        <v>186933</v>
      </c>
      <c r="B236" t="n">
        <v>148</v>
      </c>
      <c r="C236" t="inlineStr">
        <is>
          <t>Bar Brahma - Granja</t>
        </is>
      </c>
      <c r="D236" t="inlineStr">
        <is>
          <t>GILBERTO FERREIRA SILVA JUNIOR</t>
        </is>
      </c>
      <c r="E236" t="n">
        <v>800</v>
      </c>
      <c r="F236" s="27" t="n">
        <v>46035</v>
      </c>
      <c r="G236" s="27" t="n">
        <v>46035</v>
      </c>
      <c r="H236" s="27" t="n">
        <v>46035</v>
      </c>
      <c r="I236" s="27" t="n">
        <v>46006</v>
      </c>
      <c r="J236" s="27" t="n">
        <v>46021</v>
      </c>
      <c r="K236" t="inlineStr">
        <is>
          <t>Boleto Bancário</t>
        </is>
      </c>
      <c r="L236" t="inlineStr">
        <is>
          <t>Utilidades</t>
        </is>
      </c>
      <c r="M236" t="inlineStr">
        <is>
          <t>Higiene e Limpeza</t>
        </is>
      </c>
      <c r="N236" t="inlineStr">
        <is>
          <t>26</t>
        </is>
      </c>
      <c r="O236" t="inlineStr">
        <is>
          <t>Documentação Aprovada</t>
        </is>
      </c>
      <c r="P236" t="inlineStr">
        <is>
          <t>Aprovado Diretoria</t>
        </is>
      </c>
      <c r="Q236" t="inlineStr">
        <is>
          <t>Aprovado Caixa</t>
        </is>
      </c>
      <c r="R236" t="inlineStr">
        <is>
          <t>Pago</t>
        </is>
      </c>
      <c r="S236" t="n">
        <v>164</v>
      </c>
      <c r="T236" t="inlineStr">
        <is>
          <t>Bar Brahma Granja - FDB Filial - Kamino</t>
        </is>
      </c>
    </row>
    <row r="237">
      <c r="A237" t="n">
        <v>186950</v>
      </c>
      <c r="B237" t="n">
        <v>148</v>
      </c>
      <c r="C237" t="inlineStr">
        <is>
          <t>Bar Brahma - Granja</t>
        </is>
      </c>
      <c r="D237" t="inlineStr">
        <is>
          <t>CECILIA TSUYACO ARAKI SILVA LTDA</t>
        </is>
      </c>
      <c r="E237" t="n">
        <v>272.7</v>
      </c>
      <c r="F237" s="27" t="n">
        <v>46036</v>
      </c>
      <c r="G237" s="27" t="n">
        <v>46035</v>
      </c>
      <c r="H237" s="27" t="n">
        <v>46035</v>
      </c>
      <c r="I237" s="27" t="n">
        <v>46008</v>
      </c>
      <c r="J237" s="27" t="n">
        <v>46021</v>
      </c>
      <c r="K237" t="inlineStr">
        <is>
          <t>Boleto Bancário</t>
        </is>
      </c>
      <c r="L237" t="inlineStr">
        <is>
          <t>Custo Mercadoria Vendida</t>
        </is>
      </c>
      <c r="M237" t="inlineStr">
        <is>
          <t>Insumos - Alimentos</t>
        </is>
      </c>
      <c r="N237" t="inlineStr">
        <is>
          <t>383778</t>
        </is>
      </c>
      <c r="O237" t="inlineStr">
        <is>
          <t>Documentação Aprovada</t>
        </is>
      </c>
      <c r="P237" t="inlineStr">
        <is>
          <t>Aprovado Diretoria</t>
        </is>
      </c>
      <c r="Q237" t="inlineStr">
        <is>
          <t>Aprovado Caixa</t>
        </is>
      </c>
      <c r="R237" t="inlineStr">
        <is>
          <t>Pago</t>
        </is>
      </c>
      <c r="S237" t="n">
        <v>164</v>
      </c>
      <c r="T237" t="inlineStr">
        <is>
          <t>Bar Brahma Granja - FDB Filial - Kamino</t>
        </is>
      </c>
    </row>
    <row r="238">
      <c r="A238" t="n">
        <v>186919</v>
      </c>
      <c r="B238" t="n">
        <v>148</v>
      </c>
      <c r="C238" t="inlineStr">
        <is>
          <t>Bar Brahma - Granja</t>
        </is>
      </c>
      <c r="D238" t="inlineStr">
        <is>
          <t>EMPORIO M&amp;L COMERCIO DE ALIM E BEBIDAS LTDA</t>
        </is>
      </c>
      <c r="E238" t="n">
        <v>657.5</v>
      </c>
      <c r="F238" s="27" t="n">
        <v>46035</v>
      </c>
      <c r="G238" s="27" t="n">
        <v>46035</v>
      </c>
      <c r="H238" s="27" t="n">
        <v>46035</v>
      </c>
      <c r="I238" s="27" t="n">
        <v>46007</v>
      </c>
      <c r="J238" s="27" t="n">
        <v>46021</v>
      </c>
      <c r="K238" t="inlineStr">
        <is>
          <t>Boleto Bancário</t>
        </is>
      </c>
      <c r="L238" t="inlineStr">
        <is>
          <t>Custo Mercadoria Vendida</t>
        </is>
      </c>
      <c r="M238" t="inlineStr">
        <is>
          <t>Insumos - Bebidas</t>
        </is>
      </c>
      <c r="N238" t="inlineStr">
        <is>
          <t>487328</t>
        </is>
      </c>
      <c r="O238" t="inlineStr">
        <is>
          <t>Documentação Aprovada</t>
        </is>
      </c>
      <c r="P238" t="inlineStr">
        <is>
          <t>Aprovado Diretoria</t>
        </is>
      </c>
      <c r="Q238" t="inlineStr">
        <is>
          <t>Aprovado Caixa</t>
        </is>
      </c>
      <c r="R238" t="inlineStr">
        <is>
          <t>Pago</t>
        </is>
      </c>
      <c r="S238" t="n">
        <v>164</v>
      </c>
      <c r="T238" t="inlineStr">
        <is>
          <t>Bar Brahma Granja - FDB Filial - Kamino</t>
        </is>
      </c>
    </row>
    <row r="239">
      <c r="A239" t="n">
        <v>186917</v>
      </c>
      <c r="B239" t="n">
        <v>148</v>
      </c>
      <c r="C239" t="inlineStr">
        <is>
          <t>Bar Brahma - Granja</t>
        </is>
      </c>
      <c r="D239" t="inlineStr">
        <is>
          <t>MARIO PEDRO FELICIANO - HORTIFRUTI</t>
        </is>
      </c>
      <c r="E239" t="n">
        <v>289.17</v>
      </c>
      <c r="F239" s="27" t="n">
        <v>46035</v>
      </c>
      <c r="G239" s="27" t="n">
        <v>46035</v>
      </c>
      <c r="H239" s="27" t="n">
        <v>46035</v>
      </c>
      <c r="I239" s="27" t="n">
        <v>46007</v>
      </c>
      <c r="J239" s="27" t="n">
        <v>46021</v>
      </c>
      <c r="K239" t="inlineStr">
        <is>
          <t>Boleto Bancário</t>
        </is>
      </c>
      <c r="L239" t="inlineStr">
        <is>
          <t>Custo Mercadoria Vendida</t>
        </is>
      </c>
      <c r="M239" t="inlineStr">
        <is>
          <t>Insumos - Alimentos</t>
        </is>
      </c>
      <c r="N239" t="inlineStr">
        <is>
          <t>462198</t>
        </is>
      </c>
      <c r="O239" t="inlineStr">
        <is>
          <t>Documentação Aprovada</t>
        </is>
      </c>
      <c r="P239" t="inlineStr">
        <is>
          <t>Aprovado Diretoria</t>
        </is>
      </c>
      <c r="Q239" t="inlineStr">
        <is>
          <t>Aprovado Caixa</t>
        </is>
      </c>
      <c r="R239" t="inlineStr">
        <is>
          <t>Pago</t>
        </is>
      </c>
      <c r="S239" t="n">
        <v>164</v>
      </c>
      <c r="T239" t="inlineStr">
        <is>
          <t>Bar Brahma Granja - FDB Filial - Kamino</t>
        </is>
      </c>
    </row>
    <row r="240">
      <c r="A240" t="n">
        <v>186952</v>
      </c>
      <c r="B240" t="n">
        <v>148</v>
      </c>
      <c r="C240" t="inlineStr">
        <is>
          <t>Bar Brahma - Granja</t>
        </is>
      </c>
      <c r="D240" t="inlineStr">
        <is>
          <t xml:space="preserve">ARENA VIP DISTRIBUIDORA DE BEBIDAS LTDA </t>
        </is>
      </c>
      <c r="E240" t="n">
        <v>165</v>
      </c>
      <c r="F240" s="27" t="n">
        <v>46036</v>
      </c>
      <c r="G240" s="27" t="n">
        <v>46035</v>
      </c>
      <c r="H240" s="27" t="n">
        <v>46035</v>
      </c>
      <c r="I240" s="27" t="n">
        <v>46008</v>
      </c>
      <c r="J240" s="27" t="n">
        <v>46021</v>
      </c>
      <c r="K240" t="inlineStr">
        <is>
          <t>Boleto Bancário</t>
        </is>
      </c>
      <c r="L240" t="inlineStr">
        <is>
          <t>Custo Mercadoria Vendida</t>
        </is>
      </c>
      <c r="M240" t="inlineStr">
        <is>
          <t>Insumos - Bebidas</t>
        </is>
      </c>
      <c r="N240" t="inlineStr">
        <is>
          <t>22522</t>
        </is>
      </c>
      <c r="O240" t="inlineStr">
        <is>
          <t>Documentação Aprovada</t>
        </is>
      </c>
      <c r="P240" t="inlineStr">
        <is>
          <t>Aprovado Diretoria</t>
        </is>
      </c>
      <c r="Q240" t="inlineStr">
        <is>
          <t>Aprovado Caixa</t>
        </is>
      </c>
      <c r="R240" t="inlineStr">
        <is>
          <t>Pago</t>
        </is>
      </c>
      <c r="S240" t="n">
        <v>164</v>
      </c>
      <c r="T240" t="inlineStr">
        <is>
          <t>Bar Brahma Granja - FDB Filial - Kamino</t>
        </is>
      </c>
    </row>
    <row r="241">
      <c r="A241" t="n">
        <v>186953</v>
      </c>
      <c r="B241" t="n">
        <v>148</v>
      </c>
      <c r="C241" t="inlineStr">
        <is>
          <t>Bar Brahma - Granja</t>
        </is>
      </c>
      <c r="D241" t="inlineStr">
        <is>
          <t>WPP COMERCIO DE CARNES LTDA</t>
        </is>
      </c>
      <c r="E241" t="n">
        <v>2351.95</v>
      </c>
      <c r="F241" s="27" t="n">
        <v>46036</v>
      </c>
      <c r="G241" s="27" t="n">
        <v>46035</v>
      </c>
      <c r="H241" s="27" t="n">
        <v>46035</v>
      </c>
      <c r="I241" s="27" t="n">
        <v>46008</v>
      </c>
      <c r="J241" s="27" t="n">
        <v>46021</v>
      </c>
      <c r="K241" t="inlineStr">
        <is>
          <t>Boleto Bancário</t>
        </is>
      </c>
      <c r="L241" t="inlineStr">
        <is>
          <t>Custo Mercadoria Vendida</t>
        </is>
      </c>
      <c r="M241" t="inlineStr">
        <is>
          <t>Insumos - Alimentos</t>
        </is>
      </c>
      <c r="N241" t="inlineStr">
        <is>
          <t>76285</t>
        </is>
      </c>
      <c r="O241" t="inlineStr">
        <is>
          <t>Documentação Aprovada</t>
        </is>
      </c>
      <c r="P241" t="inlineStr">
        <is>
          <t>Aprovado Diretoria</t>
        </is>
      </c>
      <c r="Q241" t="inlineStr">
        <is>
          <t>Aprovado Caixa</t>
        </is>
      </c>
      <c r="R241" t="inlineStr">
        <is>
          <t>Pago</t>
        </is>
      </c>
      <c r="S241" t="n">
        <v>164</v>
      </c>
      <c r="T241" t="inlineStr">
        <is>
          <t>Bar Brahma Granja - FDB Filial - Kamino</t>
        </is>
      </c>
    </row>
    <row r="242">
      <c r="A242" t="n">
        <v>186954</v>
      </c>
      <c r="B242" t="n">
        <v>148</v>
      </c>
      <c r="C242" t="inlineStr">
        <is>
          <t>Bar Brahma - Granja</t>
        </is>
      </c>
      <c r="D242" t="inlineStr">
        <is>
          <t>B.B DISTRIBUIDORA DE CARNES LTDA</t>
        </is>
      </c>
      <c r="E242" t="n">
        <v>399</v>
      </c>
      <c r="F242" s="27" t="n">
        <v>46036</v>
      </c>
      <c r="G242" s="27" t="n">
        <v>46035</v>
      </c>
      <c r="H242" s="27" t="n">
        <v>46035</v>
      </c>
      <c r="I242" s="27" t="n">
        <v>46008</v>
      </c>
      <c r="J242" s="27" t="n">
        <v>46021</v>
      </c>
      <c r="K242" t="inlineStr">
        <is>
          <t>Boleto Bancário</t>
        </is>
      </c>
      <c r="L242" t="inlineStr">
        <is>
          <t>Custo Mercadoria Vendida</t>
        </is>
      </c>
      <c r="M242" t="inlineStr">
        <is>
          <t>Insumos - Alimentos</t>
        </is>
      </c>
      <c r="N242" t="inlineStr">
        <is>
          <t>410511</t>
        </is>
      </c>
      <c r="O242" t="inlineStr">
        <is>
          <t>Documentação Aprovada</t>
        </is>
      </c>
      <c r="P242" t="inlineStr">
        <is>
          <t>Aprovado Diretoria</t>
        </is>
      </c>
      <c r="Q242" t="inlineStr">
        <is>
          <t>Aprovado Caixa</t>
        </is>
      </c>
      <c r="R242" t="inlineStr">
        <is>
          <t>Pago</t>
        </is>
      </c>
      <c r="S242" t="n">
        <v>164</v>
      </c>
      <c r="T242" t="inlineStr">
        <is>
          <t>Bar Brahma Granja - FDB Filial - Kamino</t>
        </is>
      </c>
    </row>
    <row r="243">
      <c r="A243" t="n">
        <v>186955</v>
      </c>
      <c r="B243" t="n">
        <v>148</v>
      </c>
      <c r="C243" t="inlineStr">
        <is>
          <t>Bar Brahma - Granja</t>
        </is>
      </c>
      <c r="D243" t="inlineStr">
        <is>
          <t>ZAHIL IMPORTADORA LTDA</t>
        </is>
      </c>
      <c r="E243" t="n">
        <v>692.25</v>
      </c>
      <c r="F243" s="27" t="n">
        <v>46036</v>
      </c>
      <c r="G243" s="27" t="n">
        <v>46035</v>
      </c>
      <c r="H243" s="27" t="n">
        <v>46035</v>
      </c>
      <c r="I243" s="27" t="n">
        <v>46006</v>
      </c>
      <c r="J243" s="27" t="n">
        <v>46021</v>
      </c>
      <c r="K243" t="inlineStr">
        <is>
          <t>Boleto Bancário</t>
        </is>
      </c>
      <c r="L243" t="inlineStr">
        <is>
          <t>Custo Mercadoria Vendida</t>
        </is>
      </c>
      <c r="M243" t="inlineStr">
        <is>
          <t>Insumos - Bebidas</t>
        </is>
      </c>
      <c r="N243" t="inlineStr">
        <is>
          <t>262223</t>
        </is>
      </c>
      <c r="O243" t="inlineStr">
        <is>
          <t>Documentação Aprovada</t>
        </is>
      </c>
      <c r="P243" t="inlineStr">
        <is>
          <t>Aprovado Diretoria</t>
        </is>
      </c>
      <c r="Q243" t="inlineStr">
        <is>
          <t>Aprovado Caixa</t>
        </is>
      </c>
      <c r="R243" t="inlineStr">
        <is>
          <t>Pago</t>
        </is>
      </c>
      <c r="S243" t="n">
        <v>164</v>
      </c>
      <c r="T243" t="inlineStr">
        <is>
          <t>Bar Brahma Granja - FDB Filial - Kamino</t>
        </is>
      </c>
    </row>
    <row r="244">
      <c r="A244" t="n">
        <v>186956</v>
      </c>
      <c r="B244" t="n">
        <v>148</v>
      </c>
      <c r="C244" t="inlineStr">
        <is>
          <t>Bar Brahma - Granja</t>
        </is>
      </c>
      <c r="D244" t="inlineStr">
        <is>
          <t>FRONT BEBIDAS LTDA</t>
        </is>
      </c>
      <c r="E244" t="n">
        <v>247.2</v>
      </c>
      <c r="F244" s="27" t="n">
        <v>46036</v>
      </c>
      <c r="G244" s="27" t="n">
        <v>46035</v>
      </c>
      <c r="H244" s="27" t="n">
        <v>46035</v>
      </c>
      <c r="I244" s="27" t="n">
        <v>46008</v>
      </c>
      <c r="J244" s="27" t="n">
        <v>46021</v>
      </c>
      <c r="K244" t="inlineStr">
        <is>
          <t>Boleto Bancário</t>
        </is>
      </c>
      <c r="L244" t="inlineStr">
        <is>
          <t>Custo Mercadoria Vendida</t>
        </is>
      </c>
      <c r="M244" t="inlineStr">
        <is>
          <t>Insumos - Bebidas</t>
        </is>
      </c>
      <c r="N244" t="inlineStr">
        <is>
          <t>784905</t>
        </is>
      </c>
      <c r="O244" t="inlineStr">
        <is>
          <t>Documentação Aprovada</t>
        </is>
      </c>
      <c r="P244" t="inlineStr">
        <is>
          <t>Aprovado Diretoria</t>
        </is>
      </c>
      <c r="Q244" t="inlineStr">
        <is>
          <t>Aprovado Caixa</t>
        </is>
      </c>
      <c r="R244" t="inlineStr">
        <is>
          <t>Pago</t>
        </is>
      </c>
      <c r="S244" t="n">
        <v>164</v>
      </c>
      <c r="T244" t="inlineStr">
        <is>
          <t>Bar Brahma Granja - FDB Filial - Kamino</t>
        </is>
      </c>
    </row>
    <row r="245">
      <c r="A245" t="n">
        <v>186957</v>
      </c>
      <c r="B245" t="n">
        <v>148</v>
      </c>
      <c r="C245" t="inlineStr">
        <is>
          <t>Bar Brahma - Granja</t>
        </is>
      </c>
      <c r="D245" t="inlineStr">
        <is>
          <t>HORTA NOVA DISTRIBUIDORA DE HORTIFRUTI LTDA</t>
        </is>
      </c>
      <c r="E245" t="n">
        <v>109.4</v>
      </c>
      <c r="F245" s="27" t="n">
        <v>46036</v>
      </c>
      <c r="G245" s="27" t="n">
        <v>46035</v>
      </c>
      <c r="H245" s="27" t="n">
        <v>46035</v>
      </c>
      <c r="I245" s="27" t="n">
        <v>46006</v>
      </c>
      <c r="J245" s="27" t="n">
        <v>46021</v>
      </c>
      <c r="K245" t="inlineStr">
        <is>
          <t>Boleto Bancário</t>
        </is>
      </c>
      <c r="L245" t="inlineStr">
        <is>
          <t>Custo Mercadoria Vendida</t>
        </is>
      </c>
      <c r="M245" t="inlineStr">
        <is>
          <t>Insumos - Alimentos</t>
        </is>
      </c>
      <c r="N245" t="inlineStr">
        <is>
          <t>8027</t>
        </is>
      </c>
      <c r="O245" t="inlineStr">
        <is>
          <t>Documentação Aprovada</t>
        </is>
      </c>
      <c r="P245" t="inlineStr">
        <is>
          <t>Aprovado Diretoria</t>
        </is>
      </c>
      <c r="Q245" t="inlineStr">
        <is>
          <t>Aprovado Caixa</t>
        </is>
      </c>
      <c r="R245" t="inlineStr">
        <is>
          <t>Pago</t>
        </is>
      </c>
      <c r="S245" t="n">
        <v>164</v>
      </c>
      <c r="T245" t="inlineStr">
        <is>
          <t>Bar Brahma Granja - FDB Filial - Kamino</t>
        </is>
      </c>
    </row>
    <row r="246">
      <c r="A246" t="n">
        <v>186958</v>
      </c>
      <c r="B246" t="n">
        <v>148</v>
      </c>
      <c r="C246" t="inlineStr">
        <is>
          <t>Bar Brahma - Granja</t>
        </is>
      </c>
      <c r="D246" t="inlineStr">
        <is>
          <t>HORTA NOVA DISTRIBUIDORA DE HORTIFRUTI LTDA</t>
        </is>
      </c>
      <c r="E246" t="n">
        <v>114.82</v>
      </c>
      <c r="F246" s="27" t="n">
        <v>46036</v>
      </c>
      <c r="G246" s="27" t="n">
        <v>46035</v>
      </c>
      <c r="H246" s="27" t="n">
        <v>46035</v>
      </c>
      <c r="I246" s="27" t="n">
        <v>46006</v>
      </c>
      <c r="J246" s="27" t="n">
        <v>46021</v>
      </c>
      <c r="K246" t="inlineStr">
        <is>
          <t>Boleto Bancário</t>
        </is>
      </c>
      <c r="L246" t="inlineStr">
        <is>
          <t>Custo Mercadoria Vendida</t>
        </is>
      </c>
      <c r="M246" t="inlineStr">
        <is>
          <t>Insumos - Alimentos</t>
        </is>
      </c>
      <c r="N246" t="inlineStr">
        <is>
          <t>8026</t>
        </is>
      </c>
      <c r="O246" t="inlineStr">
        <is>
          <t>Documentação Aprovada</t>
        </is>
      </c>
      <c r="P246" t="inlineStr">
        <is>
          <t>Aprovado Diretoria</t>
        </is>
      </c>
      <c r="Q246" t="inlineStr">
        <is>
          <t>Aprovado Caixa</t>
        </is>
      </c>
      <c r="R246" t="inlineStr">
        <is>
          <t>Pago</t>
        </is>
      </c>
      <c r="S246" t="n">
        <v>164</v>
      </c>
      <c r="T246" t="inlineStr">
        <is>
          <t>Bar Brahma Granja - FDB Filial - Kamino</t>
        </is>
      </c>
    </row>
    <row r="247">
      <c r="A247" t="n">
        <v>188603</v>
      </c>
      <c r="B247" t="n">
        <v>148</v>
      </c>
      <c r="C247" t="inlineStr">
        <is>
          <t>Bar Brahma - Granja</t>
        </is>
      </c>
      <c r="D247" t="inlineStr">
        <is>
          <t>30.365.122 HIDEKI HENRIQUE KAWAMOTO</t>
        </is>
      </c>
      <c r="E247" t="n">
        <v>395</v>
      </c>
      <c r="F247" s="27" t="n">
        <v>46035</v>
      </c>
      <c r="G247" s="27" t="n">
        <v>46035</v>
      </c>
      <c r="H247" s="27" t="n">
        <v>46035</v>
      </c>
      <c r="I247" s="27" t="n">
        <v>46013</v>
      </c>
      <c r="J247" s="27" t="n">
        <v>46027</v>
      </c>
      <c r="K247" t="inlineStr">
        <is>
          <t>Boleto Bancário</t>
        </is>
      </c>
      <c r="L247" t="inlineStr">
        <is>
          <t>Custo Mercadoria Vendida</t>
        </is>
      </c>
      <c r="M247" t="inlineStr">
        <is>
          <t>Insumos - Alimentos</t>
        </is>
      </c>
      <c r="N247" t="inlineStr">
        <is>
          <t>1669</t>
        </is>
      </c>
      <c r="O247" t="inlineStr">
        <is>
          <t>Documentação Aprovada</t>
        </is>
      </c>
      <c r="P247" t="inlineStr">
        <is>
          <t>Aprovado Diretoria</t>
        </is>
      </c>
      <c r="Q247" t="inlineStr">
        <is>
          <t>Aprovado Caixa</t>
        </is>
      </c>
      <c r="R247" t="inlineStr">
        <is>
          <t>Pago</t>
        </is>
      </c>
      <c r="S247" t="n">
        <v>164</v>
      </c>
      <c r="T247" t="inlineStr">
        <is>
          <t>Bar Brahma Granja - FDB Filial - Kamino</t>
        </is>
      </c>
    </row>
    <row r="248">
      <c r="A248" t="n">
        <v>188740</v>
      </c>
      <c r="B248" t="n">
        <v>148</v>
      </c>
      <c r="C248" t="inlineStr">
        <is>
          <t>Bar Brahma - Granja</t>
        </is>
      </c>
      <c r="D248" t="inlineStr">
        <is>
          <t>M. BARBOSA DOS SANTOS</t>
        </is>
      </c>
      <c r="E248" t="n">
        <v>163.5</v>
      </c>
      <c r="F248" s="27" t="n">
        <v>46035</v>
      </c>
      <c r="G248" s="27" t="n">
        <v>46035</v>
      </c>
      <c r="H248" s="27" t="n">
        <v>46035</v>
      </c>
      <c r="I248" s="27" t="n">
        <v>46020</v>
      </c>
      <c r="J248" s="27" t="n">
        <v>46027</v>
      </c>
      <c r="K248" t="inlineStr">
        <is>
          <t>Boleto Bancário</t>
        </is>
      </c>
      <c r="L248" t="inlineStr">
        <is>
          <t>Custo Mercadoria Vendida</t>
        </is>
      </c>
      <c r="M248" t="inlineStr">
        <is>
          <t>Insumos - Alimentos</t>
        </is>
      </c>
      <c r="N248" t="inlineStr">
        <is>
          <t>10800</t>
        </is>
      </c>
      <c r="O248" t="inlineStr">
        <is>
          <t>Documentação Aprovada</t>
        </is>
      </c>
      <c r="P248" t="inlineStr">
        <is>
          <t>Aprovado Diretoria</t>
        </is>
      </c>
      <c r="Q248" t="inlineStr">
        <is>
          <t>Aprovado Caixa</t>
        </is>
      </c>
      <c r="R248" t="inlineStr">
        <is>
          <t>Pago</t>
        </is>
      </c>
      <c r="S248" t="n">
        <v>164</v>
      </c>
      <c r="T248" t="inlineStr">
        <is>
          <t>Bar Brahma Granja - FDB Filial - Kamino</t>
        </is>
      </c>
    </row>
    <row r="249">
      <c r="A249" t="n">
        <v>188747</v>
      </c>
      <c r="B249" t="n">
        <v>148</v>
      </c>
      <c r="C249" t="inlineStr">
        <is>
          <t>Bar Brahma - Granja</t>
        </is>
      </c>
      <c r="D249" t="inlineStr">
        <is>
          <t>MAR DIRETO POC COMERCIO DE PEIXES LTDA</t>
        </is>
      </c>
      <c r="E249" t="n">
        <v>657.2</v>
      </c>
      <c r="F249" s="27" t="n">
        <v>46036</v>
      </c>
      <c r="G249" s="27" t="n">
        <v>46035</v>
      </c>
      <c r="H249" s="27" t="n">
        <v>46035</v>
      </c>
      <c r="I249" s="27" t="n">
        <v>46021</v>
      </c>
      <c r="J249" s="27" t="n">
        <v>46027</v>
      </c>
      <c r="K249" t="inlineStr">
        <is>
          <t>Boleto Bancário</t>
        </is>
      </c>
      <c r="L249" t="inlineStr">
        <is>
          <t>Custo Mercadoria Vendida</t>
        </is>
      </c>
      <c r="M249" t="inlineStr">
        <is>
          <t>Insumos - Alimentos</t>
        </is>
      </c>
      <c r="N249" t="inlineStr">
        <is>
          <t>114035</t>
        </is>
      </c>
      <c r="O249" t="inlineStr">
        <is>
          <t>Documentação Aprovada</t>
        </is>
      </c>
      <c r="P249" t="inlineStr">
        <is>
          <t>Aprovado Diretoria</t>
        </is>
      </c>
      <c r="Q249" t="inlineStr">
        <is>
          <t>Aprovado Caixa</t>
        </is>
      </c>
      <c r="R249" t="inlineStr">
        <is>
          <t>Pago</t>
        </is>
      </c>
      <c r="S249" t="n">
        <v>164</v>
      </c>
      <c r="T249" t="inlineStr">
        <is>
          <t>Bar Brahma Granja - FDB Filial - Kamino</t>
        </is>
      </c>
    </row>
    <row r="250">
      <c r="A250" t="n">
        <v>188741</v>
      </c>
      <c r="B250" t="n">
        <v>148</v>
      </c>
      <c r="C250" t="inlineStr">
        <is>
          <t>Bar Brahma - Granja</t>
        </is>
      </c>
      <c r="D250" t="inlineStr">
        <is>
          <t>PSSS LTDA</t>
        </is>
      </c>
      <c r="E250" t="n">
        <v>2012.3</v>
      </c>
      <c r="F250" s="27" t="n">
        <v>46036</v>
      </c>
      <c r="G250" s="27" t="n">
        <v>46035</v>
      </c>
      <c r="H250" s="27" t="n">
        <v>46035</v>
      </c>
      <c r="I250" s="27" t="n">
        <v>46020</v>
      </c>
      <c r="J250" s="27" t="n">
        <v>46027</v>
      </c>
      <c r="K250" t="inlineStr">
        <is>
          <t>Boleto Bancário</t>
        </is>
      </c>
      <c r="L250" t="inlineStr">
        <is>
          <t>Utilidades</t>
        </is>
      </c>
      <c r="M250" t="inlineStr">
        <is>
          <t>Higiene e Limpeza</t>
        </is>
      </c>
      <c r="N250" t="inlineStr">
        <is>
          <t>2874</t>
        </is>
      </c>
      <c r="O250" t="inlineStr">
        <is>
          <t>Documentação Aprovada</t>
        </is>
      </c>
      <c r="P250" t="inlineStr">
        <is>
          <t>Aprovado Diretoria</t>
        </is>
      </c>
      <c r="Q250" t="inlineStr">
        <is>
          <t>Aprovado Caixa</t>
        </is>
      </c>
      <c r="R250" t="inlineStr">
        <is>
          <t>Pago</t>
        </is>
      </c>
      <c r="S250" t="n">
        <v>164</v>
      </c>
      <c r="T250" t="inlineStr">
        <is>
          <t>Bar Brahma Granja - FDB Filial - Kamino</t>
        </is>
      </c>
    </row>
    <row r="251">
      <c r="A251" t="n">
        <v>173343</v>
      </c>
      <c r="B251" t="n">
        <v>148</v>
      </c>
      <c r="C251" t="inlineStr">
        <is>
          <t>Bar Brahma - Granja</t>
        </is>
      </c>
      <c r="D251" t="inlineStr">
        <is>
          <t>MACHINE SERVICE LTDA</t>
        </is>
      </c>
      <c r="E251" t="n">
        <v>190</v>
      </c>
      <c r="F251" s="27" t="n">
        <v>46031</v>
      </c>
      <c r="G251" s="27" t="n">
        <v>46035</v>
      </c>
      <c r="H251" s="27" t="n">
        <v>46035</v>
      </c>
      <c r="I251" s="27" t="n">
        <v>46021</v>
      </c>
      <c r="J251" s="27" t="n">
        <v>45967</v>
      </c>
      <c r="K251" t="inlineStr">
        <is>
          <t>Transferência Bancária ou Pix</t>
        </is>
      </c>
      <c r="L251" t="inlineStr">
        <is>
          <t>Serviços de Terceiros</t>
        </is>
      </c>
      <c r="M251" t="inlineStr">
        <is>
          <t>Serviços de Segurança</t>
        </is>
      </c>
      <c r="N251" t="inlineStr">
        <is>
          <t>85</t>
        </is>
      </c>
      <c r="O251" t="inlineStr">
        <is>
          <t>Documentação Aprovada</t>
        </is>
      </c>
      <c r="P251" t="inlineStr">
        <is>
          <t>Aprovado Diretoria</t>
        </is>
      </c>
      <c r="Q251" t="inlineStr">
        <is>
          <t>Aprovado Caixa</t>
        </is>
      </c>
      <c r="R251" t="inlineStr">
        <is>
          <t>Pago</t>
        </is>
      </c>
      <c r="S251" t="n">
        <v>164</v>
      </c>
      <c r="T251" t="inlineStr">
        <is>
          <t>Bar Brahma Granja - FDB Filial - Kamino</t>
        </is>
      </c>
    </row>
    <row r="252">
      <c r="A252" t="n">
        <v>102078</v>
      </c>
      <c r="B252" t="n">
        <v>148</v>
      </c>
      <c r="C252" t="inlineStr">
        <is>
          <t>Bar Brahma - Granja</t>
        </is>
      </c>
      <c r="D252" t="inlineStr">
        <is>
          <t>RUBENS OLIVEIRA ANDRADE DA SILVA</t>
        </is>
      </c>
      <c r="E252" t="n">
        <v>6000</v>
      </c>
      <c r="F252" s="27" t="n">
        <v>46026</v>
      </c>
      <c r="G252" s="27" t="n">
        <v>46035</v>
      </c>
      <c r="H252" s="27" t="n">
        <v>46035</v>
      </c>
      <c r="I252" s="27" t="n">
        <v>46001</v>
      </c>
      <c r="J252" s="27" t="n"/>
      <c r="K252" t="inlineStr">
        <is>
          <t>Transferência Bancária ou Pix</t>
        </is>
      </c>
      <c r="L252" t="inlineStr">
        <is>
          <t>Marketing</t>
        </is>
      </c>
      <c r="M252" t="inlineStr">
        <is>
          <t>Agência de Propaganda</t>
        </is>
      </c>
      <c r="O252" t="inlineStr">
        <is>
          <t>Documentação Aprovada</t>
        </is>
      </c>
      <c r="P252" t="inlineStr">
        <is>
          <t>Aprovado Diretoria</t>
        </is>
      </c>
      <c r="Q252" t="inlineStr">
        <is>
          <t>Aprovado Caixa</t>
        </is>
      </c>
      <c r="R252" t="inlineStr">
        <is>
          <t>Pago</t>
        </is>
      </c>
      <c r="S252" t="n">
        <v>164</v>
      </c>
      <c r="T252" t="inlineStr">
        <is>
          <t>Bar Brahma Granja - FDB Filial - Kamino</t>
        </is>
      </c>
    </row>
    <row r="253">
      <c r="A253" t="n">
        <v>87950</v>
      </c>
      <c r="B253" t="n">
        <v>148</v>
      </c>
      <c r="C253" t="inlineStr">
        <is>
          <t>Bar Brahma - Granja</t>
        </is>
      </c>
      <c r="D253" t="inlineStr">
        <is>
          <t>PRESHH ALUGUEL DE MAQUINAS LTDA</t>
        </is>
      </c>
      <c r="E253" t="n">
        <v>383.4</v>
      </c>
      <c r="F253" s="27" t="n">
        <v>46032</v>
      </c>
      <c r="G253" s="27" t="n">
        <v>46034</v>
      </c>
      <c r="H253" s="27" t="n">
        <v>46034</v>
      </c>
      <c r="I253" s="27" t="n">
        <v>46016</v>
      </c>
      <c r="J253" s="27" t="n"/>
      <c r="K253" t="inlineStr">
        <is>
          <t>Boleto Bancário</t>
        </is>
      </c>
      <c r="L253" t="inlineStr">
        <is>
          <t>Locação de Equipamentos</t>
        </is>
      </c>
      <c r="M253" t="inlineStr">
        <is>
          <t>Locações de Equipamentos - Operacionais</t>
        </is>
      </c>
      <c r="N253" t="inlineStr">
        <is>
          <t>FAT 693305764</t>
        </is>
      </c>
      <c r="O253" t="inlineStr">
        <is>
          <t>Documentação Aprovada</t>
        </is>
      </c>
      <c r="P253" t="inlineStr">
        <is>
          <t>Aprovado Diretoria</t>
        </is>
      </c>
      <c r="Q253" t="inlineStr">
        <is>
          <t>Aprovado Caixa</t>
        </is>
      </c>
      <c r="R253" t="inlineStr">
        <is>
          <t>Pago</t>
        </is>
      </c>
      <c r="S253" t="n">
        <v>164</v>
      </c>
      <c r="T253" t="inlineStr">
        <is>
          <t>Bar Brahma Granja - FDB Filial - Kamino</t>
        </is>
      </c>
    </row>
    <row r="254">
      <c r="A254" t="n">
        <v>174009</v>
      </c>
      <c r="B254" t="n">
        <v>148</v>
      </c>
      <c r="C254" t="inlineStr">
        <is>
          <t>Bar Brahma - Granja</t>
        </is>
      </c>
      <c r="D254" t="inlineStr">
        <is>
          <t>ESHOWS PROMOCOES ARTISTICAS LTDA</t>
        </is>
      </c>
      <c r="E254" t="n">
        <v>10550</v>
      </c>
      <c r="F254" s="27" t="n">
        <v>46034</v>
      </c>
      <c r="G254" s="27" t="n">
        <v>46034</v>
      </c>
      <c r="H254" s="27" t="n">
        <v>46034</v>
      </c>
      <c r="I254" s="27" t="n">
        <v>46012</v>
      </c>
      <c r="J254" s="27" t="n">
        <v>45972</v>
      </c>
      <c r="K254" t="inlineStr">
        <is>
          <t>Boleto Bancário</t>
        </is>
      </c>
      <c r="L254" t="inlineStr">
        <is>
          <t>Custos Artístico Geral</t>
        </is>
      </c>
      <c r="M254" t="inlineStr">
        <is>
          <t>Cachê de Músicos e Artistas</t>
        </is>
      </c>
      <c r="N254" t="inlineStr">
        <is>
          <t>709572306</t>
        </is>
      </c>
      <c r="O254" t="inlineStr">
        <is>
          <t>Documentação Aprovada</t>
        </is>
      </c>
      <c r="P254" t="inlineStr">
        <is>
          <t>Aprovado Diretoria</t>
        </is>
      </c>
      <c r="Q254" t="inlineStr">
        <is>
          <t>Aprovado Caixa</t>
        </is>
      </c>
      <c r="R254" t="inlineStr">
        <is>
          <t>Pago</t>
        </is>
      </c>
      <c r="S254" t="n">
        <v>164</v>
      </c>
      <c r="T254" t="inlineStr">
        <is>
          <t>Bar Brahma Granja - FDB Filial - Kamino</t>
        </is>
      </c>
    </row>
    <row r="255">
      <c r="A255" t="n">
        <v>183201</v>
      </c>
      <c r="B255" t="n">
        <v>148</v>
      </c>
      <c r="C255" t="inlineStr">
        <is>
          <t>Bar Brahma - Granja</t>
        </is>
      </c>
      <c r="D255" t="inlineStr">
        <is>
          <t>EAU - DISTRIBUIDORA DE AGUA MINERAL LTDA</t>
        </is>
      </c>
      <c r="E255" t="n">
        <v>590.1</v>
      </c>
      <c r="F255" s="27" t="n">
        <v>46034</v>
      </c>
      <c r="G255" s="27" t="n">
        <v>46034</v>
      </c>
      <c r="H255" s="27" t="n">
        <v>46034</v>
      </c>
      <c r="I255" s="27" t="n">
        <v>45996</v>
      </c>
      <c r="J255" s="27" t="n">
        <v>46006</v>
      </c>
      <c r="K255" t="inlineStr">
        <is>
          <t>Boleto Bancário</t>
        </is>
      </c>
      <c r="L255" t="inlineStr">
        <is>
          <t>Custo Mercadoria Vendida</t>
        </is>
      </c>
      <c r="M255" t="inlineStr">
        <is>
          <t>Insumos - Bebidas</t>
        </is>
      </c>
      <c r="N255" t="inlineStr">
        <is>
          <t>280932</t>
        </is>
      </c>
      <c r="O255" t="inlineStr">
        <is>
          <t>Documentação Aprovada</t>
        </is>
      </c>
      <c r="P255" t="inlineStr">
        <is>
          <t>Aprovado Diretoria</t>
        </is>
      </c>
      <c r="Q255" t="inlineStr">
        <is>
          <t>Aprovado Caixa</t>
        </is>
      </c>
      <c r="R255" t="inlineStr">
        <is>
          <t>Pago</t>
        </is>
      </c>
      <c r="S255" t="n">
        <v>164</v>
      </c>
      <c r="T255" t="inlineStr">
        <is>
          <t>Bar Brahma Granja - FDB Filial - Kamino</t>
        </is>
      </c>
    </row>
    <row r="256">
      <c r="A256" t="n">
        <v>186937</v>
      </c>
      <c r="B256" t="n">
        <v>148</v>
      </c>
      <c r="C256" t="inlineStr">
        <is>
          <t>Bar Brahma - Granja</t>
        </is>
      </c>
      <c r="D256" t="inlineStr">
        <is>
          <t>MARIO PEDRO FELICIANO - HORTIFRUTI</t>
        </is>
      </c>
      <c r="E256" t="n">
        <v>222.8</v>
      </c>
      <c r="F256" s="27" t="n">
        <v>46034</v>
      </c>
      <c r="G256" s="27" t="n">
        <v>46034</v>
      </c>
      <c r="H256" s="27" t="n">
        <v>46034</v>
      </c>
      <c r="I256" s="27" t="n">
        <v>46006</v>
      </c>
      <c r="J256" s="27" t="n">
        <v>46021</v>
      </c>
      <c r="K256" t="inlineStr">
        <is>
          <t>Boleto Bancário</t>
        </is>
      </c>
      <c r="L256" t="inlineStr">
        <is>
          <t>Custo Mercadoria Vendida</t>
        </is>
      </c>
      <c r="M256" t="inlineStr">
        <is>
          <t>Insumos - Alimentos</t>
        </is>
      </c>
      <c r="N256" t="inlineStr">
        <is>
          <t>461931</t>
        </is>
      </c>
      <c r="O256" t="inlineStr">
        <is>
          <t>Documentação Aprovada</t>
        </is>
      </c>
      <c r="P256" t="inlineStr">
        <is>
          <t>Aprovado Diretoria</t>
        </is>
      </c>
      <c r="Q256" t="inlineStr">
        <is>
          <t>Aprovado Caixa</t>
        </is>
      </c>
      <c r="R256" t="inlineStr">
        <is>
          <t>Pago</t>
        </is>
      </c>
      <c r="S256" t="n">
        <v>164</v>
      </c>
      <c r="T256" t="inlineStr">
        <is>
          <t>Bar Brahma Granja - FDB Filial - Kamino</t>
        </is>
      </c>
    </row>
    <row r="257">
      <c r="A257" t="n">
        <v>186905</v>
      </c>
      <c r="B257" t="n">
        <v>148</v>
      </c>
      <c r="C257" t="inlineStr">
        <is>
          <t>Bar Brahma - Granja</t>
        </is>
      </c>
      <c r="D257" t="inlineStr">
        <is>
          <t>DEOLINDA DOS SANTOS FREITAS</t>
        </is>
      </c>
      <c r="E257" t="n">
        <v>464.08</v>
      </c>
      <c r="F257" s="27" t="n">
        <v>46034</v>
      </c>
      <c r="G257" s="27" t="n">
        <v>46034</v>
      </c>
      <c r="H257" s="27" t="n">
        <v>46034</v>
      </c>
      <c r="I257" s="27" t="n">
        <v>46000</v>
      </c>
      <c r="J257" s="27" t="n">
        <v>46021</v>
      </c>
      <c r="K257" t="inlineStr">
        <is>
          <t>Boleto Bancário</t>
        </is>
      </c>
      <c r="L257" t="inlineStr">
        <is>
          <t>Utilidades</t>
        </is>
      </c>
      <c r="M257" t="inlineStr">
        <is>
          <t>Higiene e Limpeza</t>
        </is>
      </c>
      <c r="N257" t="inlineStr">
        <is>
          <t>2324</t>
        </is>
      </c>
      <c r="O257" t="inlineStr">
        <is>
          <t>Documentação Aprovada</t>
        </is>
      </c>
      <c r="P257" t="inlineStr">
        <is>
          <t>Aprovado Diretoria</t>
        </is>
      </c>
      <c r="Q257" t="inlineStr">
        <is>
          <t>Aprovado Caixa</t>
        </is>
      </c>
      <c r="R257" t="inlineStr">
        <is>
          <t>Pago</t>
        </is>
      </c>
      <c r="S257" t="n">
        <v>164</v>
      </c>
      <c r="T257" t="inlineStr">
        <is>
          <t>Bar Brahma Granja - FDB Filial - Kamino</t>
        </is>
      </c>
    </row>
    <row r="258">
      <c r="A258" t="n">
        <v>186909</v>
      </c>
      <c r="B258" t="n">
        <v>148</v>
      </c>
      <c r="C258" t="inlineStr">
        <is>
          <t>Bar Brahma - Granja</t>
        </is>
      </c>
      <c r="D258" t="inlineStr">
        <is>
          <t xml:space="preserve">ARENA VIP DISTRIBUIDORA DE BEBIDAS LTDA </t>
        </is>
      </c>
      <c r="E258" t="n">
        <v>872.73</v>
      </c>
      <c r="F258" s="27" t="n">
        <v>46034</v>
      </c>
      <c r="G258" s="27" t="n">
        <v>46034</v>
      </c>
      <c r="H258" s="27" t="n">
        <v>46034</v>
      </c>
      <c r="I258" s="27" t="n">
        <v>46006</v>
      </c>
      <c r="J258" s="27" t="n">
        <v>46021</v>
      </c>
      <c r="K258" t="inlineStr">
        <is>
          <t>Boleto Bancário</t>
        </is>
      </c>
      <c r="L258" t="inlineStr">
        <is>
          <t>Custo Mercadoria Vendida</t>
        </is>
      </c>
      <c r="M258" t="inlineStr">
        <is>
          <t>Insumos - Bebidas</t>
        </is>
      </c>
      <c r="N258" t="inlineStr">
        <is>
          <t>22142</t>
        </is>
      </c>
      <c r="O258" t="inlineStr">
        <is>
          <t>Documentação Aprovada</t>
        </is>
      </c>
      <c r="P258" t="inlineStr">
        <is>
          <t>Aprovado Diretoria</t>
        </is>
      </c>
      <c r="Q258" t="inlineStr">
        <is>
          <t>Aprovado Caixa</t>
        </is>
      </c>
      <c r="R258" t="inlineStr">
        <is>
          <t>Pago</t>
        </is>
      </c>
      <c r="S258" t="n">
        <v>164</v>
      </c>
      <c r="T258" t="inlineStr">
        <is>
          <t>Bar Brahma Granja - FDB Filial - Kamino</t>
        </is>
      </c>
    </row>
    <row r="259">
      <c r="A259" t="n">
        <v>186897</v>
      </c>
      <c r="B259" t="n">
        <v>148</v>
      </c>
      <c r="C259" t="inlineStr">
        <is>
          <t>Bar Brahma - Granja</t>
        </is>
      </c>
      <c r="D259" t="inlineStr">
        <is>
          <t>DEOLINDA DOS SANTOS FREITAS</t>
        </is>
      </c>
      <c r="E259" t="n">
        <v>480.19</v>
      </c>
      <c r="F259" s="27" t="n">
        <v>46034</v>
      </c>
      <c r="G259" s="27" t="n">
        <v>46034</v>
      </c>
      <c r="H259" s="27" t="n">
        <v>46034</v>
      </c>
      <c r="I259" s="27" t="n">
        <v>46000</v>
      </c>
      <c r="J259" s="27" t="n">
        <v>46021</v>
      </c>
      <c r="K259" t="inlineStr">
        <is>
          <t>Boleto Bancário</t>
        </is>
      </c>
      <c r="L259" t="inlineStr">
        <is>
          <t>Custo Mercadoria Vendida</t>
        </is>
      </c>
      <c r="M259" t="inlineStr">
        <is>
          <t>Insumos - Alimentos</t>
        </is>
      </c>
      <c r="N259" t="inlineStr">
        <is>
          <t>2338</t>
        </is>
      </c>
      <c r="O259" t="inlineStr">
        <is>
          <t>Documentação Aprovada</t>
        </is>
      </c>
      <c r="P259" t="inlineStr">
        <is>
          <t>Aprovado Diretoria</t>
        </is>
      </c>
      <c r="Q259" t="inlineStr">
        <is>
          <t>Aprovado Caixa</t>
        </is>
      </c>
      <c r="R259" t="inlineStr">
        <is>
          <t>Pago</t>
        </is>
      </c>
      <c r="S259" t="n">
        <v>164</v>
      </c>
      <c r="T259" t="inlineStr">
        <is>
          <t>Bar Brahma Granja - FDB Filial - Kamino</t>
        </is>
      </c>
    </row>
    <row r="260">
      <c r="A260" t="n">
        <v>186896</v>
      </c>
      <c r="B260" t="n">
        <v>148</v>
      </c>
      <c r="C260" t="inlineStr">
        <is>
          <t>Bar Brahma - Granja</t>
        </is>
      </c>
      <c r="D260" t="inlineStr">
        <is>
          <t>DIO MIO COMERCIO DE SORVETES LTDA</t>
        </is>
      </c>
      <c r="E260" t="n">
        <v>584.96</v>
      </c>
      <c r="F260" s="27" t="n">
        <v>46034</v>
      </c>
      <c r="G260" s="27" t="n">
        <v>46034</v>
      </c>
      <c r="H260" s="27" t="n">
        <v>46034</v>
      </c>
      <c r="I260" s="27" t="n">
        <v>46006</v>
      </c>
      <c r="J260" s="27" t="n">
        <v>46021</v>
      </c>
      <c r="K260" t="inlineStr">
        <is>
          <t>Boleto Bancário</t>
        </is>
      </c>
      <c r="L260" t="inlineStr">
        <is>
          <t>Custo Mercadoria Vendida</t>
        </is>
      </c>
      <c r="M260" t="inlineStr">
        <is>
          <t>Insumos - Alimentos</t>
        </is>
      </c>
      <c r="N260" t="inlineStr">
        <is>
          <t>22538</t>
        </is>
      </c>
      <c r="O260" t="inlineStr">
        <is>
          <t>Documentação Aprovada</t>
        </is>
      </c>
      <c r="P260" t="inlineStr">
        <is>
          <t>Aprovado Diretoria</t>
        </is>
      </c>
      <c r="Q260" t="inlineStr">
        <is>
          <t>Aprovado Caixa</t>
        </is>
      </c>
      <c r="R260" t="inlineStr">
        <is>
          <t>Pago</t>
        </is>
      </c>
      <c r="S260" t="n">
        <v>164</v>
      </c>
      <c r="T260" t="inlineStr">
        <is>
          <t>Bar Brahma Granja - FDB Filial - Kamino</t>
        </is>
      </c>
    </row>
    <row r="261">
      <c r="A261" t="n">
        <v>186916</v>
      </c>
      <c r="B261" t="n">
        <v>148</v>
      </c>
      <c r="C261" t="inlineStr">
        <is>
          <t>Bar Brahma - Granja</t>
        </is>
      </c>
      <c r="D261" t="inlineStr">
        <is>
          <t>CECILIA TSUYACO ARAKI SILVA LTDA</t>
        </is>
      </c>
      <c r="E261" t="n">
        <v>245.13</v>
      </c>
      <c r="F261" s="27" t="n">
        <v>46034</v>
      </c>
      <c r="G261" s="27" t="n">
        <v>46034</v>
      </c>
      <c r="H261" s="27" t="n">
        <v>46034</v>
      </c>
      <c r="I261" s="27" t="n">
        <v>46006</v>
      </c>
      <c r="J261" s="27" t="n">
        <v>46021</v>
      </c>
      <c r="K261" t="inlineStr">
        <is>
          <t>Boleto Bancário</t>
        </is>
      </c>
      <c r="L261" t="inlineStr">
        <is>
          <t>Custo Mercadoria Vendida</t>
        </is>
      </c>
      <c r="M261" t="inlineStr">
        <is>
          <t>Insumos - Alimentos</t>
        </is>
      </c>
      <c r="N261" t="inlineStr">
        <is>
          <t>383622</t>
        </is>
      </c>
      <c r="O261" t="inlineStr">
        <is>
          <t>Documentação Aprovada</t>
        </is>
      </c>
      <c r="P261" t="inlineStr">
        <is>
          <t>Aprovado Diretoria</t>
        </is>
      </c>
      <c r="Q261" t="inlineStr">
        <is>
          <t>Aprovado Caixa</t>
        </is>
      </c>
      <c r="R261" t="inlineStr">
        <is>
          <t>Pago</t>
        </is>
      </c>
      <c r="S261" t="n">
        <v>164</v>
      </c>
      <c r="T261" t="inlineStr">
        <is>
          <t>Bar Brahma Granja - FDB Filial - Kamino</t>
        </is>
      </c>
    </row>
    <row r="262">
      <c r="A262" t="n">
        <v>186914</v>
      </c>
      <c r="B262" t="n">
        <v>148</v>
      </c>
      <c r="C262" t="inlineStr">
        <is>
          <t>Bar Brahma - Granja</t>
        </is>
      </c>
      <c r="D262" t="inlineStr">
        <is>
          <t>AD ZUPA COMERCIAL LTDA</t>
        </is>
      </c>
      <c r="E262" t="n">
        <v>2900</v>
      </c>
      <c r="F262" s="27" t="n">
        <v>46034</v>
      </c>
      <c r="G262" s="27" t="n">
        <v>46034</v>
      </c>
      <c r="H262" s="27" t="n">
        <v>46034</v>
      </c>
      <c r="I262" s="27" t="n">
        <v>46006</v>
      </c>
      <c r="J262" s="27" t="n">
        <v>46021</v>
      </c>
      <c r="K262" t="inlineStr">
        <is>
          <t>Boleto Bancário</t>
        </is>
      </c>
      <c r="L262" t="inlineStr">
        <is>
          <t>Utilidades</t>
        </is>
      </c>
      <c r="M262" t="inlineStr">
        <is>
          <t>Higiene e Limpeza</t>
        </is>
      </c>
      <c r="N262" t="inlineStr">
        <is>
          <t>4065</t>
        </is>
      </c>
      <c r="O262" t="inlineStr">
        <is>
          <t>Documentação Aprovada</t>
        </is>
      </c>
      <c r="P262" t="inlineStr">
        <is>
          <t>Aprovado Diretoria</t>
        </is>
      </c>
      <c r="Q262" t="inlineStr">
        <is>
          <t>Aprovado Caixa</t>
        </is>
      </c>
      <c r="R262" t="inlineStr">
        <is>
          <t>Pago</t>
        </is>
      </c>
      <c r="S262" t="n">
        <v>164</v>
      </c>
      <c r="T262" t="inlineStr">
        <is>
          <t>Bar Brahma Granja - FDB Filial - Kamino</t>
        </is>
      </c>
    </row>
    <row r="263">
      <c r="A263" t="n">
        <v>186895</v>
      </c>
      <c r="B263" t="n">
        <v>148</v>
      </c>
      <c r="C263" t="inlineStr">
        <is>
          <t>Bar Brahma - Granja</t>
        </is>
      </c>
      <c r="D263" t="inlineStr">
        <is>
          <t>MARCOS SILVA DO NASCIMENTO</t>
        </is>
      </c>
      <c r="E263" t="n">
        <v>643.77</v>
      </c>
      <c r="F263" s="27" t="n">
        <v>46034</v>
      </c>
      <c r="G263" s="27" t="n">
        <v>46034</v>
      </c>
      <c r="H263" s="27" t="n">
        <v>46034</v>
      </c>
      <c r="I263" s="27" t="n">
        <v>46009</v>
      </c>
      <c r="J263" s="27" t="n">
        <v>46021</v>
      </c>
      <c r="K263" t="inlineStr">
        <is>
          <t>Boleto Bancário</t>
        </is>
      </c>
      <c r="L263" t="inlineStr">
        <is>
          <t>Custo Mercadoria Vendida</t>
        </is>
      </c>
      <c r="M263" t="inlineStr">
        <is>
          <t>Insumos - Alimentos</t>
        </is>
      </c>
      <c r="N263" t="inlineStr">
        <is>
          <t>682</t>
        </is>
      </c>
      <c r="O263" t="inlineStr">
        <is>
          <t>Documentação Aprovada</t>
        </is>
      </c>
      <c r="P263" t="inlineStr">
        <is>
          <t>Aprovado Diretoria</t>
        </is>
      </c>
      <c r="Q263" t="inlineStr">
        <is>
          <t>Aprovado Caixa</t>
        </is>
      </c>
      <c r="R263" t="inlineStr">
        <is>
          <t>Pago</t>
        </is>
      </c>
      <c r="S263" t="n">
        <v>164</v>
      </c>
      <c r="T263" t="inlineStr">
        <is>
          <t>Bar Brahma Granja - FDB Filial - Kamino</t>
        </is>
      </c>
    </row>
    <row r="264">
      <c r="A264" t="n">
        <v>186913</v>
      </c>
      <c r="B264" t="n">
        <v>148</v>
      </c>
      <c r="C264" t="inlineStr">
        <is>
          <t>Bar Brahma - Granja</t>
        </is>
      </c>
      <c r="D264" t="inlineStr">
        <is>
          <t>B.B DISTRIBUIDORA DE CARNES LTDA</t>
        </is>
      </c>
      <c r="E264" t="n">
        <v>2494.8</v>
      </c>
      <c r="F264" s="27" t="n">
        <v>46034</v>
      </c>
      <c r="G264" s="27" t="n">
        <v>46034</v>
      </c>
      <c r="H264" s="27" t="n">
        <v>46034</v>
      </c>
      <c r="I264" s="27" t="n">
        <v>46006</v>
      </c>
      <c r="J264" s="27" t="n">
        <v>46021</v>
      </c>
      <c r="K264" t="inlineStr">
        <is>
          <t>Boleto Bancário</t>
        </is>
      </c>
      <c r="L264" t="inlineStr">
        <is>
          <t>Custo Mercadoria Vendida</t>
        </is>
      </c>
      <c r="M264" t="inlineStr">
        <is>
          <t>Insumos - Alimentos</t>
        </is>
      </c>
      <c r="N264" t="inlineStr">
        <is>
          <t>410224</t>
        </is>
      </c>
      <c r="O264" t="inlineStr">
        <is>
          <t>Documentação Aprovada</t>
        </is>
      </c>
      <c r="P264" t="inlineStr">
        <is>
          <t>Aprovado Diretoria</t>
        </is>
      </c>
      <c r="Q264" t="inlineStr">
        <is>
          <t>Aprovado Caixa</t>
        </is>
      </c>
      <c r="R264" t="inlineStr">
        <is>
          <t>Pago</t>
        </is>
      </c>
      <c r="S264" t="n">
        <v>164</v>
      </c>
      <c r="T264" t="inlineStr">
        <is>
          <t>Bar Brahma Granja - FDB Filial - Kamino</t>
        </is>
      </c>
    </row>
    <row r="265">
      <c r="A265" t="n">
        <v>186894</v>
      </c>
      <c r="B265" t="n">
        <v>148</v>
      </c>
      <c r="C265" t="inlineStr">
        <is>
          <t>Bar Brahma - Granja</t>
        </is>
      </c>
      <c r="D265" t="inlineStr">
        <is>
          <t>HORTA NOVA DISTRIBUIDORA DE HORTIFRUTI LTDA</t>
        </is>
      </c>
      <c r="E265" t="n">
        <v>114.26</v>
      </c>
      <c r="F265" s="27" t="n">
        <v>46033</v>
      </c>
      <c r="G265" s="27" t="n">
        <v>46034</v>
      </c>
      <c r="H265" s="27" t="n">
        <v>46034</v>
      </c>
      <c r="I265" s="27" t="n">
        <v>46003</v>
      </c>
      <c r="J265" s="27" t="n">
        <v>46021</v>
      </c>
      <c r="K265" t="inlineStr">
        <is>
          <t>Boleto Bancário</t>
        </is>
      </c>
      <c r="L265" t="inlineStr">
        <is>
          <t>Custo Mercadoria Vendida</t>
        </is>
      </c>
      <c r="M265" t="inlineStr">
        <is>
          <t>Insumos - Alimentos</t>
        </is>
      </c>
      <c r="N265" t="inlineStr">
        <is>
          <t>7983</t>
        </is>
      </c>
      <c r="O265" t="inlineStr">
        <is>
          <t>Documentação Aprovada</t>
        </is>
      </c>
      <c r="P265" t="inlineStr">
        <is>
          <t>Aprovado Diretoria</t>
        </is>
      </c>
      <c r="Q265" t="inlineStr">
        <is>
          <t>Aprovado Caixa</t>
        </is>
      </c>
      <c r="R265" t="inlineStr">
        <is>
          <t>Pago</t>
        </is>
      </c>
      <c r="S265" t="n">
        <v>164</v>
      </c>
      <c r="T265" t="inlineStr">
        <is>
          <t>Bar Brahma Granja - FDB Filial - Kamino</t>
        </is>
      </c>
    </row>
    <row r="266">
      <c r="A266" t="n">
        <v>186893</v>
      </c>
      <c r="B266" t="n">
        <v>148</v>
      </c>
      <c r="C266" t="inlineStr">
        <is>
          <t>Bar Brahma - Granja</t>
        </is>
      </c>
      <c r="D266" t="inlineStr">
        <is>
          <t>MARIO PEDRO FELICIANO - HORTIFRUTI</t>
        </is>
      </c>
      <c r="E266" t="n">
        <v>170.12</v>
      </c>
      <c r="F266" s="27" t="n">
        <v>46032</v>
      </c>
      <c r="G266" s="27" t="n">
        <v>46034</v>
      </c>
      <c r="H266" s="27" t="n">
        <v>46034</v>
      </c>
      <c r="I266" s="27" t="n">
        <v>46004</v>
      </c>
      <c r="J266" s="27" t="n">
        <v>46021</v>
      </c>
      <c r="K266" t="inlineStr">
        <is>
          <t>Boleto Bancário</t>
        </is>
      </c>
      <c r="L266" t="inlineStr">
        <is>
          <t>Custo Mercadoria Vendida</t>
        </is>
      </c>
      <c r="M266" t="inlineStr">
        <is>
          <t>Insumos - Alimentos</t>
        </is>
      </c>
      <c r="N266" t="inlineStr">
        <is>
          <t>461866</t>
        </is>
      </c>
      <c r="O266" t="inlineStr">
        <is>
          <t>Documentação Aprovada</t>
        </is>
      </c>
      <c r="P266" t="inlineStr">
        <is>
          <t>Aprovado Diretoria</t>
        </is>
      </c>
      <c r="Q266" t="inlineStr">
        <is>
          <t>Aprovado Caixa</t>
        </is>
      </c>
      <c r="R266" t="inlineStr">
        <is>
          <t>Pago</t>
        </is>
      </c>
      <c r="S266" t="n">
        <v>164</v>
      </c>
      <c r="T266" t="inlineStr">
        <is>
          <t>Bar Brahma Granja - FDB Filial - Kamino</t>
        </is>
      </c>
    </row>
    <row r="267">
      <c r="A267" t="n">
        <v>186892</v>
      </c>
      <c r="B267" t="n">
        <v>148</v>
      </c>
      <c r="C267" t="inlineStr">
        <is>
          <t>Bar Brahma - Granja</t>
        </is>
      </c>
      <c r="D267" t="inlineStr">
        <is>
          <t>HORTA NOVA DISTRIBUIDORA DE HORTIFRUTI LTDA</t>
        </is>
      </c>
      <c r="E267" t="n">
        <v>348.41</v>
      </c>
      <c r="F267" s="27" t="n">
        <v>46032</v>
      </c>
      <c r="G267" s="27" t="n">
        <v>46034</v>
      </c>
      <c r="H267" s="27" t="n">
        <v>46034</v>
      </c>
      <c r="I267" s="27" t="n">
        <v>46002</v>
      </c>
      <c r="J267" s="27" t="n">
        <v>46021</v>
      </c>
      <c r="K267" t="inlineStr">
        <is>
          <t>Boleto Bancário</t>
        </is>
      </c>
      <c r="L267" t="inlineStr">
        <is>
          <t>Custo Mercadoria Vendida</t>
        </is>
      </c>
      <c r="M267" t="inlineStr">
        <is>
          <t>Insumos - Alimentos</t>
        </is>
      </c>
      <c r="N267" t="inlineStr">
        <is>
          <t>7938</t>
        </is>
      </c>
      <c r="O267" t="inlineStr">
        <is>
          <t>Documentação Aprovada</t>
        </is>
      </c>
      <c r="P267" t="inlineStr">
        <is>
          <t>Aprovado Diretoria</t>
        </is>
      </c>
      <c r="Q267" t="inlineStr">
        <is>
          <t>Aprovado Caixa</t>
        </is>
      </c>
      <c r="R267" t="inlineStr">
        <is>
          <t>Pago</t>
        </is>
      </c>
      <c r="S267" t="n">
        <v>164</v>
      </c>
      <c r="T267" t="inlineStr">
        <is>
          <t>Bar Brahma Granja - FDB Filial - Kamino</t>
        </is>
      </c>
    </row>
    <row r="268">
      <c r="A268" t="n">
        <v>185884</v>
      </c>
      <c r="B268" t="n">
        <v>148</v>
      </c>
      <c r="C268" t="inlineStr">
        <is>
          <t>Bar Brahma - Granja</t>
        </is>
      </c>
      <c r="D268" t="inlineStr">
        <is>
          <t>CONTRIBUICAO SINDICAL ASSISTENCIAL</t>
        </is>
      </c>
      <c r="E268" t="n">
        <v>741</v>
      </c>
      <c r="F268" s="27" t="n">
        <v>46034</v>
      </c>
      <c r="G268" s="27" t="n">
        <v>46034</v>
      </c>
      <c r="H268" s="27" t="n">
        <v>46034</v>
      </c>
      <c r="I268" s="27" t="n">
        <v>46021</v>
      </c>
      <c r="J268" s="27" t="n">
        <v>46015</v>
      </c>
      <c r="K268" t="inlineStr">
        <is>
          <t>Boleto Bancário</t>
        </is>
      </c>
      <c r="L268" t="inlineStr">
        <is>
          <t>Mão de Obra - Benefícios</t>
        </is>
      </c>
      <c r="M268" t="inlineStr">
        <is>
          <t xml:space="preserve">Contribuição Sindical Assistencial   </t>
        </is>
      </c>
      <c r="N268" t="inlineStr">
        <is>
          <t>74100 122025</t>
        </is>
      </c>
      <c r="O268" t="inlineStr">
        <is>
          <t>Documentação Aprovada</t>
        </is>
      </c>
      <c r="P268" t="inlineStr">
        <is>
          <t>Aprovado Diretoria</t>
        </is>
      </c>
      <c r="Q268" t="inlineStr">
        <is>
          <t>Aprovado Caixa</t>
        </is>
      </c>
      <c r="R268" t="inlineStr">
        <is>
          <t>Pago</t>
        </is>
      </c>
      <c r="S268" t="n">
        <v>148</v>
      </c>
      <c r="T268" t="inlineStr">
        <is>
          <t>Bar Brahma Granja - Tutum Filial - Kamino</t>
        </is>
      </c>
    </row>
    <row r="269">
      <c r="A269" t="n">
        <v>188756</v>
      </c>
      <c r="B269" t="n">
        <v>148</v>
      </c>
      <c r="C269" t="inlineStr">
        <is>
          <t>Bar Brahma - Granja</t>
        </is>
      </c>
      <c r="D269" t="inlineStr">
        <is>
          <t>BR22 INDUSTRIA E COMERCIO DE ALIMENTOS LTDA</t>
        </is>
      </c>
      <c r="E269" t="n">
        <v>3058.14</v>
      </c>
      <c r="F269" s="27" t="n">
        <v>46034</v>
      </c>
      <c r="G269" s="27" t="n">
        <v>46034</v>
      </c>
      <c r="H269" s="27" t="n">
        <v>46034</v>
      </c>
      <c r="I269" s="27" t="n">
        <v>45982</v>
      </c>
      <c r="J269" s="27" t="n">
        <v>46027</v>
      </c>
      <c r="K269" t="inlineStr">
        <is>
          <t>Transferência Bancária ou Pix</t>
        </is>
      </c>
      <c r="L269" t="inlineStr">
        <is>
          <t>Custo Mercadoria Vendida</t>
        </is>
      </c>
      <c r="M269" t="inlineStr">
        <is>
          <t>Insumos - Alimentos</t>
        </is>
      </c>
      <c r="N269" t="inlineStr">
        <is>
          <t>709</t>
        </is>
      </c>
      <c r="O269" t="inlineStr">
        <is>
          <t>Documentação Aprovada</t>
        </is>
      </c>
      <c r="P269" t="inlineStr">
        <is>
          <t>Aprovado Diretoria</t>
        </is>
      </c>
      <c r="Q269" t="inlineStr">
        <is>
          <t>Aprovado Caixa</t>
        </is>
      </c>
      <c r="R269" t="inlineStr">
        <is>
          <t>Pago</t>
        </is>
      </c>
      <c r="S269" t="n">
        <v>164</v>
      </c>
      <c r="T269" t="inlineStr">
        <is>
          <t>Bar Brahma Granja - FDB Filial - Kamino</t>
        </is>
      </c>
    </row>
    <row r="270">
      <c r="A270" t="n">
        <v>188921</v>
      </c>
      <c r="B270" t="n">
        <v>148</v>
      </c>
      <c r="C270" t="inlineStr">
        <is>
          <t>Bar Brahma - Granja</t>
        </is>
      </c>
      <c r="D270" t="inlineStr">
        <is>
          <t>BR22 INDUSTRIA E COMERCIO DE ALIMENTOS LTDA</t>
        </is>
      </c>
      <c r="E270" t="n">
        <v>1090.66</v>
      </c>
      <c r="F270" s="27" t="n">
        <v>46032</v>
      </c>
      <c r="G270" s="27" t="n">
        <v>46034</v>
      </c>
      <c r="H270" s="27" t="n">
        <v>46034</v>
      </c>
      <c r="I270" s="27" t="n">
        <v>46017</v>
      </c>
      <c r="J270" s="27" t="n">
        <v>46028</v>
      </c>
      <c r="K270" t="inlineStr">
        <is>
          <t>Boleto Bancário</t>
        </is>
      </c>
      <c r="L270" t="inlineStr">
        <is>
          <t>Custo Mercadoria Vendida</t>
        </is>
      </c>
      <c r="M270" t="inlineStr">
        <is>
          <t>Insumos - Alimentos</t>
        </is>
      </c>
      <c r="N270" t="inlineStr">
        <is>
          <t>764</t>
        </is>
      </c>
      <c r="O270" t="inlineStr">
        <is>
          <t>Documentação Aprovada</t>
        </is>
      </c>
      <c r="P270" t="inlineStr">
        <is>
          <t>Aprovado Diretoria</t>
        </is>
      </c>
      <c r="Q270" t="inlineStr">
        <is>
          <t>Aprovado Caixa</t>
        </is>
      </c>
      <c r="R270" t="inlineStr">
        <is>
          <t>Pago</t>
        </is>
      </c>
      <c r="S270" t="n">
        <v>164</v>
      </c>
      <c r="T270" t="inlineStr">
        <is>
          <t>Bar Brahma Granja - FDB Filial - Kamino</t>
        </is>
      </c>
    </row>
    <row r="271">
      <c r="A271" t="n">
        <v>192018</v>
      </c>
      <c r="B271" t="n">
        <v>148</v>
      </c>
      <c r="C271" t="inlineStr">
        <is>
          <t>Bar Brahma - Granja</t>
        </is>
      </c>
      <c r="D271" t="inlineStr">
        <is>
          <t>BANCO DO BRASIL SA</t>
        </is>
      </c>
      <c r="E271" t="n">
        <v>62.45</v>
      </c>
      <c r="F271" s="27" t="n">
        <v>46034</v>
      </c>
      <c r="G271" s="27" t="n"/>
      <c r="H271" s="27" t="n">
        <v>46034</v>
      </c>
      <c r="I271" s="27" t="n">
        <v>46034</v>
      </c>
      <c r="J271" s="27" t="n"/>
      <c r="K271" t="inlineStr">
        <is>
          <t xml:space="preserve">Debito Automático </t>
        </is>
      </c>
      <c r="L271" t="inlineStr">
        <is>
          <t>Despesas Financeiras</t>
        </is>
      </c>
      <c r="M271" t="inlineStr">
        <is>
          <t>Tarifas Bancárias</t>
        </is>
      </c>
      <c r="O271" t="inlineStr">
        <is>
          <t>Documentação Aprovada</t>
        </is>
      </c>
      <c r="P271" t="inlineStr">
        <is>
          <t>Aprovado Diretoria</t>
        </is>
      </c>
      <c r="Q271" t="inlineStr">
        <is>
          <t>Aprovado Caixa</t>
        </is>
      </c>
      <c r="R271" t="inlineStr">
        <is>
          <t>Pago</t>
        </is>
      </c>
      <c r="S271" t="n">
        <v>153</v>
      </c>
      <c r="T271" t="inlineStr">
        <is>
          <t>Bar Brahma Granja - FDB Novo - Banco do Brasil</t>
        </is>
      </c>
    </row>
    <row r="272">
      <c r="A272" t="n">
        <v>189571</v>
      </c>
      <c r="B272" t="n">
        <v>148</v>
      </c>
      <c r="C272" t="inlineStr">
        <is>
          <t>Bar Brahma - Granja</t>
        </is>
      </c>
      <c r="D272" t="inlineStr">
        <is>
          <t>M. BARBOSA DOS SANTOS</t>
        </is>
      </c>
      <c r="E272" t="n">
        <v>259.29</v>
      </c>
      <c r="F272" s="27" t="n">
        <v>46034</v>
      </c>
      <c r="G272" s="27" t="n">
        <v>46034</v>
      </c>
      <c r="H272" s="27" t="n">
        <v>46034</v>
      </c>
      <c r="I272" s="27" t="n">
        <v>46017</v>
      </c>
      <c r="J272" s="27" t="n">
        <v>46029</v>
      </c>
      <c r="K272" t="inlineStr">
        <is>
          <t>Boleto Bancário</t>
        </is>
      </c>
      <c r="L272" t="inlineStr">
        <is>
          <t>Custo Mercadoria Vendida</t>
        </is>
      </c>
      <c r="M272" t="inlineStr">
        <is>
          <t>Insumos - Alimentos</t>
        </is>
      </c>
      <c r="N272" t="inlineStr">
        <is>
          <t>10798</t>
        </is>
      </c>
      <c r="O272" t="inlineStr">
        <is>
          <t>Documentação Aprovada</t>
        </is>
      </c>
      <c r="P272" t="inlineStr">
        <is>
          <t>Aprovado Diretoria</t>
        </is>
      </c>
      <c r="Q272" t="inlineStr">
        <is>
          <t>Aprovado Caixa</t>
        </is>
      </c>
      <c r="R272" t="inlineStr">
        <is>
          <t>Pago</t>
        </is>
      </c>
      <c r="S272" t="n">
        <v>164</v>
      </c>
      <c r="T272" t="inlineStr">
        <is>
          <t>Bar Brahma Granja - FDB Filial - Kamino</t>
        </is>
      </c>
    </row>
    <row r="273">
      <c r="A273" t="n">
        <v>189559</v>
      </c>
      <c r="B273" t="n">
        <v>148</v>
      </c>
      <c r="C273" t="inlineStr">
        <is>
          <t>Bar Brahma - Granja</t>
        </is>
      </c>
      <c r="D273" t="inlineStr">
        <is>
          <t>STEMME TELECOMUNICACOES DO BRASIL LTDA</t>
        </is>
      </c>
      <c r="E273" t="n">
        <v>249.9</v>
      </c>
      <c r="F273" s="27" t="n">
        <v>46032</v>
      </c>
      <c r="G273" s="27" t="n">
        <v>46034</v>
      </c>
      <c r="H273" s="27" t="n">
        <v>46034</v>
      </c>
      <c r="I273" s="27" t="n">
        <v>46027</v>
      </c>
      <c r="J273" s="27" t="n">
        <v>46029</v>
      </c>
      <c r="K273" t="inlineStr">
        <is>
          <t>Boleto Bancário</t>
        </is>
      </c>
      <c r="L273" t="inlineStr">
        <is>
          <t>Informática e TI</t>
        </is>
      </c>
      <c r="M273" t="inlineStr">
        <is>
          <t>Internet</t>
        </is>
      </c>
      <c r="N273" t="inlineStr">
        <is>
          <t>8880</t>
        </is>
      </c>
      <c r="O273" t="inlineStr">
        <is>
          <t>Documentação Aprovada</t>
        </is>
      </c>
      <c r="P273" t="inlineStr">
        <is>
          <t>Aprovado Diretoria</t>
        </is>
      </c>
      <c r="Q273" t="inlineStr">
        <is>
          <t>Aprovado Caixa</t>
        </is>
      </c>
      <c r="R273" t="inlineStr">
        <is>
          <t>Pago</t>
        </is>
      </c>
      <c r="S273" t="n">
        <v>164</v>
      </c>
      <c r="T273" t="inlineStr">
        <is>
          <t>Bar Brahma Granja - FDB Filial - Kamino</t>
        </is>
      </c>
    </row>
    <row r="274">
      <c r="A274" t="n">
        <v>189564</v>
      </c>
      <c r="B274" t="n">
        <v>148</v>
      </c>
      <c r="C274" t="inlineStr">
        <is>
          <t>Bar Brahma - Granja</t>
        </is>
      </c>
      <c r="D274" t="inlineStr">
        <is>
          <t>PDO ALIMENTOS E COMERCIO LTDA</t>
        </is>
      </c>
      <c r="E274" t="n">
        <v>161.88</v>
      </c>
      <c r="F274" s="27" t="n">
        <v>46034</v>
      </c>
      <c r="G274" s="27" t="n">
        <v>46034</v>
      </c>
      <c r="H274" s="27" t="n">
        <v>46034</v>
      </c>
      <c r="I274" s="27" t="n">
        <v>46014</v>
      </c>
      <c r="J274" s="27" t="n">
        <v>46029</v>
      </c>
      <c r="K274" t="inlineStr">
        <is>
          <t>Boleto Bancário</t>
        </is>
      </c>
      <c r="L274" t="inlineStr">
        <is>
          <t>Custo Mercadoria Vendida</t>
        </is>
      </c>
      <c r="M274" t="inlineStr">
        <is>
          <t>Insumos - Alimentos</t>
        </is>
      </c>
      <c r="N274" t="inlineStr">
        <is>
          <t>46099</t>
        </is>
      </c>
      <c r="O274" t="inlineStr">
        <is>
          <t>Documentação Aprovada</t>
        </is>
      </c>
      <c r="P274" t="inlineStr">
        <is>
          <t>Aprovado Diretoria</t>
        </is>
      </c>
      <c r="Q274" t="inlineStr">
        <is>
          <t>Aprovado Caixa</t>
        </is>
      </c>
      <c r="R274" t="inlineStr">
        <is>
          <t>Pago</t>
        </is>
      </c>
      <c r="S274" t="n">
        <v>164</v>
      </c>
      <c r="T274" t="inlineStr">
        <is>
          <t>Bar Brahma Granja - FDB Filial - Kamino</t>
        </is>
      </c>
    </row>
    <row r="275">
      <c r="A275" t="n">
        <v>194605</v>
      </c>
      <c r="B275" t="n">
        <v>148</v>
      </c>
      <c r="C275" t="inlineStr">
        <is>
          <t>Bar Brahma - Granja</t>
        </is>
      </c>
      <c r="D275" t="inlineStr">
        <is>
          <t>CAIXA ECONOMICA FEDERAL</t>
        </is>
      </c>
      <c r="E275" t="n">
        <v>125</v>
      </c>
      <c r="F275" s="27" t="n">
        <v>46034</v>
      </c>
      <c r="G275" s="27" t="n"/>
      <c r="H275" s="27" t="n">
        <v>46034</v>
      </c>
      <c r="I275" s="27" t="n">
        <v>46034</v>
      </c>
      <c r="J275" s="27" t="n"/>
      <c r="K275" t="inlineStr">
        <is>
          <t xml:space="preserve">Debito Automático </t>
        </is>
      </c>
      <c r="L275" t="inlineStr">
        <is>
          <t>Despesas Financeiras</t>
        </is>
      </c>
      <c r="M275" t="inlineStr">
        <is>
          <t>Tarifas Bancárias</t>
        </is>
      </c>
      <c r="O275" t="inlineStr">
        <is>
          <t>Documentação Aprovada</t>
        </is>
      </c>
      <c r="P275" t="inlineStr">
        <is>
          <t>Aprovado Diretoria</t>
        </is>
      </c>
      <c r="Q275" t="inlineStr">
        <is>
          <t>Aprovado Caixa</t>
        </is>
      </c>
      <c r="R275" t="inlineStr">
        <is>
          <t>Pago</t>
        </is>
      </c>
      <c r="S275" t="n">
        <v>187</v>
      </c>
      <c r="T275" t="inlineStr">
        <is>
          <t>Bar Brahma Granja - FDB Novo - Caixa</t>
        </is>
      </c>
    </row>
    <row r="276">
      <c r="A276" t="n">
        <v>187623</v>
      </c>
      <c r="B276" t="n">
        <v>148</v>
      </c>
      <c r="C276" t="inlineStr">
        <is>
          <t>Bar Brahma - Granja</t>
        </is>
      </c>
      <c r="D276" t="inlineStr">
        <is>
          <t>BUSINESS TO SUCESS LTDA</t>
        </is>
      </c>
      <c r="E276" t="n">
        <v>0</v>
      </c>
      <c r="F276" s="27" t="n">
        <v>46032</v>
      </c>
      <c r="G276" s="27" t="n">
        <v>46034</v>
      </c>
      <c r="H276" s="27" t="n">
        <v>46032</v>
      </c>
      <c r="I276" s="27" t="n">
        <v>46027</v>
      </c>
      <c r="J276" s="27" t="n">
        <v>46024</v>
      </c>
      <c r="K276" t="inlineStr">
        <is>
          <t>Boleto Bancário</t>
        </is>
      </c>
      <c r="L276" t="inlineStr">
        <is>
          <t>Marketing</t>
        </is>
      </c>
      <c r="M276" t="inlineStr">
        <is>
          <t>Ferramentas de Marketing</t>
        </is>
      </c>
      <c r="N276" t="inlineStr">
        <is>
          <t>PROVISAO</t>
        </is>
      </c>
      <c r="O276" t="inlineStr">
        <is>
          <t>Documentação Aprovada</t>
        </is>
      </c>
      <c r="P276" t="inlineStr">
        <is>
          <t>Aprovado Diretoria</t>
        </is>
      </c>
      <c r="Q276" t="inlineStr">
        <is>
          <t>Aprovado Caixa</t>
        </is>
      </c>
      <c r="R276" t="inlineStr">
        <is>
          <t>Pago</t>
        </is>
      </c>
      <c r="S276" t="n">
        <v>176</v>
      </c>
      <c r="T276" t="inlineStr">
        <is>
          <t>Escritório - FB Morumbi - Kamino</t>
        </is>
      </c>
    </row>
    <row r="277">
      <c r="A277" t="n">
        <v>187416</v>
      </c>
      <c r="B277" t="n">
        <v>148</v>
      </c>
      <c r="C277" t="inlineStr">
        <is>
          <t>Bar Brahma - Granja</t>
        </is>
      </c>
      <c r="D277" t="inlineStr">
        <is>
          <t xml:space="preserve">REGINALDO SILVA DO NASCIMENTO </t>
        </is>
      </c>
      <c r="E277" t="n">
        <v>1000</v>
      </c>
      <c r="F277" s="27" t="n">
        <v>46030</v>
      </c>
      <c r="G277" s="27" t="n">
        <v>46030</v>
      </c>
      <c r="H277" s="27" t="n">
        <v>46030</v>
      </c>
      <c r="I277" s="27" t="n">
        <v>46014</v>
      </c>
      <c r="J277" s="27" t="n">
        <v>46023</v>
      </c>
      <c r="K277" t="inlineStr">
        <is>
          <t>Transferência Bancária ou Pix</t>
        </is>
      </c>
      <c r="L277" t="inlineStr">
        <is>
          <t>Manutenção</t>
        </is>
      </c>
      <c r="M277" t="inlineStr">
        <is>
          <t>Manutenção Predial</t>
        </is>
      </c>
      <c r="N277" t="inlineStr">
        <is>
          <t>75</t>
        </is>
      </c>
      <c r="O277" t="inlineStr">
        <is>
          <t>Documentação Aprovada</t>
        </is>
      </c>
      <c r="P277" t="inlineStr">
        <is>
          <t>Aprovado Diretoria</t>
        </is>
      </c>
      <c r="Q277" t="inlineStr">
        <is>
          <t>Aprovado Caixa</t>
        </is>
      </c>
      <c r="R277" t="inlineStr">
        <is>
          <t>Pago</t>
        </is>
      </c>
      <c r="S277" t="n">
        <v>164</v>
      </c>
      <c r="T277" t="inlineStr">
        <is>
          <t>Bar Brahma Granja - FDB Filial - Kamino</t>
        </is>
      </c>
    </row>
    <row r="278">
      <c r="A278" t="n">
        <v>187414</v>
      </c>
      <c r="B278" t="n">
        <v>148</v>
      </c>
      <c r="C278" t="inlineStr">
        <is>
          <t>Bar Brahma - Granja</t>
        </is>
      </c>
      <c r="D278" t="inlineStr">
        <is>
          <t>ESTAFF SOLUCOES TECNOLOGICAS DE AGENCIAMENTO LTDA</t>
        </is>
      </c>
      <c r="E278" t="n">
        <v>5845.29</v>
      </c>
      <c r="F278" s="27" t="n">
        <v>46030</v>
      </c>
      <c r="G278" s="27" t="n">
        <v>46030</v>
      </c>
      <c r="H278" s="27" t="n">
        <v>46030</v>
      </c>
      <c r="I278" s="27" t="n">
        <v>46019</v>
      </c>
      <c r="J278" s="27" t="n">
        <v>46023</v>
      </c>
      <c r="K278" t="inlineStr">
        <is>
          <t>Boleto Bancário</t>
        </is>
      </c>
      <c r="L278" t="inlineStr">
        <is>
          <t>Mão de Obra - Extra</t>
        </is>
      </c>
      <c r="M278" t="inlineStr">
        <is>
          <t>Mão de Obra Extra</t>
        </is>
      </c>
      <c r="N278" t="inlineStr">
        <is>
          <t>17297-27428</t>
        </is>
      </c>
      <c r="O278" t="inlineStr">
        <is>
          <t>Documentação Aprovada</t>
        </is>
      </c>
      <c r="P278" t="inlineStr">
        <is>
          <t>Aprovado Diretoria</t>
        </is>
      </c>
      <c r="Q278" t="inlineStr">
        <is>
          <t>Aprovado Caixa</t>
        </is>
      </c>
      <c r="R278" t="inlineStr">
        <is>
          <t>Pago</t>
        </is>
      </c>
      <c r="S278" t="n">
        <v>164</v>
      </c>
      <c r="T278" t="inlineStr">
        <is>
          <t>Bar Brahma Granja - FDB Filial - Kamino</t>
        </is>
      </c>
    </row>
    <row r="279">
      <c r="A279" t="n">
        <v>186780</v>
      </c>
      <c r="B279" t="n">
        <v>148</v>
      </c>
      <c r="C279" t="inlineStr">
        <is>
          <t>Bar Brahma - Granja</t>
        </is>
      </c>
      <c r="D279" t="inlineStr">
        <is>
          <t xml:space="preserve">BGC COMERCIO DE UTENSILIOS </t>
        </is>
      </c>
      <c r="E279" t="n">
        <v>136.14</v>
      </c>
      <c r="F279" s="27" t="n">
        <v>46030</v>
      </c>
      <c r="G279" s="27" t="n">
        <v>46030</v>
      </c>
      <c r="H279" s="27" t="n">
        <v>46030</v>
      </c>
      <c r="I279" s="27" t="n">
        <v>46002</v>
      </c>
      <c r="J279" s="27" t="n">
        <v>46020</v>
      </c>
      <c r="K279" t="inlineStr">
        <is>
          <t>Boleto Bancário</t>
        </is>
      </c>
      <c r="L279" t="inlineStr">
        <is>
          <t>Utilidades</t>
        </is>
      </c>
      <c r="M279" t="inlineStr">
        <is>
          <t>Utensilios</t>
        </is>
      </c>
      <c r="N279" t="inlineStr">
        <is>
          <t>1927</t>
        </is>
      </c>
      <c r="O279" t="inlineStr">
        <is>
          <t>Documentação Aprovada</t>
        </is>
      </c>
      <c r="P279" t="inlineStr">
        <is>
          <t>Aprovado Diretoria</t>
        </is>
      </c>
      <c r="Q279" t="inlineStr">
        <is>
          <t>Aprovado Caixa</t>
        </is>
      </c>
      <c r="R279" t="inlineStr">
        <is>
          <t>Pago</t>
        </is>
      </c>
      <c r="S279" t="n">
        <v>164</v>
      </c>
      <c r="T279" t="inlineStr">
        <is>
          <t>Bar Brahma Granja - FDB Filial - Kamino</t>
        </is>
      </c>
    </row>
    <row r="280">
      <c r="A280" t="n">
        <v>186770</v>
      </c>
      <c r="B280" t="n">
        <v>148</v>
      </c>
      <c r="C280" t="inlineStr">
        <is>
          <t>Bar Brahma - Granja</t>
        </is>
      </c>
      <c r="D280" t="inlineStr">
        <is>
          <t>LATICINIOS PIRAMIDE LTDA</t>
        </is>
      </c>
      <c r="E280" t="n">
        <v>2040.3</v>
      </c>
      <c r="F280" s="27" t="n">
        <v>46030</v>
      </c>
      <c r="G280" s="27" t="n">
        <v>46030</v>
      </c>
      <c r="H280" s="27" t="n">
        <v>46030</v>
      </c>
      <c r="I280" s="27" t="n">
        <v>46009</v>
      </c>
      <c r="J280" s="27" t="n">
        <v>46020</v>
      </c>
      <c r="K280" t="inlineStr">
        <is>
          <t>Boleto Bancário</t>
        </is>
      </c>
      <c r="L280" t="inlineStr">
        <is>
          <t>Custo Mercadoria Vendida</t>
        </is>
      </c>
      <c r="M280" t="inlineStr">
        <is>
          <t>Insumos - Alimentos</t>
        </is>
      </c>
      <c r="N280" t="inlineStr">
        <is>
          <t>80700</t>
        </is>
      </c>
      <c r="O280" t="inlineStr">
        <is>
          <t>Documentação Aprovada</t>
        </is>
      </c>
      <c r="P280" t="inlineStr">
        <is>
          <t>Aprovado Diretoria</t>
        </is>
      </c>
      <c r="Q280" t="inlineStr">
        <is>
          <t>Aprovado Caixa</t>
        </is>
      </c>
      <c r="R280" t="inlineStr">
        <is>
          <t>Pago</t>
        </is>
      </c>
      <c r="S280" t="n">
        <v>164</v>
      </c>
      <c r="T280" t="inlineStr">
        <is>
          <t>Bar Brahma Granja - FDB Filial - Kamino</t>
        </is>
      </c>
    </row>
    <row r="281">
      <c r="A281" t="n">
        <v>186771</v>
      </c>
      <c r="B281" t="n">
        <v>148</v>
      </c>
      <c r="C281" t="inlineStr">
        <is>
          <t>Bar Brahma - Granja</t>
        </is>
      </c>
      <c r="D281" t="inlineStr">
        <is>
          <t>FG7 COMERCIO E DISTRIBUICAO DE BEBIDAS LTDA</t>
        </is>
      </c>
      <c r="E281" t="n">
        <v>305.56</v>
      </c>
      <c r="F281" s="27" t="n">
        <v>46030</v>
      </c>
      <c r="G281" s="27" t="n">
        <v>46030</v>
      </c>
      <c r="H281" s="27" t="n">
        <v>46030</v>
      </c>
      <c r="I281" s="27" t="n">
        <v>46009</v>
      </c>
      <c r="J281" s="27" t="n">
        <v>46020</v>
      </c>
      <c r="K281" t="inlineStr">
        <is>
          <t>Boleto Bancário</t>
        </is>
      </c>
      <c r="L281" t="inlineStr">
        <is>
          <t>Custo Mercadoria Vendida</t>
        </is>
      </c>
      <c r="M281" t="inlineStr">
        <is>
          <t>Insumos - Bebidas</t>
        </is>
      </c>
      <c r="N281" t="inlineStr">
        <is>
          <t>721449</t>
        </is>
      </c>
      <c r="O281" t="inlineStr">
        <is>
          <t>Documentação Aprovada</t>
        </is>
      </c>
      <c r="P281" t="inlineStr">
        <is>
          <t>Aprovado Diretoria</t>
        </is>
      </c>
      <c r="Q281" t="inlineStr">
        <is>
          <t>Aprovado Caixa</t>
        </is>
      </c>
      <c r="R281" t="inlineStr">
        <is>
          <t>Pago</t>
        </is>
      </c>
      <c r="S281" t="n">
        <v>164</v>
      </c>
      <c r="T281" t="inlineStr">
        <is>
          <t>Bar Brahma Granja - FDB Filial - Kamino</t>
        </is>
      </c>
    </row>
    <row r="282">
      <c r="A282" t="n">
        <v>186773</v>
      </c>
      <c r="B282" t="n">
        <v>148</v>
      </c>
      <c r="C282" t="inlineStr">
        <is>
          <t>Bar Brahma - Granja</t>
        </is>
      </c>
      <c r="D282" t="inlineStr">
        <is>
          <t>MARIO PEDRO FELICIANO - HORTIFRUTI</t>
        </is>
      </c>
      <c r="E282" t="n">
        <v>272.98</v>
      </c>
      <c r="F282" s="27" t="n">
        <v>46030</v>
      </c>
      <c r="G282" s="27" t="n">
        <v>46030</v>
      </c>
      <c r="H282" s="27" t="n">
        <v>46030</v>
      </c>
      <c r="I282" s="27" t="n">
        <v>46003</v>
      </c>
      <c r="J282" s="27" t="n">
        <v>46020</v>
      </c>
      <c r="K282" t="inlineStr">
        <is>
          <t>Boleto Bancário</t>
        </is>
      </c>
      <c r="L282" t="inlineStr">
        <is>
          <t>Custo Mercadoria Vendida</t>
        </is>
      </c>
      <c r="M282" t="inlineStr">
        <is>
          <t>Insumos - Alimentos</t>
        </is>
      </c>
      <c r="N282" t="inlineStr">
        <is>
          <t>461629</t>
        </is>
      </c>
      <c r="O282" t="inlineStr">
        <is>
          <t>Documentação Aprovada</t>
        </is>
      </c>
      <c r="P282" t="inlineStr">
        <is>
          <t>Aprovado Diretoria</t>
        </is>
      </c>
      <c r="Q282" t="inlineStr">
        <is>
          <t>Aprovado Caixa</t>
        </is>
      </c>
      <c r="R282" t="inlineStr">
        <is>
          <t>Pago</t>
        </is>
      </c>
      <c r="S282" t="n">
        <v>164</v>
      </c>
      <c r="T282" t="inlineStr">
        <is>
          <t>Bar Brahma Granja - FDB Filial - Kamino</t>
        </is>
      </c>
    </row>
    <row r="283">
      <c r="A283" t="n">
        <v>186778</v>
      </c>
      <c r="B283" t="n">
        <v>148</v>
      </c>
      <c r="C283" t="inlineStr">
        <is>
          <t>Bar Brahma - Granja</t>
        </is>
      </c>
      <c r="D283" t="inlineStr">
        <is>
          <t>CECILIA TSUYACO ARAKI SILVA LTDA</t>
        </is>
      </c>
      <c r="E283" t="n">
        <v>279.9</v>
      </c>
      <c r="F283" s="27" t="n">
        <v>46030</v>
      </c>
      <c r="G283" s="27" t="n">
        <v>46030</v>
      </c>
      <c r="H283" s="27" t="n">
        <v>46030</v>
      </c>
      <c r="I283" s="27" t="n">
        <v>46002</v>
      </c>
      <c r="J283" s="27" t="n">
        <v>46020</v>
      </c>
      <c r="K283" t="inlineStr">
        <is>
          <t>Boleto Bancário</t>
        </is>
      </c>
      <c r="L283" t="inlineStr">
        <is>
          <t>Custo Mercadoria Vendida</t>
        </is>
      </c>
      <c r="M283" t="inlineStr">
        <is>
          <t>Insumos - Alimentos</t>
        </is>
      </c>
      <c r="N283" t="inlineStr">
        <is>
          <t>383439</t>
        </is>
      </c>
      <c r="O283" t="inlineStr">
        <is>
          <t>Documentação Aprovada</t>
        </is>
      </c>
      <c r="P283" t="inlineStr">
        <is>
          <t>Aprovado Diretoria</t>
        </is>
      </c>
      <c r="Q283" t="inlineStr">
        <is>
          <t>Aprovado Caixa</t>
        </is>
      </c>
      <c r="R283" t="inlineStr">
        <is>
          <t>Pago</t>
        </is>
      </c>
      <c r="S283" t="n">
        <v>164</v>
      </c>
      <c r="T283" t="inlineStr">
        <is>
          <t>Bar Brahma Granja - FDB Filial - Kamino</t>
        </is>
      </c>
    </row>
    <row r="284">
      <c r="A284" t="n">
        <v>186768</v>
      </c>
      <c r="B284" t="n">
        <v>148</v>
      </c>
      <c r="C284" t="inlineStr">
        <is>
          <t>Bar Brahma - Granja</t>
        </is>
      </c>
      <c r="D284" t="inlineStr">
        <is>
          <t>LATICINIOS PIRAMIDE LTDA</t>
        </is>
      </c>
      <c r="E284" t="n">
        <v>1607</v>
      </c>
      <c r="F284" s="27" t="n">
        <v>46030</v>
      </c>
      <c r="G284" s="27" t="n">
        <v>46030</v>
      </c>
      <c r="H284" s="27" t="n">
        <v>46030</v>
      </c>
      <c r="I284" s="27" t="n">
        <v>46009</v>
      </c>
      <c r="J284" s="27" t="n">
        <v>46020</v>
      </c>
      <c r="K284" t="inlineStr">
        <is>
          <t>Boleto Bancário</t>
        </is>
      </c>
      <c r="L284" t="inlineStr">
        <is>
          <t>Custo Mercadoria Vendida</t>
        </is>
      </c>
      <c r="M284" t="inlineStr">
        <is>
          <t>Insumos - Alimentos</t>
        </is>
      </c>
      <c r="N284" t="inlineStr">
        <is>
          <t>80699</t>
        </is>
      </c>
      <c r="O284" t="inlineStr">
        <is>
          <t>Documentação Aprovada</t>
        </is>
      </c>
      <c r="P284" t="inlineStr">
        <is>
          <t>Aprovado Diretoria</t>
        </is>
      </c>
      <c r="Q284" t="inlineStr">
        <is>
          <t>Aprovado Caixa</t>
        </is>
      </c>
      <c r="R284" t="inlineStr">
        <is>
          <t>Pago</t>
        </is>
      </c>
      <c r="S284" t="n">
        <v>164</v>
      </c>
      <c r="T284" t="inlineStr">
        <is>
          <t>Bar Brahma Granja - FDB Filial - Kamino</t>
        </is>
      </c>
    </row>
    <row r="285">
      <c r="A285" t="n">
        <v>186782</v>
      </c>
      <c r="B285" t="n">
        <v>148</v>
      </c>
      <c r="C285" t="inlineStr">
        <is>
          <t>Bar Brahma - Granja</t>
        </is>
      </c>
      <c r="D285" t="inlineStr">
        <is>
          <t>HORTA NOVA DISTRIBUIDORA DE HORTIFRUTI LTDA</t>
        </is>
      </c>
      <c r="E285" t="n">
        <v>162.5</v>
      </c>
      <c r="F285" s="27" t="n">
        <v>46030</v>
      </c>
      <c r="G285" s="27" t="n">
        <v>46030</v>
      </c>
      <c r="H285" s="27" t="n">
        <v>46030</v>
      </c>
      <c r="I285" s="27" t="n">
        <v>46000</v>
      </c>
      <c r="J285" s="27" t="n">
        <v>46020</v>
      </c>
      <c r="K285" t="inlineStr">
        <is>
          <t>Boleto Bancário</t>
        </is>
      </c>
      <c r="L285" t="inlineStr">
        <is>
          <t>Custo Mercadoria Vendida</t>
        </is>
      </c>
      <c r="M285" t="inlineStr">
        <is>
          <t>Insumos - Alimentos</t>
        </is>
      </c>
      <c r="N285" t="inlineStr">
        <is>
          <t>7897</t>
        </is>
      </c>
      <c r="O285" t="inlineStr">
        <is>
          <t>Documentação Aprovada</t>
        </is>
      </c>
      <c r="P285" t="inlineStr">
        <is>
          <t>Aprovado Diretoria</t>
        </is>
      </c>
      <c r="Q285" t="inlineStr">
        <is>
          <t>Aprovado Caixa</t>
        </is>
      </c>
      <c r="R285" t="inlineStr">
        <is>
          <t>Pago</t>
        </is>
      </c>
      <c r="S285" t="n">
        <v>164</v>
      </c>
      <c r="T285" t="inlineStr">
        <is>
          <t>Bar Brahma Granja - FDB Filial - Kamino</t>
        </is>
      </c>
    </row>
    <row r="286">
      <c r="A286" t="n">
        <v>186787</v>
      </c>
      <c r="B286" t="n">
        <v>148</v>
      </c>
      <c r="C286" t="inlineStr">
        <is>
          <t>Bar Brahma - Granja</t>
        </is>
      </c>
      <c r="D286" t="inlineStr">
        <is>
          <t>AMBEV S. A. - CDD SAO PAULO</t>
        </is>
      </c>
      <c r="E286" t="n">
        <v>1643.81</v>
      </c>
      <c r="F286" s="27" t="n">
        <v>46030</v>
      </c>
      <c r="G286" s="27" t="n">
        <v>46030</v>
      </c>
      <c r="H286" s="27" t="n">
        <v>46030</v>
      </c>
      <c r="I286" s="27" t="n">
        <v>45999</v>
      </c>
      <c r="J286" s="27" t="n">
        <v>46020</v>
      </c>
      <c r="K286" t="inlineStr">
        <is>
          <t>Boleto Bancário</t>
        </is>
      </c>
      <c r="L286" t="inlineStr">
        <is>
          <t>Custo Mercadoria Vendida</t>
        </is>
      </c>
      <c r="M286" t="inlineStr">
        <is>
          <t>Insumos - Bebidas</t>
        </is>
      </c>
      <c r="N286" t="inlineStr">
        <is>
          <t>966896</t>
        </is>
      </c>
      <c r="O286" t="inlineStr">
        <is>
          <t>Documentação Aprovada</t>
        </is>
      </c>
      <c r="P286" t="inlineStr">
        <is>
          <t>Aprovado Diretoria</t>
        </is>
      </c>
      <c r="Q286" t="inlineStr">
        <is>
          <t>Aprovado Caixa</t>
        </is>
      </c>
      <c r="R286" t="inlineStr">
        <is>
          <t>Pago</t>
        </is>
      </c>
      <c r="S286" t="n">
        <v>164</v>
      </c>
      <c r="T286" t="inlineStr">
        <is>
          <t>Bar Brahma Granja - FDB Filial - Kamino</t>
        </is>
      </c>
    </row>
    <row r="287">
      <c r="A287" t="n">
        <v>186763</v>
      </c>
      <c r="B287" t="n">
        <v>148</v>
      </c>
      <c r="C287" t="inlineStr">
        <is>
          <t>Bar Brahma - Granja</t>
        </is>
      </c>
      <c r="D287" t="inlineStr">
        <is>
          <t>HORTA NOVA DISTRIBUIDORA DE HORTIFRUTI LTDA</t>
        </is>
      </c>
      <c r="E287" t="n">
        <v>145.75</v>
      </c>
      <c r="F287" s="27" t="n">
        <v>46030</v>
      </c>
      <c r="G287" s="27" t="n">
        <v>46030</v>
      </c>
      <c r="H287" s="27" t="n">
        <v>46030</v>
      </c>
      <c r="I287" s="27" t="n">
        <v>46000</v>
      </c>
      <c r="J287" s="27" t="n">
        <v>46020</v>
      </c>
      <c r="K287" t="inlineStr">
        <is>
          <t>Boleto Bancário</t>
        </is>
      </c>
      <c r="L287" t="inlineStr">
        <is>
          <t>Custo Mercadoria Vendida</t>
        </is>
      </c>
      <c r="M287" t="inlineStr">
        <is>
          <t>Insumos - Alimentos</t>
        </is>
      </c>
      <c r="N287" t="inlineStr">
        <is>
          <t>7883</t>
        </is>
      </c>
      <c r="O287" t="inlineStr">
        <is>
          <t>Documentação Aprovada</t>
        </is>
      </c>
      <c r="P287" t="inlineStr">
        <is>
          <t>Aprovado Diretoria</t>
        </is>
      </c>
      <c r="Q287" t="inlineStr">
        <is>
          <t>Aprovado Caixa</t>
        </is>
      </c>
      <c r="R287" t="inlineStr">
        <is>
          <t>Pago</t>
        </is>
      </c>
      <c r="S287" t="n">
        <v>164</v>
      </c>
      <c r="T287" t="inlineStr">
        <is>
          <t>Bar Brahma Granja - FDB Filial - Kamino</t>
        </is>
      </c>
    </row>
    <row r="288">
      <c r="A288" t="n">
        <v>186789</v>
      </c>
      <c r="B288" t="n">
        <v>148</v>
      </c>
      <c r="C288" t="inlineStr">
        <is>
          <t>Bar Brahma - Granja</t>
        </is>
      </c>
      <c r="D288" t="inlineStr">
        <is>
          <t>AMBEV S. A. - CDD SAO PAULO</t>
        </is>
      </c>
      <c r="E288" t="n">
        <v>919.55</v>
      </c>
      <c r="F288" s="27" t="n">
        <v>46030</v>
      </c>
      <c r="G288" s="27" t="n">
        <v>46030</v>
      </c>
      <c r="H288" s="27" t="n">
        <v>46030</v>
      </c>
      <c r="I288" s="27" t="n">
        <v>45999</v>
      </c>
      <c r="J288" s="27" t="n">
        <v>46020</v>
      </c>
      <c r="K288" t="inlineStr">
        <is>
          <t>Boleto Bancário</t>
        </is>
      </c>
      <c r="L288" t="inlineStr">
        <is>
          <t>Custo Mercadoria Vendida</t>
        </is>
      </c>
      <c r="M288" t="inlineStr">
        <is>
          <t>Insumos - Bebidas</t>
        </is>
      </c>
      <c r="N288" t="inlineStr">
        <is>
          <t>966895</t>
        </is>
      </c>
      <c r="O288" t="inlineStr">
        <is>
          <t>Documentação Aprovada</t>
        </is>
      </c>
      <c r="P288" t="inlineStr">
        <is>
          <t>Aprovado Diretoria</t>
        </is>
      </c>
      <c r="Q288" t="inlineStr">
        <is>
          <t>Aprovado Caixa</t>
        </is>
      </c>
      <c r="R288" t="inlineStr">
        <is>
          <t>Pago</t>
        </is>
      </c>
      <c r="S288" t="n">
        <v>164</v>
      </c>
      <c r="T288" t="inlineStr">
        <is>
          <t>Bar Brahma Granja - FDB Filial - Kamino</t>
        </is>
      </c>
    </row>
    <row r="289">
      <c r="A289" t="n">
        <v>186790</v>
      </c>
      <c r="B289" t="n">
        <v>148</v>
      </c>
      <c r="C289" t="inlineStr">
        <is>
          <t>Bar Brahma - Granja</t>
        </is>
      </c>
      <c r="D289" t="inlineStr">
        <is>
          <t>HORTA NOVA DISTRIBUIDORA DE HORTIFRUTI LTDA</t>
        </is>
      </c>
      <c r="E289" t="n">
        <v>125.45</v>
      </c>
      <c r="F289" s="27" t="n">
        <v>46031</v>
      </c>
      <c r="G289" s="27" t="n">
        <v>46030</v>
      </c>
      <c r="H289" s="27" t="n">
        <v>46030</v>
      </c>
      <c r="I289" s="27" t="n">
        <v>46001</v>
      </c>
      <c r="J289" s="27" t="n">
        <v>46020</v>
      </c>
      <c r="K289" t="inlineStr">
        <is>
          <t>Boleto Bancário</t>
        </is>
      </c>
      <c r="L289" t="inlineStr">
        <is>
          <t>Custo Mercadoria Vendida</t>
        </is>
      </c>
      <c r="M289" t="inlineStr">
        <is>
          <t>Insumos - Alimentos</t>
        </is>
      </c>
      <c r="N289" t="inlineStr">
        <is>
          <t>7912</t>
        </is>
      </c>
      <c r="O289" t="inlineStr">
        <is>
          <t>Documentação Aprovada</t>
        </is>
      </c>
      <c r="P289" t="inlineStr">
        <is>
          <t>Aprovado Diretoria</t>
        </is>
      </c>
      <c r="Q289" t="inlineStr">
        <is>
          <t>Aprovado Caixa</t>
        </is>
      </c>
      <c r="R289" t="inlineStr">
        <is>
          <t>Pago</t>
        </is>
      </c>
      <c r="S289" t="n">
        <v>164</v>
      </c>
      <c r="T289" t="inlineStr">
        <is>
          <t>Bar Brahma Granja - FDB Filial - Kamino</t>
        </is>
      </c>
    </row>
    <row r="290">
      <c r="A290" t="n">
        <v>186791</v>
      </c>
      <c r="B290" t="n">
        <v>148</v>
      </c>
      <c r="C290" t="inlineStr">
        <is>
          <t>Bar Brahma - Granja</t>
        </is>
      </c>
      <c r="D290" t="inlineStr">
        <is>
          <t>ATELIE GASTRONOMICO E UTENSILIOS LTDA</t>
        </is>
      </c>
      <c r="E290" t="n">
        <v>224.88</v>
      </c>
      <c r="F290" s="27" t="n">
        <v>46031</v>
      </c>
      <c r="G290" s="27" t="n">
        <v>46030</v>
      </c>
      <c r="H290" s="27" t="n">
        <v>46030</v>
      </c>
      <c r="I290" s="27" t="n">
        <v>46003</v>
      </c>
      <c r="J290" s="27" t="n">
        <v>46020</v>
      </c>
      <c r="K290" t="inlineStr">
        <is>
          <t>Boleto Bancário</t>
        </is>
      </c>
      <c r="L290" t="inlineStr">
        <is>
          <t>Utilidades</t>
        </is>
      </c>
      <c r="M290" t="inlineStr">
        <is>
          <t>Utensilios</t>
        </is>
      </c>
      <c r="N290" t="inlineStr">
        <is>
          <t>123</t>
        </is>
      </c>
      <c r="O290" t="inlineStr">
        <is>
          <t>Documentação Aprovada</t>
        </is>
      </c>
      <c r="P290" t="inlineStr">
        <is>
          <t>Aprovado Diretoria</t>
        </is>
      </c>
      <c r="Q290" t="inlineStr">
        <is>
          <t>Aprovado Caixa</t>
        </is>
      </c>
      <c r="R290" t="inlineStr">
        <is>
          <t>Pago</t>
        </is>
      </c>
      <c r="S290" t="n">
        <v>164</v>
      </c>
      <c r="T290" t="inlineStr">
        <is>
          <t>Bar Brahma Granja - FDB Filial - Kamino</t>
        </is>
      </c>
    </row>
    <row r="291">
      <c r="A291" t="n">
        <v>186792</v>
      </c>
      <c r="B291" t="n">
        <v>148</v>
      </c>
      <c r="C291" t="inlineStr">
        <is>
          <t>Bar Brahma - Granja</t>
        </is>
      </c>
      <c r="D291" t="inlineStr">
        <is>
          <t>MARIO PEDRO FELICIANO - HORTIFRUTI</t>
        </is>
      </c>
      <c r="E291" t="n">
        <v>795.89</v>
      </c>
      <c r="F291" s="27" t="n">
        <v>46031</v>
      </c>
      <c r="G291" s="27" t="n">
        <v>46030</v>
      </c>
      <c r="H291" s="27" t="n">
        <v>46030</v>
      </c>
      <c r="I291" s="27" t="n">
        <v>46003</v>
      </c>
      <c r="J291" s="27" t="n">
        <v>46020</v>
      </c>
      <c r="K291" t="inlineStr">
        <is>
          <t>Boleto Bancário</t>
        </is>
      </c>
      <c r="L291" t="inlineStr">
        <is>
          <t>Custo Mercadoria Vendida</t>
        </is>
      </c>
      <c r="M291" t="inlineStr">
        <is>
          <t>Insumos - Alimentos</t>
        </is>
      </c>
      <c r="N291" t="inlineStr">
        <is>
          <t>461721</t>
        </is>
      </c>
      <c r="O291" t="inlineStr">
        <is>
          <t>Documentação Aprovada</t>
        </is>
      </c>
      <c r="P291" t="inlineStr">
        <is>
          <t>Aprovado Diretoria</t>
        </is>
      </c>
      <c r="Q291" t="inlineStr">
        <is>
          <t>Aprovado Caixa</t>
        </is>
      </c>
      <c r="R291" t="inlineStr">
        <is>
          <t>Pago</t>
        </is>
      </c>
      <c r="S291" t="n">
        <v>164</v>
      </c>
      <c r="T291" t="inlineStr">
        <is>
          <t>Bar Brahma Granja - FDB Filial - Kamino</t>
        </is>
      </c>
    </row>
    <row r="292">
      <c r="A292" t="n">
        <v>186793</v>
      </c>
      <c r="B292" t="n">
        <v>148</v>
      </c>
      <c r="C292" t="inlineStr">
        <is>
          <t>Bar Brahma - Granja</t>
        </is>
      </c>
      <c r="D292" t="inlineStr">
        <is>
          <t>CECILIA TSUYACO ARAKI SILVA LTDA</t>
        </is>
      </c>
      <c r="E292" t="n">
        <v>519.98</v>
      </c>
      <c r="F292" s="27" t="n">
        <v>46031</v>
      </c>
      <c r="G292" s="27" t="n">
        <v>46030</v>
      </c>
      <c r="H292" s="27" t="n">
        <v>46030</v>
      </c>
      <c r="I292" s="27" t="n">
        <v>46003</v>
      </c>
      <c r="J292" s="27" t="n">
        <v>46020</v>
      </c>
      <c r="K292" t="inlineStr">
        <is>
          <t>Boleto Bancário</t>
        </is>
      </c>
      <c r="L292" t="inlineStr">
        <is>
          <t>Custo Mercadoria Vendida</t>
        </is>
      </c>
      <c r="M292" t="inlineStr">
        <is>
          <t>Insumos - Alimentos</t>
        </is>
      </c>
      <c r="N292" t="inlineStr">
        <is>
          <t>383511</t>
        </is>
      </c>
      <c r="O292" t="inlineStr">
        <is>
          <t>Documentação Aprovada</t>
        </is>
      </c>
      <c r="P292" t="inlineStr">
        <is>
          <t>Aprovado Diretoria</t>
        </is>
      </c>
      <c r="Q292" t="inlineStr">
        <is>
          <t>Aprovado Caixa</t>
        </is>
      </c>
      <c r="R292" t="inlineStr">
        <is>
          <t>Pago</t>
        </is>
      </c>
      <c r="S292" t="n">
        <v>164</v>
      </c>
      <c r="T292" t="inlineStr">
        <is>
          <t>Bar Brahma Granja - FDB Filial - Kamino</t>
        </is>
      </c>
    </row>
    <row r="293">
      <c r="A293" t="n">
        <v>186891</v>
      </c>
      <c r="B293" t="n">
        <v>148</v>
      </c>
      <c r="C293" t="inlineStr">
        <is>
          <t>Bar Brahma - Granja</t>
        </is>
      </c>
      <c r="D293" t="inlineStr">
        <is>
          <t>EMPORIO M&amp;L COMERCIO DE ALIM E BEBIDAS LTDA</t>
        </is>
      </c>
      <c r="E293" t="n">
        <v>623.21</v>
      </c>
      <c r="F293" s="27" t="n">
        <v>46031</v>
      </c>
      <c r="G293" s="27" t="n">
        <v>46030</v>
      </c>
      <c r="H293" s="27" t="n">
        <v>46030</v>
      </c>
      <c r="I293" s="27" t="n">
        <v>46001</v>
      </c>
      <c r="J293" s="27" t="n">
        <v>46021</v>
      </c>
      <c r="K293" t="inlineStr">
        <is>
          <t>Boleto Bancário</t>
        </is>
      </c>
      <c r="L293" t="inlineStr">
        <is>
          <t>Custo Mercadoria Vendida</t>
        </is>
      </c>
      <c r="M293" t="inlineStr">
        <is>
          <t>Insumos - Alimentos</t>
        </is>
      </c>
      <c r="N293" t="inlineStr">
        <is>
          <t>486201</t>
        </is>
      </c>
      <c r="O293" t="inlineStr">
        <is>
          <t>Documentação Aprovada</t>
        </is>
      </c>
      <c r="P293" t="inlineStr">
        <is>
          <t>Aprovado Diretoria</t>
        </is>
      </c>
      <c r="Q293" t="inlineStr">
        <is>
          <t>Aprovado Caixa</t>
        </is>
      </c>
      <c r="R293" t="inlineStr">
        <is>
          <t>Pago</t>
        </is>
      </c>
      <c r="S293" t="n">
        <v>164</v>
      </c>
      <c r="T293" t="inlineStr">
        <is>
          <t>Bar Brahma Granja - FDB Filial - Kamino</t>
        </is>
      </c>
    </row>
    <row r="294">
      <c r="A294" t="n">
        <v>186890</v>
      </c>
      <c r="B294" t="n">
        <v>148</v>
      </c>
      <c r="C294" t="inlineStr">
        <is>
          <t>Bar Brahma - Granja</t>
        </is>
      </c>
      <c r="D294" t="inlineStr">
        <is>
          <t>EMPORIO M&amp;L COMERCIO DE ALIM E BEBIDAS LTDA</t>
        </is>
      </c>
      <c r="E294" t="n">
        <v>3300.71</v>
      </c>
      <c r="F294" s="27" t="n">
        <v>46031</v>
      </c>
      <c r="G294" s="27" t="n">
        <v>46030</v>
      </c>
      <c r="H294" s="27" t="n">
        <v>46030</v>
      </c>
      <c r="I294" s="27" t="n">
        <v>46001</v>
      </c>
      <c r="J294" s="27" t="n">
        <v>46021</v>
      </c>
      <c r="K294" t="inlineStr">
        <is>
          <t>Boleto Bancário</t>
        </is>
      </c>
      <c r="L294" t="inlineStr">
        <is>
          <t>Custo Mercadoria Vendida</t>
        </is>
      </c>
      <c r="M294" t="inlineStr">
        <is>
          <t>Insumos - Alimentos</t>
        </is>
      </c>
      <c r="N294" t="inlineStr">
        <is>
          <t>486208</t>
        </is>
      </c>
      <c r="O294" t="inlineStr">
        <is>
          <t>Documentação Aprovada</t>
        </is>
      </c>
      <c r="P294" t="inlineStr">
        <is>
          <t>Aprovado Diretoria</t>
        </is>
      </c>
      <c r="Q294" t="inlineStr">
        <is>
          <t>Aprovado Caixa</t>
        </is>
      </c>
      <c r="R294" t="inlineStr">
        <is>
          <t>Pago</t>
        </is>
      </c>
      <c r="S294" t="n">
        <v>164</v>
      </c>
      <c r="T294" t="inlineStr">
        <is>
          <t>Bar Brahma Granja - FDB Filial - Kamino</t>
        </is>
      </c>
    </row>
    <row r="295">
      <c r="A295" t="n">
        <v>186888</v>
      </c>
      <c r="B295" t="n">
        <v>148</v>
      </c>
      <c r="C295" t="inlineStr">
        <is>
          <t>Bar Brahma - Granja</t>
        </is>
      </c>
      <c r="D295" t="inlineStr">
        <is>
          <t>ICE4PROS FABRICA DE GELO LTDA</t>
        </is>
      </c>
      <c r="E295" t="n">
        <v>217.06</v>
      </c>
      <c r="F295" s="27" t="n">
        <v>46031</v>
      </c>
      <c r="G295" s="27" t="n">
        <v>46030</v>
      </c>
      <c r="H295" s="27" t="n">
        <v>46030</v>
      </c>
      <c r="I295" s="27" t="n">
        <v>46003</v>
      </c>
      <c r="J295" s="27" t="n">
        <v>46021</v>
      </c>
      <c r="K295" t="inlineStr">
        <is>
          <t>Boleto Bancário</t>
        </is>
      </c>
      <c r="L295" t="inlineStr">
        <is>
          <t>Custo Mercadoria Vendida</t>
        </is>
      </c>
      <c r="M295" t="inlineStr">
        <is>
          <t>Insumos - Bebidas</t>
        </is>
      </c>
      <c r="N295" t="inlineStr">
        <is>
          <t>90183</t>
        </is>
      </c>
      <c r="O295" t="inlineStr">
        <is>
          <t>Documentação Aprovada</t>
        </is>
      </c>
      <c r="P295" t="inlineStr">
        <is>
          <t>Aprovado Diretoria</t>
        </is>
      </c>
      <c r="Q295" t="inlineStr">
        <is>
          <t>Aprovado Caixa</t>
        </is>
      </c>
      <c r="R295" t="inlineStr">
        <is>
          <t>Pago</t>
        </is>
      </c>
      <c r="S295" t="n">
        <v>164</v>
      </c>
      <c r="T295" t="inlineStr">
        <is>
          <t>Bar Brahma Granja - FDB Filial - Kamino</t>
        </is>
      </c>
    </row>
    <row r="296">
      <c r="A296" t="n">
        <v>186887</v>
      </c>
      <c r="B296" t="n">
        <v>148</v>
      </c>
      <c r="C296" t="inlineStr">
        <is>
          <t>Bar Brahma - Granja</t>
        </is>
      </c>
      <c r="D296" t="inlineStr">
        <is>
          <t>MARCOS SILVA DO NASCIMENTO</t>
        </is>
      </c>
      <c r="E296" t="n">
        <v>2125.18</v>
      </c>
      <c r="F296" s="27" t="n">
        <v>46031</v>
      </c>
      <c r="G296" s="27" t="n">
        <v>46030</v>
      </c>
      <c r="H296" s="27" t="n">
        <v>46030</v>
      </c>
      <c r="I296" s="27" t="n">
        <v>46007</v>
      </c>
      <c r="J296" s="27" t="n">
        <v>46021</v>
      </c>
      <c r="K296" t="inlineStr">
        <is>
          <t>Boleto Bancário</t>
        </is>
      </c>
      <c r="L296" t="inlineStr">
        <is>
          <t>Custo Mercadoria Vendida</t>
        </is>
      </c>
      <c r="M296" t="inlineStr">
        <is>
          <t>Insumos - Alimentos</t>
        </is>
      </c>
      <c r="N296" t="inlineStr">
        <is>
          <t>668</t>
        </is>
      </c>
      <c r="O296" t="inlineStr">
        <is>
          <t>Documentação Aprovada</t>
        </is>
      </c>
      <c r="P296" t="inlineStr">
        <is>
          <t>Aprovado Diretoria</t>
        </is>
      </c>
      <c r="Q296" t="inlineStr">
        <is>
          <t>Aprovado Caixa</t>
        </is>
      </c>
      <c r="R296" t="inlineStr">
        <is>
          <t>Pago</t>
        </is>
      </c>
      <c r="S296" t="n">
        <v>164</v>
      </c>
      <c r="T296" t="inlineStr">
        <is>
          <t>Bar Brahma Granja - FDB Filial - Kamino</t>
        </is>
      </c>
    </row>
    <row r="297">
      <c r="A297" t="n">
        <v>186885</v>
      </c>
      <c r="B297" t="n">
        <v>148</v>
      </c>
      <c r="C297" t="inlineStr">
        <is>
          <t>Bar Brahma - Granja</t>
        </is>
      </c>
      <c r="D297" t="inlineStr">
        <is>
          <t>CECILIA TSUYACO ARAKI SILVA LTDA</t>
        </is>
      </c>
      <c r="E297" t="n">
        <v>140.35</v>
      </c>
      <c r="F297" s="27" t="n">
        <v>46031</v>
      </c>
      <c r="G297" s="27" t="n">
        <v>46030</v>
      </c>
      <c r="H297" s="27" t="n">
        <v>46030</v>
      </c>
      <c r="I297" s="27" t="n">
        <v>46003</v>
      </c>
      <c r="J297" s="27" t="n">
        <v>46021</v>
      </c>
      <c r="K297" t="inlineStr">
        <is>
          <t>Boleto Bancário</t>
        </is>
      </c>
      <c r="L297" t="inlineStr">
        <is>
          <t>Custo Mercadoria Vendida</t>
        </is>
      </c>
      <c r="M297" t="inlineStr">
        <is>
          <t>Insumos - Alimentos</t>
        </is>
      </c>
      <c r="N297" t="inlineStr">
        <is>
          <t>383534</t>
        </is>
      </c>
      <c r="O297" t="inlineStr">
        <is>
          <t>Documentação Aprovada</t>
        </is>
      </c>
      <c r="P297" t="inlineStr">
        <is>
          <t>Aprovado Diretoria</t>
        </is>
      </c>
      <c r="Q297" t="inlineStr">
        <is>
          <t>Aprovado Caixa</t>
        </is>
      </c>
      <c r="R297" t="inlineStr">
        <is>
          <t>Pago</t>
        </is>
      </c>
      <c r="S297" t="n">
        <v>164</v>
      </c>
      <c r="T297" t="inlineStr">
        <is>
          <t>Bar Brahma Granja - FDB Filial - Kamino</t>
        </is>
      </c>
    </row>
    <row r="298">
      <c r="A298" t="n">
        <v>186731</v>
      </c>
      <c r="B298" t="n">
        <v>148</v>
      </c>
      <c r="C298" t="inlineStr">
        <is>
          <t>Bar Brahma - Granja</t>
        </is>
      </c>
      <c r="D298" t="inlineStr">
        <is>
          <t>BRH SAUDE OCUPACIONAL LTDA</t>
        </is>
      </c>
      <c r="E298" t="n">
        <v>553.86</v>
      </c>
      <c r="F298" s="27" t="n">
        <v>46031</v>
      </c>
      <c r="G298" s="27" t="n">
        <v>46030</v>
      </c>
      <c r="H298" s="27" t="n">
        <v>46030</v>
      </c>
      <c r="I298" s="27" t="n">
        <v>46021</v>
      </c>
      <c r="J298" s="27" t="n">
        <v>46020</v>
      </c>
      <c r="K298" t="inlineStr">
        <is>
          <t>Boleto Bancário</t>
        </is>
      </c>
      <c r="L298" t="inlineStr">
        <is>
          <t>Mão de Obra - Benefícios</t>
        </is>
      </c>
      <c r="M298" t="inlineStr">
        <is>
          <t xml:space="preserve">  -  Exames Periódicos</t>
        </is>
      </c>
      <c r="N298" t="inlineStr">
        <is>
          <t>85985</t>
        </is>
      </c>
      <c r="O298" t="inlineStr">
        <is>
          <t>Documentação Aprovada</t>
        </is>
      </c>
      <c r="P298" t="inlineStr">
        <is>
          <t>Aprovado Diretoria</t>
        </is>
      </c>
      <c r="Q298" t="inlineStr">
        <is>
          <t>Aprovado Caixa</t>
        </is>
      </c>
      <c r="R298" t="inlineStr">
        <is>
          <t>Pago</t>
        </is>
      </c>
      <c r="S298" t="n">
        <v>148</v>
      </c>
      <c r="T298" t="inlineStr">
        <is>
          <t>Bar Brahma Granja - Tutum Filial - Kamino</t>
        </is>
      </c>
    </row>
    <row r="299">
      <c r="A299" t="n">
        <v>185378</v>
      </c>
      <c r="B299" t="n">
        <v>148</v>
      </c>
      <c r="C299" t="inlineStr">
        <is>
          <t>Bar Brahma - Granja</t>
        </is>
      </c>
      <c r="D299" t="inlineStr">
        <is>
          <t>Flash Tecnologia e Instituição de Pagamento LTDA</t>
        </is>
      </c>
      <c r="E299" t="n">
        <v>5850</v>
      </c>
      <c r="F299" s="27" t="n">
        <v>46030</v>
      </c>
      <c r="G299" s="27" t="n">
        <v>46030</v>
      </c>
      <c r="H299" s="27" t="n">
        <v>46030</v>
      </c>
      <c r="I299" s="27" t="n">
        <v>46021</v>
      </c>
      <c r="J299" s="27" t="n">
        <v>46013</v>
      </c>
      <c r="K299" t="inlineStr">
        <is>
          <t>Boleto Bancário</t>
        </is>
      </c>
      <c r="L299" t="inlineStr">
        <is>
          <t>Mão de Obra - Benefícios</t>
        </is>
      </c>
      <c r="M299" t="inlineStr">
        <is>
          <t xml:space="preserve">  -  Alimentação Funcionário</t>
        </is>
      </c>
      <c r="N299" t="inlineStr">
        <is>
          <t>585000 122025</t>
        </is>
      </c>
      <c r="O299" t="inlineStr">
        <is>
          <t>Documentação Aprovada</t>
        </is>
      </c>
      <c r="P299" t="inlineStr">
        <is>
          <t>Aprovado Diretoria</t>
        </is>
      </c>
      <c r="Q299" t="inlineStr">
        <is>
          <t>Aprovado Caixa</t>
        </is>
      </c>
      <c r="R299" t="inlineStr">
        <is>
          <t>Pago</t>
        </is>
      </c>
      <c r="S299" t="n">
        <v>148</v>
      </c>
      <c r="T299" t="inlineStr">
        <is>
          <t>Bar Brahma Granja - Tutum Filial - Kamino</t>
        </is>
      </c>
    </row>
    <row r="300">
      <c r="A300" t="n">
        <v>172381</v>
      </c>
      <c r="B300" t="n">
        <v>148</v>
      </c>
      <c r="C300" t="inlineStr">
        <is>
          <t>Bar Brahma - Granja</t>
        </is>
      </c>
      <c r="D300" t="inlineStr">
        <is>
          <t>ARTHUR ALVES DA SILVA</t>
        </is>
      </c>
      <c r="E300" t="n">
        <v>1470</v>
      </c>
      <c r="F300" s="27" t="n">
        <v>46030</v>
      </c>
      <c r="G300" s="27" t="n">
        <v>46030</v>
      </c>
      <c r="H300" s="27" t="n">
        <v>46030</v>
      </c>
      <c r="I300" s="27" t="n">
        <v>46028</v>
      </c>
      <c r="J300" s="27" t="n">
        <v>46028</v>
      </c>
      <c r="K300" t="inlineStr">
        <is>
          <t>Transferência Bancária ou Pix</t>
        </is>
      </c>
      <c r="L300" t="inlineStr">
        <is>
          <t>Serviços de Terceiros</t>
        </is>
      </c>
      <c r="M300" t="inlineStr">
        <is>
          <t>Valet/Motoboy</t>
        </is>
      </c>
      <c r="N300" t="inlineStr">
        <is>
          <t>86</t>
        </is>
      </c>
      <c r="O300" t="inlineStr">
        <is>
          <t>Documentação Aprovada</t>
        </is>
      </c>
      <c r="P300" t="inlineStr">
        <is>
          <t>Aprovado Diretoria</t>
        </is>
      </c>
      <c r="Q300" t="inlineStr">
        <is>
          <t>Aprovado Caixa</t>
        </is>
      </c>
      <c r="R300" t="inlineStr">
        <is>
          <t>Pago</t>
        </is>
      </c>
      <c r="S300" t="n">
        <v>164</v>
      </c>
      <c r="T300" t="inlineStr">
        <is>
          <t>Bar Brahma Granja - FDB Filial - Kamino</t>
        </is>
      </c>
    </row>
    <row r="301">
      <c r="A301" t="n">
        <v>183057</v>
      </c>
      <c r="B301" t="n">
        <v>148</v>
      </c>
      <c r="C301" t="inlineStr">
        <is>
          <t>Bar Brahma - Granja</t>
        </is>
      </c>
      <c r="D301" t="inlineStr">
        <is>
          <t>EAU - DISTRIBUIDORA DE AGUA MINERAL LTDA</t>
        </is>
      </c>
      <c r="E301" t="n">
        <v>373.6</v>
      </c>
      <c r="F301" s="27" t="n">
        <v>46028</v>
      </c>
      <c r="G301" s="27" t="n">
        <v>46028</v>
      </c>
      <c r="H301" s="27" t="n">
        <v>46028</v>
      </c>
      <c r="I301" s="27" t="n">
        <v>45992</v>
      </c>
      <c r="J301" s="27" t="n">
        <v>46003</v>
      </c>
      <c r="K301" t="inlineStr">
        <is>
          <t>Boleto Bancário</t>
        </is>
      </c>
      <c r="L301" t="inlineStr">
        <is>
          <t>Custo Mercadoria Vendida</t>
        </is>
      </c>
      <c r="M301" t="inlineStr">
        <is>
          <t>Insumos - Bebidas</t>
        </is>
      </c>
      <c r="N301" t="inlineStr">
        <is>
          <t>279681</t>
        </is>
      </c>
      <c r="O301" t="inlineStr">
        <is>
          <t>Documentação Aprovada</t>
        </is>
      </c>
      <c r="P301" t="inlineStr">
        <is>
          <t>Aprovado Diretoria</t>
        </is>
      </c>
      <c r="Q301" t="inlineStr">
        <is>
          <t>Aprovado Caixa</t>
        </is>
      </c>
      <c r="R301" t="inlineStr">
        <is>
          <t>Pago</t>
        </is>
      </c>
      <c r="S301" t="n">
        <v>164</v>
      </c>
      <c r="T301" t="inlineStr">
        <is>
          <t>Bar Brahma Granja - FDB Filial - Kamino</t>
        </is>
      </c>
    </row>
    <row r="302">
      <c r="A302" t="n">
        <v>186751</v>
      </c>
      <c r="B302" t="n">
        <v>148</v>
      </c>
      <c r="C302" t="inlineStr">
        <is>
          <t>Bar Brahma - Granja</t>
        </is>
      </c>
      <c r="D302" t="inlineStr">
        <is>
          <t>CECILIA TSUYACO ARAKI SILVA LTDA</t>
        </is>
      </c>
      <c r="E302" t="n">
        <v>306.4</v>
      </c>
      <c r="F302" s="27" t="n">
        <v>46029</v>
      </c>
      <c r="G302" s="27" t="n">
        <v>46028</v>
      </c>
      <c r="H302" s="27" t="n">
        <v>46028</v>
      </c>
      <c r="I302" s="27" t="n">
        <v>46001</v>
      </c>
      <c r="J302" s="27" t="n">
        <v>46020</v>
      </c>
      <c r="K302" t="inlineStr">
        <is>
          <t>Boleto Bancário</t>
        </is>
      </c>
      <c r="L302" t="inlineStr">
        <is>
          <t>Custo Mercadoria Vendida</t>
        </is>
      </c>
      <c r="M302" t="inlineStr">
        <is>
          <t>Insumos - Alimentos</t>
        </is>
      </c>
      <c r="N302" t="inlineStr">
        <is>
          <t>383348</t>
        </is>
      </c>
      <c r="O302" t="inlineStr">
        <is>
          <t>Documentação Aprovada</t>
        </is>
      </c>
      <c r="P302" t="inlineStr">
        <is>
          <t>Aprovado Diretoria</t>
        </is>
      </c>
      <c r="Q302" t="inlineStr">
        <is>
          <t>Aprovado Caixa</t>
        </is>
      </c>
      <c r="R302" t="inlineStr">
        <is>
          <t>Pago</t>
        </is>
      </c>
      <c r="S302" t="n">
        <v>164</v>
      </c>
      <c r="T302" t="inlineStr">
        <is>
          <t>Bar Brahma Granja - FDB Filial - Kamino</t>
        </is>
      </c>
    </row>
    <row r="303">
      <c r="A303" t="n">
        <v>186898</v>
      </c>
      <c r="B303" t="n">
        <v>148</v>
      </c>
      <c r="C303" t="inlineStr">
        <is>
          <t>Bar Brahma - Granja</t>
        </is>
      </c>
      <c r="D303" t="inlineStr">
        <is>
          <t>CG FOOD´S DISTRIBUIDORA DE ALIMENTOS LTDA</t>
        </is>
      </c>
      <c r="E303" t="n">
        <v>731.2</v>
      </c>
      <c r="F303" s="27" t="n">
        <v>46029</v>
      </c>
      <c r="G303" s="27" t="n">
        <v>46028</v>
      </c>
      <c r="H303" s="27" t="n">
        <v>46028</v>
      </c>
      <c r="I303" s="27" t="n">
        <v>46008</v>
      </c>
      <c r="J303" s="27" t="n">
        <v>46021</v>
      </c>
      <c r="K303" t="inlineStr">
        <is>
          <t>Boleto Bancário</t>
        </is>
      </c>
      <c r="L303" t="inlineStr">
        <is>
          <t>Custo Mercadoria Vendida</t>
        </is>
      </c>
      <c r="M303" t="inlineStr">
        <is>
          <t>Insumos - Alimentos</t>
        </is>
      </c>
      <c r="N303" t="inlineStr">
        <is>
          <t>174440</t>
        </is>
      </c>
      <c r="O303" t="inlineStr">
        <is>
          <t>Documentação Aprovada</t>
        </is>
      </c>
      <c r="P303" t="inlineStr">
        <is>
          <t>Aprovado Diretoria</t>
        </is>
      </c>
      <c r="Q303" t="inlineStr">
        <is>
          <t>Aprovado Caixa</t>
        </is>
      </c>
      <c r="R303" t="inlineStr">
        <is>
          <t>Pago</t>
        </is>
      </c>
      <c r="S303" t="n">
        <v>164</v>
      </c>
      <c r="T303" t="inlineStr">
        <is>
          <t>Bar Brahma Granja - FDB Filial - Kamino</t>
        </is>
      </c>
    </row>
    <row r="304">
      <c r="A304" t="n">
        <v>186700</v>
      </c>
      <c r="B304" t="n">
        <v>148</v>
      </c>
      <c r="C304" t="inlineStr">
        <is>
          <t>Bar Brahma - Granja</t>
        </is>
      </c>
      <c r="D304" t="inlineStr">
        <is>
          <t>WIDE STOCK COMERCIO E DISTRIBUICAO LTDA</t>
        </is>
      </c>
      <c r="E304" t="n">
        <v>354.23</v>
      </c>
      <c r="F304" s="27" t="n">
        <v>46028</v>
      </c>
      <c r="G304" s="27" t="n">
        <v>46028</v>
      </c>
      <c r="H304" s="27" t="n">
        <v>46028</v>
      </c>
      <c r="I304" s="27" t="n">
        <v>46000</v>
      </c>
      <c r="J304" s="27" t="n">
        <v>46020</v>
      </c>
      <c r="K304" t="inlineStr">
        <is>
          <t>Boleto Bancário</t>
        </is>
      </c>
      <c r="L304" t="inlineStr">
        <is>
          <t>Utilidades</t>
        </is>
      </c>
      <c r="M304" t="inlineStr">
        <is>
          <t>Higiene e Limpeza</t>
        </is>
      </c>
      <c r="N304" t="inlineStr">
        <is>
          <t>421805</t>
        </is>
      </c>
      <c r="O304" t="inlineStr">
        <is>
          <t>Documentação Aprovada</t>
        </is>
      </c>
      <c r="P304" t="inlineStr">
        <is>
          <t>Aprovado Diretoria</t>
        </is>
      </c>
      <c r="Q304" t="inlineStr">
        <is>
          <t>Aprovado Caixa</t>
        </is>
      </c>
      <c r="R304" t="inlineStr">
        <is>
          <t>Pago</t>
        </is>
      </c>
      <c r="S304" t="n">
        <v>164</v>
      </c>
      <c r="T304" t="inlineStr">
        <is>
          <t>Bar Brahma Granja - FDB Filial - Kamino</t>
        </is>
      </c>
    </row>
    <row r="305">
      <c r="A305" t="n">
        <v>186703</v>
      </c>
      <c r="B305" t="n">
        <v>148</v>
      </c>
      <c r="C305" t="inlineStr">
        <is>
          <t>Bar Brahma - Granja</t>
        </is>
      </c>
      <c r="D305" t="inlineStr">
        <is>
          <t>30.365.122 HIDEKI HENRIQUE KAWAMOTO</t>
        </is>
      </c>
      <c r="E305" t="n">
        <v>395</v>
      </c>
      <c r="F305" s="27" t="n">
        <v>46028</v>
      </c>
      <c r="G305" s="27" t="n">
        <v>46028</v>
      </c>
      <c r="H305" s="27" t="n">
        <v>46028</v>
      </c>
      <c r="I305" s="27" t="n">
        <v>46006</v>
      </c>
      <c r="J305" s="27" t="n">
        <v>46020</v>
      </c>
      <c r="K305" t="inlineStr">
        <is>
          <t>Boleto Bancário</t>
        </is>
      </c>
      <c r="L305" t="inlineStr">
        <is>
          <t>Custo Mercadoria Vendida</t>
        </is>
      </c>
      <c r="M305" t="inlineStr">
        <is>
          <t>Insumos - Alimentos</t>
        </is>
      </c>
      <c r="N305" t="inlineStr">
        <is>
          <t>1656</t>
        </is>
      </c>
      <c r="O305" t="inlineStr">
        <is>
          <t>Documentação Aprovada</t>
        </is>
      </c>
      <c r="P305" t="inlineStr">
        <is>
          <t>Aprovado Diretoria</t>
        </is>
      </c>
      <c r="Q305" t="inlineStr">
        <is>
          <t>Aprovado Caixa</t>
        </is>
      </c>
      <c r="R305" t="inlineStr">
        <is>
          <t>Pago</t>
        </is>
      </c>
      <c r="S305" t="n">
        <v>164</v>
      </c>
      <c r="T305" t="inlineStr">
        <is>
          <t>Bar Brahma Granja - FDB Filial - Kamino</t>
        </is>
      </c>
    </row>
    <row r="306">
      <c r="A306" t="n">
        <v>186706</v>
      </c>
      <c r="B306" t="n">
        <v>148</v>
      </c>
      <c r="C306" t="inlineStr">
        <is>
          <t>Bar Brahma - Granja</t>
        </is>
      </c>
      <c r="D306" t="inlineStr">
        <is>
          <t>DISTRIBUIDORA CÂNTAROS DO BRASIL EIRELI</t>
        </is>
      </c>
      <c r="E306" t="n">
        <v>789.6</v>
      </c>
      <c r="F306" s="27" t="n">
        <v>46028</v>
      </c>
      <c r="G306" s="27" t="n">
        <v>46028</v>
      </c>
      <c r="H306" s="27" t="n">
        <v>46028</v>
      </c>
      <c r="I306" s="27" t="n">
        <v>46000</v>
      </c>
      <c r="J306" s="27" t="n">
        <v>46020</v>
      </c>
      <c r="K306" t="inlineStr">
        <is>
          <t>Boleto Bancário</t>
        </is>
      </c>
      <c r="L306" t="inlineStr">
        <is>
          <t>Custo Mercadoria Vendida</t>
        </is>
      </c>
      <c r="M306" t="inlineStr">
        <is>
          <t>Insumos - Bebidas</t>
        </is>
      </c>
      <c r="N306" t="inlineStr">
        <is>
          <t>2475</t>
        </is>
      </c>
      <c r="O306" t="inlineStr">
        <is>
          <t>Documentação Aprovada</t>
        </is>
      </c>
      <c r="P306" t="inlineStr">
        <is>
          <t>Aprovado Diretoria</t>
        </is>
      </c>
      <c r="Q306" t="inlineStr">
        <is>
          <t>Aprovado Caixa</t>
        </is>
      </c>
      <c r="R306" t="inlineStr">
        <is>
          <t>Pago</t>
        </is>
      </c>
      <c r="S306" t="n">
        <v>164</v>
      </c>
      <c r="T306" t="inlineStr">
        <is>
          <t>Bar Brahma Granja - FDB Filial - Kamino</t>
        </is>
      </c>
    </row>
    <row r="307">
      <c r="A307" t="n">
        <v>186725</v>
      </c>
      <c r="B307" t="n">
        <v>148</v>
      </c>
      <c r="C307" t="inlineStr">
        <is>
          <t>Bar Brahma - Granja</t>
        </is>
      </c>
      <c r="D307" t="inlineStr">
        <is>
          <t>FRONT BEBIDAS LTDA</t>
        </is>
      </c>
      <c r="E307" t="n">
        <v>319.8</v>
      </c>
      <c r="F307" s="27" t="n">
        <v>46029</v>
      </c>
      <c r="G307" s="27" t="n">
        <v>46028</v>
      </c>
      <c r="H307" s="27" t="n">
        <v>46028</v>
      </c>
      <c r="I307" s="27" t="n">
        <v>46001</v>
      </c>
      <c r="J307" s="27" t="n">
        <v>46020</v>
      </c>
      <c r="K307" t="inlineStr">
        <is>
          <t>Boleto Bancário</t>
        </is>
      </c>
      <c r="L307" t="inlineStr">
        <is>
          <t>Custo Mercadoria Vendida</t>
        </is>
      </c>
      <c r="M307" t="inlineStr">
        <is>
          <t>Insumos - Bebidas</t>
        </is>
      </c>
      <c r="N307" t="inlineStr">
        <is>
          <t>783413</t>
        </is>
      </c>
      <c r="O307" t="inlineStr">
        <is>
          <t>Documentação Aprovada</t>
        </is>
      </c>
      <c r="P307" t="inlineStr">
        <is>
          <t>Aprovado Diretoria</t>
        </is>
      </c>
      <c r="Q307" t="inlineStr">
        <is>
          <t>Aprovado Caixa</t>
        </is>
      </c>
      <c r="R307" t="inlineStr">
        <is>
          <t>Pago</t>
        </is>
      </c>
      <c r="S307" t="n">
        <v>164</v>
      </c>
      <c r="T307" t="inlineStr">
        <is>
          <t>Bar Brahma Granja - FDB Filial - Kamino</t>
        </is>
      </c>
    </row>
    <row r="308">
      <c r="A308" t="n">
        <v>186755</v>
      </c>
      <c r="B308" t="n">
        <v>148</v>
      </c>
      <c r="C308" t="inlineStr">
        <is>
          <t>Bar Brahma - Granja</t>
        </is>
      </c>
      <c r="D308" t="inlineStr">
        <is>
          <t>MARIO PEDRO FELICIANO - HORTIFRUTI</t>
        </is>
      </c>
      <c r="E308" t="n">
        <v>133.17</v>
      </c>
      <c r="F308" s="27" t="n">
        <v>46029</v>
      </c>
      <c r="G308" s="27" t="n">
        <v>46028</v>
      </c>
      <c r="H308" s="27" t="n">
        <v>46028</v>
      </c>
      <c r="I308" s="27" t="n">
        <v>46001</v>
      </c>
      <c r="J308" s="27" t="n">
        <v>46020</v>
      </c>
      <c r="K308" t="inlineStr">
        <is>
          <t>Boleto Bancário</t>
        </is>
      </c>
      <c r="L308" t="inlineStr">
        <is>
          <t>Custo Mercadoria Vendida</t>
        </is>
      </c>
      <c r="M308" t="inlineStr">
        <is>
          <t>Insumos - Alimentos</t>
        </is>
      </c>
      <c r="N308" t="inlineStr">
        <is>
          <t>461493</t>
        </is>
      </c>
      <c r="O308" t="inlineStr">
        <is>
          <t>Documentação Aprovada</t>
        </is>
      </c>
      <c r="P308" t="inlineStr">
        <is>
          <t>Aprovado Diretoria</t>
        </is>
      </c>
      <c r="Q308" t="inlineStr">
        <is>
          <t>Aprovado Caixa</t>
        </is>
      </c>
      <c r="R308" t="inlineStr">
        <is>
          <t>Pago</t>
        </is>
      </c>
      <c r="S308" t="n">
        <v>164</v>
      </c>
      <c r="T308" t="inlineStr">
        <is>
          <t>Bar Brahma Granja - FDB Filial - Kamino</t>
        </is>
      </c>
    </row>
    <row r="309">
      <c r="A309" t="n">
        <v>186734</v>
      </c>
      <c r="B309" t="n">
        <v>148</v>
      </c>
      <c r="C309" t="inlineStr">
        <is>
          <t>Bar Brahma - Granja</t>
        </is>
      </c>
      <c r="D309" t="inlineStr">
        <is>
          <t>B.B DISTRIBUIDORA DE CARNES LTDA</t>
        </is>
      </c>
      <c r="E309" t="n">
        <v>960</v>
      </c>
      <c r="F309" s="27" t="n">
        <v>46029</v>
      </c>
      <c r="G309" s="27" t="n">
        <v>46028</v>
      </c>
      <c r="H309" s="27" t="n">
        <v>46028</v>
      </c>
      <c r="I309" s="27" t="n">
        <v>46001</v>
      </c>
      <c r="J309" s="27" t="n">
        <v>46020</v>
      </c>
      <c r="K309" t="inlineStr">
        <is>
          <t>Boleto Bancário</t>
        </is>
      </c>
      <c r="L309" t="inlineStr">
        <is>
          <t>Custo Mercadoria Vendida</t>
        </is>
      </c>
      <c r="M309" t="inlineStr">
        <is>
          <t>Insumos - Alimentos</t>
        </is>
      </c>
      <c r="N309" t="inlineStr">
        <is>
          <t>409923</t>
        </is>
      </c>
      <c r="O309" t="inlineStr">
        <is>
          <t>Documentação Aprovada</t>
        </is>
      </c>
      <c r="P309" t="inlineStr">
        <is>
          <t>Aprovado Diretoria</t>
        </is>
      </c>
      <c r="Q309" t="inlineStr">
        <is>
          <t>Aprovado Caixa</t>
        </is>
      </c>
      <c r="R309" t="inlineStr">
        <is>
          <t>Pago</t>
        </is>
      </c>
      <c r="S309" t="n">
        <v>164</v>
      </c>
      <c r="T309" t="inlineStr">
        <is>
          <t>Bar Brahma Granja - FDB Filial - Kamino</t>
        </is>
      </c>
    </row>
    <row r="310">
      <c r="A310" t="n">
        <v>186745</v>
      </c>
      <c r="B310" t="n">
        <v>148</v>
      </c>
      <c r="C310" t="inlineStr">
        <is>
          <t>Bar Brahma - Granja</t>
        </is>
      </c>
      <c r="D310" t="inlineStr">
        <is>
          <t>DTK COMERCIO DE ALIMENTOS LTDA</t>
        </is>
      </c>
      <c r="E310" t="n">
        <v>4117.4</v>
      </c>
      <c r="F310" s="27" t="n">
        <v>46029</v>
      </c>
      <c r="G310" s="27" t="n">
        <v>46028</v>
      </c>
      <c r="H310" s="27" t="n">
        <v>46028</v>
      </c>
      <c r="I310" s="27" t="n">
        <v>46001</v>
      </c>
      <c r="J310" s="27" t="n">
        <v>46020</v>
      </c>
      <c r="K310" t="inlineStr">
        <is>
          <t>Boleto Bancário</t>
        </is>
      </c>
      <c r="L310" t="inlineStr">
        <is>
          <t>Custo Mercadoria Vendida</t>
        </is>
      </c>
      <c r="M310" t="inlineStr">
        <is>
          <t>Insumos - Alimentos</t>
        </is>
      </c>
      <c r="N310" t="inlineStr">
        <is>
          <t>56533</t>
        </is>
      </c>
      <c r="O310" t="inlineStr">
        <is>
          <t>Documentação Aprovada</t>
        </is>
      </c>
      <c r="P310" t="inlineStr">
        <is>
          <t>Aprovado Diretoria</t>
        </is>
      </c>
      <c r="Q310" t="inlineStr">
        <is>
          <t>Aprovado Caixa</t>
        </is>
      </c>
      <c r="R310" t="inlineStr">
        <is>
          <t>Pago</t>
        </is>
      </c>
      <c r="S310" t="n">
        <v>164</v>
      </c>
      <c r="T310" t="inlineStr">
        <is>
          <t>Bar Brahma Granja - FDB Filial - Kamino</t>
        </is>
      </c>
    </row>
    <row r="311">
      <c r="A311" t="n">
        <v>186740</v>
      </c>
      <c r="B311" t="n">
        <v>148</v>
      </c>
      <c r="C311" t="inlineStr">
        <is>
          <t>Bar Brahma - Granja</t>
        </is>
      </c>
      <c r="D311" t="inlineStr">
        <is>
          <t>B.B DISTRIBUIDORA DE CARNES LTDA</t>
        </is>
      </c>
      <c r="E311" t="n">
        <v>589.05</v>
      </c>
      <c r="F311" s="27" t="n">
        <v>46029</v>
      </c>
      <c r="G311" s="27" t="n">
        <v>46028</v>
      </c>
      <c r="H311" s="27" t="n">
        <v>46028</v>
      </c>
      <c r="I311" s="27" t="n">
        <v>46001</v>
      </c>
      <c r="J311" s="27" t="n">
        <v>46020</v>
      </c>
      <c r="K311" t="inlineStr">
        <is>
          <t>Boleto Bancário</t>
        </is>
      </c>
      <c r="L311" t="inlineStr">
        <is>
          <t>Custo Mercadoria Vendida</t>
        </is>
      </c>
      <c r="M311" t="inlineStr">
        <is>
          <t>Insumos - Alimentos</t>
        </is>
      </c>
      <c r="N311" t="inlineStr">
        <is>
          <t>409962</t>
        </is>
      </c>
      <c r="O311" t="inlineStr">
        <is>
          <t>Documentação Aprovada</t>
        </is>
      </c>
      <c r="P311" t="inlineStr">
        <is>
          <t>Aprovado Diretoria</t>
        </is>
      </c>
      <c r="Q311" t="inlineStr">
        <is>
          <t>Aprovado Caixa</t>
        </is>
      </c>
      <c r="R311" t="inlineStr">
        <is>
          <t>Pago</t>
        </is>
      </c>
      <c r="S311" t="n">
        <v>164</v>
      </c>
      <c r="T311" t="inlineStr">
        <is>
          <t>Bar Brahma Granja - FDB Filial - Kamino</t>
        </is>
      </c>
    </row>
    <row r="312">
      <c r="A312" t="n">
        <v>186738</v>
      </c>
      <c r="B312" t="n">
        <v>148</v>
      </c>
      <c r="C312" t="inlineStr">
        <is>
          <t>Bar Brahma - Granja</t>
        </is>
      </c>
      <c r="D312" t="inlineStr">
        <is>
          <t>B.B DISTRIBUIDORA DE CARNES LTDA</t>
        </is>
      </c>
      <c r="E312" t="n">
        <v>3893.4</v>
      </c>
      <c r="F312" s="27" t="n">
        <v>46029</v>
      </c>
      <c r="G312" s="27" t="n">
        <v>46028</v>
      </c>
      <c r="H312" s="27" t="n">
        <v>46028</v>
      </c>
      <c r="I312" s="27" t="n">
        <v>46001</v>
      </c>
      <c r="J312" s="27" t="n">
        <v>46020</v>
      </c>
      <c r="K312" t="inlineStr">
        <is>
          <t>Boleto Bancário</t>
        </is>
      </c>
      <c r="L312" t="inlineStr">
        <is>
          <t>Custo Mercadoria Vendida</t>
        </is>
      </c>
      <c r="M312" t="inlineStr">
        <is>
          <t>Insumos - Alimentos</t>
        </is>
      </c>
      <c r="N312" t="inlineStr">
        <is>
          <t>409986</t>
        </is>
      </c>
      <c r="O312" t="inlineStr">
        <is>
          <t>Documentação Aprovada</t>
        </is>
      </c>
      <c r="P312" t="inlineStr">
        <is>
          <t>Aprovado Diretoria</t>
        </is>
      </c>
      <c r="Q312" t="inlineStr">
        <is>
          <t>Aprovado Caixa</t>
        </is>
      </c>
      <c r="R312" t="inlineStr">
        <is>
          <t>Pago</t>
        </is>
      </c>
      <c r="S312" t="n">
        <v>164</v>
      </c>
      <c r="T312" t="inlineStr">
        <is>
          <t>Bar Brahma Granja - FDB Filial - Kamino</t>
        </is>
      </c>
    </row>
    <row r="313">
      <c r="A313" t="n">
        <v>186720</v>
      </c>
      <c r="B313" t="n">
        <v>148</v>
      </c>
      <c r="C313" t="inlineStr">
        <is>
          <t>Bar Brahma - Granja</t>
        </is>
      </c>
      <c r="D313" t="inlineStr">
        <is>
          <t>KING COMERCIO E IMPORTACAO DE BEBIDAS LTDA</t>
        </is>
      </c>
      <c r="E313" t="n">
        <v>1774.83</v>
      </c>
      <c r="F313" s="27" t="n">
        <v>46028</v>
      </c>
      <c r="G313" s="27" t="n">
        <v>46028</v>
      </c>
      <c r="H313" s="27" t="n">
        <v>46028</v>
      </c>
      <c r="I313" s="27" t="n">
        <v>46007</v>
      </c>
      <c r="J313" s="27" t="n">
        <v>46020</v>
      </c>
      <c r="K313" t="inlineStr">
        <is>
          <t>Boleto Bancário</t>
        </is>
      </c>
      <c r="L313" t="inlineStr">
        <is>
          <t>Custo Mercadoria Vendida</t>
        </is>
      </c>
      <c r="M313" t="inlineStr">
        <is>
          <t>Insumos - Bebidas</t>
        </is>
      </c>
      <c r="N313" t="inlineStr">
        <is>
          <t>124173</t>
        </is>
      </c>
      <c r="O313" t="inlineStr">
        <is>
          <t>Documentação Aprovada</t>
        </is>
      </c>
      <c r="P313" t="inlineStr">
        <is>
          <t>Aprovado Diretoria</t>
        </is>
      </c>
      <c r="Q313" t="inlineStr">
        <is>
          <t>Aprovado Caixa</t>
        </is>
      </c>
      <c r="R313" t="inlineStr">
        <is>
          <t>Pago</t>
        </is>
      </c>
      <c r="S313" t="n">
        <v>164</v>
      </c>
      <c r="T313" t="inlineStr">
        <is>
          <t>Bar Brahma Granja - FDB Filial - Kamino</t>
        </is>
      </c>
    </row>
    <row r="314">
      <c r="A314" t="n">
        <v>183306</v>
      </c>
      <c r="B314" t="n">
        <v>148</v>
      </c>
      <c r="C314" t="inlineStr">
        <is>
          <t>Bar Brahma - Granja</t>
        </is>
      </c>
      <c r="D314" t="inlineStr">
        <is>
          <t>WPP COMERCIO DE CARNES LTDA</t>
        </is>
      </c>
      <c r="E314" t="n">
        <v>2285.05</v>
      </c>
      <c r="F314" s="27" t="n">
        <v>46028</v>
      </c>
      <c r="G314" s="27" t="n">
        <v>46028</v>
      </c>
      <c r="H314" s="27" t="n">
        <v>46028</v>
      </c>
      <c r="I314" s="27" t="n">
        <v>46000</v>
      </c>
      <c r="J314" s="27" t="n">
        <v>46006</v>
      </c>
      <c r="K314" t="inlineStr">
        <is>
          <t>Boleto Bancário</t>
        </is>
      </c>
      <c r="L314" t="inlineStr">
        <is>
          <t>Custo Mercadoria Vendida</t>
        </is>
      </c>
      <c r="M314" t="inlineStr">
        <is>
          <t>Insumos - Alimentos</t>
        </is>
      </c>
      <c r="N314" t="inlineStr">
        <is>
          <t>76119</t>
        </is>
      </c>
      <c r="O314" t="inlineStr">
        <is>
          <t>Documentação Aprovada</t>
        </is>
      </c>
      <c r="P314" t="inlineStr">
        <is>
          <t>Aprovado Diretoria</t>
        </is>
      </c>
      <c r="Q314" t="inlineStr">
        <is>
          <t>Aprovado Caixa</t>
        </is>
      </c>
      <c r="R314" t="inlineStr">
        <is>
          <t>Pago</t>
        </is>
      </c>
      <c r="S314" t="n">
        <v>164</v>
      </c>
      <c r="T314" t="inlineStr">
        <is>
          <t>Bar Brahma Granja - FDB Filial - Kamino</t>
        </is>
      </c>
    </row>
    <row r="315">
      <c r="A315" t="n">
        <v>183221</v>
      </c>
      <c r="B315" t="n">
        <v>148</v>
      </c>
      <c r="C315" t="inlineStr">
        <is>
          <t>Bar Brahma - Granja</t>
        </is>
      </c>
      <c r="D315" t="inlineStr">
        <is>
          <t>HORTA NOVA DISTRIBUIDORA DE HORTIFRUTI LTDA</t>
        </is>
      </c>
      <c r="E315" t="n">
        <v>152.58</v>
      </c>
      <c r="F315" s="27" t="n">
        <v>46029</v>
      </c>
      <c r="G315" s="27" t="n">
        <v>46028</v>
      </c>
      <c r="H315" s="27" t="n">
        <v>46028</v>
      </c>
      <c r="I315" s="27" t="n">
        <v>45999</v>
      </c>
      <c r="J315" s="27" t="n">
        <v>46006</v>
      </c>
      <c r="K315" t="inlineStr">
        <is>
          <t>Boleto Bancário</t>
        </is>
      </c>
      <c r="L315" t="inlineStr">
        <is>
          <t>Custo Mercadoria Vendida</t>
        </is>
      </c>
      <c r="M315" t="inlineStr">
        <is>
          <t>Insumos - Alimentos</t>
        </is>
      </c>
      <c r="N315" t="inlineStr">
        <is>
          <t>7839</t>
        </is>
      </c>
      <c r="O315" t="inlineStr">
        <is>
          <t>Documentação Aprovada</t>
        </is>
      </c>
      <c r="P315" t="inlineStr">
        <is>
          <t>Aprovado Diretoria</t>
        </is>
      </c>
      <c r="Q315" t="inlineStr">
        <is>
          <t>Aprovado Caixa</t>
        </is>
      </c>
      <c r="R315" t="inlineStr">
        <is>
          <t>Pago</t>
        </is>
      </c>
      <c r="S315" t="n">
        <v>164</v>
      </c>
      <c r="T315" t="inlineStr">
        <is>
          <t>Bar Brahma Granja - FDB Filial - Kamino</t>
        </is>
      </c>
    </row>
    <row r="316">
      <c r="A316" t="n">
        <v>183309</v>
      </c>
      <c r="B316" t="n">
        <v>148</v>
      </c>
      <c r="C316" t="inlineStr">
        <is>
          <t>Bar Brahma - Granja</t>
        </is>
      </c>
      <c r="D316" t="inlineStr">
        <is>
          <t>CECILIA TSUYACO ARAKI SILVA LTDA</t>
        </is>
      </c>
      <c r="E316" t="n">
        <v>413.85</v>
      </c>
      <c r="F316" s="27" t="n">
        <v>46028</v>
      </c>
      <c r="G316" s="27" t="n">
        <v>46028</v>
      </c>
      <c r="H316" s="27" t="n">
        <v>46028</v>
      </c>
      <c r="I316" s="27" t="n">
        <v>46000</v>
      </c>
      <c r="J316" s="27" t="n">
        <v>46006</v>
      </c>
      <c r="K316" t="inlineStr">
        <is>
          <t>Boleto Bancário</t>
        </is>
      </c>
      <c r="L316" t="inlineStr">
        <is>
          <t>Custo Mercadoria Vendida</t>
        </is>
      </c>
      <c r="M316" t="inlineStr">
        <is>
          <t>Insumos - Alimentos</t>
        </is>
      </c>
      <c r="N316" t="inlineStr">
        <is>
          <t>383271</t>
        </is>
      </c>
      <c r="O316" t="inlineStr">
        <is>
          <t>Documentação Aprovada</t>
        </is>
      </c>
      <c r="P316" t="inlineStr">
        <is>
          <t>Aprovado Diretoria</t>
        </is>
      </c>
      <c r="Q316" t="inlineStr">
        <is>
          <t>Aprovado Caixa</t>
        </is>
      </c>
      <c r="R316" t="inlineStr">
        <is>
          <t>Pago</t>
        </is>
      </c>
      <c r="S316" t="n">
        <v>164</v>
      </c>
      <c r="T316" t="inlineStr">
        <is>
          <t>Bar Brahma Granja - FDB Filial - Kamino</t>
        </is>
      </c>
    </row>
    <row r="317">
      <c r="A317" t="n">
        <v>187411</v>
      </c>
      <c r="B317" t="n">
        <v>148</v>
      </c>
      <c r="C317" t="inlineStr">
        <is>
          <t>Bar Brahma - Granja</t>
        </is>
      </c>
      <c r="D317" t="inlineStr">
        <is>
          <t>LATICINIOS PIRAMIDE LTDA</t>
        </is>
      </c>
      <c r="E317" t="n">
        <v>3320.2</v>
      </c>
      <c r="F317" s="27" t="n">
        <v>46024</v>
      </c>
      <c r="G317" s="27" t="n">
        <v>46028</v>
      </c>
      <c r="H317" s="27" t="n">
        <v>46028</v>
      </c>
      <c r="I317" s="27" t="n">
        <v>46010</v>
      </c>
      <c r="J317" s="27" t="n">
        <v>46023</v>
      </c>
      <c r="K317" t="inlineStr">
        <is>
          <t>Boleto Bancário</t>
        </is>
      </c>
      <c r="L317" t="inlineStr">
        <is>
          <t>Custo Mercadoria Vendida</t>
        </is>
      </c>
      <c r="M317" t="inlineStr">
        <is>
          <t>Insumos - Alimentos</t>
        </is>
      </c>
      <c r="N317" t="inlineStr">
        <is>
          <t>80724</t>
        </is>
      </c>
      <c r="O317" t="inlineStr">
        <is>
          <t>Documentação Aprovada</t>
        </is>
      </c>
      <c r="P317" t="inlineStr">
        <is>
          <t>Aprovado Diretoria</t>
        </is>
      </c>
      <c r="Q317" t="inlineStr">
        <is>
          <t>Aprovado Caixa</t>
        </is>
      </c>
      <c r="R317" t="inlineStr">
        <is>
          <t>Pago</t>
        </is>
      </c>
      <c r="S317" t="n">
        <v>164</v>
      </c>
      <c r="T317" t="inlineStr">
        <is>
          <t>Bar Brahma Granja - FDB Filial - Kamino</t>
        </is>
      </c>
    </row>
    <row r="318">
      <c r="A318" t="n">
        <v>187407</v>
      </c>
      <c r="B318" t="n">
        <v>148</v>
      </c>
      <c r="C318" t="inlineStr">
        <is>
          <t>Bar Brahma - Granja</t>
        </is>
      </c>
      <c r="D318" t="inlineStr">
        <is>
          <t>KING COMERCIO E IMPORTACAO DE BEBIDAS LTDA</t>
        </is>
      </c>
      <c r="E318" t="n">
        <v>379.69</v>
      </c>
      <c r="F318" s="27" t="n">
        <v>46028</v>
      </c>
      <c r="G318" s="27" t="n">
        <v>46028</v>
      </c>
      <c r="H318" s="27" t="n">
        <v>46028</v>
      </c>
      <c r="I318" s="27" t="n">
        <v>46014</v>
      </c>
      <c r="J318" s="27" t="n">
        <v>46023</v>
      </c>
      <c r="K318" t="inlineStr">
        <is>
          <t>Boleto Bancário</t>
        </is>
      </c>
      <c r="L318" t="inlineStr">
        <is>
          <t>Custo Mercadoria Vendida</t>
        </is>
      </c>
      <c r="M318" t="inlineStr">
        <is>
          <t>Insumos - Bebidas</t>
        </is>
      </c>
      <c r="N318" t="inlineStr">
        <is>
          <t>124414</t>
        </is>
      </c>
      <c r="O318" t="inlineStr">
        <is>
          <t>Documentação Aprovada</t>
        </is>
      </c>
      <c r="P318" t="inlineStr">
        <is>
          <t>Aprovado Diretoria</t>
        </is>
      </c>
      <c r="Q318" t="inlineStr">
        <is>
          <t>Aprovado Caixa</t>
        </is>
      </c>
      <c r="R318" t="inlineStr">
        <is>
          <t>Pago</t>
        </is>
      </c>
      <c r="S318" t="n">
        <v>164</v>
      </c>
      <c r="T318" t="inlineStr">
        <is>
          <t>Bar Brahma Granja - FDB Filial - Kamino</t>
        </is>
      </c>
    </row>
    <row r="319">
      <c r="A319" t="n">
        <v>187406</v>
      </c>
      <c r="B319" t="n">
        <v>148</v>
      </c>
      <c r="C319" t="inlineStr">
        <is>
          <t>Bar Brahma - Granja</t>
        </is>
      </c>
      <c r="D319" t="inlineStr">
        <is>
          <t>CASA DE CARNES P.J.J.LTDA</t>
        </is>
      </c>
      <c r="E319" t="n">
        <v>348.74</v>
      </c>
      <c r="F319" s="27" t="n">
        <v>46028</v>
      </c>
      <c r="G319" s="27" t="n">
        <v>46028</v>
      </c>
      <c r="H319" s="27" t="n">
        <v>46028</v>
      </c>
      <c r="I319" s="27" t="n">
        <v>46013</v>
      </c>
      <c r="J319" s="27" t="n">
        <v>46023</v>
      </c>
      <c r="K319" t="inlineStr">
        <is>
          <t>Boleto Bancário</t>
        </is>
      </c>
      <c r="L319" t="inlineStr">
        <is>
          <t>Custo Mercadoria Vendida</t>
        </is>
      </c>
      <c r="M319" t="inlineStr">
        <is>
          <t>Insumos - Alimentos</t>
        </is>
      </c>
      <c r="N319" t="inlineStr">
        <is>
          <t>45032</t>
        </is>
      </c>
      <c r="O319" t="inlineStr">
        <is>
          <t>Documentação Aprovada</t>
        </is>
      </c>
      <c r="P319" t="inlineStr">
        <is>
          <t>Aprovado Diretoria</t>
        </is>
      </c>
      <c r="Q319" t="inlineStr">
        <is>
          <t>Aprovado Caixa</t>
        </is>
      </c>
      <c r="R319" t="inlineStr">
        <is>
          <t>Pago</t>
        </is>
      </c>
      <c r="S319" t="n">
        <v>164</v>
      </c>
      <c r="T319" t="inlineStr">
        <is>
          <t>Bar Brahma Granja - FDB Filial - Kamino</t>
        </is>
      </c>
    </row>
    <row r="320">
      <c r="A320" t="n">
        <v>187415</v>
      </c>
      <c r="B320" t="n">
        <v>148</v>
      </c>
      <c r="C320" t="inlineStr">
        <is>
          <t>Bar Brahma - Granja</t>
        </is>
      </c>
      <c r="D320" t="inlineStr">
        <is>
          <t>FILIPI FERREIRA OLIVEIRA</t>
        </is>
      </c>
      <c r="E320" t="n">
        <v>150</v>
      </c>
      <c r="F320" s="27" t="n">
        <v>46029</v>
      </c>
      <c r="G320" s="27" t="n">
        <v>46028</v>
      </c>
      <c r="H320" s="27" t="n">
        <v>46028</v>
      </c>
      <c r="I320" s="27" t="n">
        <v>46015</v>
      </c>
      <c r="J320" s="27" t="n">
        <v>46023</v>
      </c>
      <c r="K320" t="inlineStr">
        <is>
          <t>Boleto Bancário</t>
        </is>
      </c>
      <c r="L320" t="inlineStr">
        <is>
          <t>Manutenção</t>
        </is>
      </c>
      <c r="M320" t="inlineStr">
        <is>
          <t>Manutenção de Equipamentos</t>
        </is>
      </c>
      <c r="N320" t="inlineStr">
        <is>
          <t>154</t>
        </is>
      </c>
      <c r="O320" t="inlineStr">
        <is>
          <t>Documentação Aprovada</t>
        </is>
      </c>
      <c r="P320" t="inlineStr">
        <is>
          <t>Aprovado Diretoria</t>
        </is>
      </c>
      <c r="Q320" t="inlineStr">
        <is>
          <t>Aprovado Caixa</t>
        </is>
      </c>
      <c r="R320" t="inlineStr">
        <is>
          <t>Pago</t>
        </is>
      </c>
      <c r="S320" t="n">
        <v>164</v>
      </c>
      <c r="T320" t="inlineStr">
        <is>
          <t>Bar Brahma Granja - FDB Filial - Kamino</t>
        </is>
      </c>
    </row>
    <row r="321">
      <c r="A321" t="n">
        <v>189146</v>
      </c>
      <c r="B321" t="n">
        <v>148</v>
      </c>
      <c r="C321" t="inlineStr">
        <is>
          <t>Bar Brahma - Granja</t>
        </is>
      </c>
      <c r="D321" t="inlineStr">
        <is>
          <t>VITORIA ALMEIDA CORREA</t>
        </is>
      </c>
      <c r="E321" t="n">
        <v>3816.59</v>
      </c>
      <c r="F321" s="27" t="n">
        <v>46029</v>
      </c>
      <c r="G321" s="27" t="n">
        <v>46028</v>
      </c>
      <c r="H321" s="27" t="n">
        <v>46028</v>
      </c>
      <c r="I321" s="27" t="n">
        <v>46021</v>
      </c>
      <c r="J321" s="27" t="n"/>
      <c r="L321" t="inlineStr">
        <is>
          <t>Mão de Obra - Salários</t>
        </is>
      </c>
      <c r="M321" t="inlineStr">
        <is>
          <t>MDO CLT - Salário</t>
        </is>
      </c>
      <c r="O321" t="inlineStr">
        <is>
          <t>Documentação Aprovada</t>
        </is>
      </c>
      <c r="P321" t="inlineStr">
        <is>
          <t>Aprovado Diretoria</t>
        </is>
      </c>
      <c r="Q321" t="inlineStr">
        <is>
          <t>Aprovado Caixa</t>
        </is>
      </c>
      <c r="R321" t="inlineStr">
        <is>
          <t>Pago</t>
        </is>
      </c>
      <c r="S321" t="n">
        <v>148</v>
      </c>
      <c r="T321" t="inlineStr">
        <is>
          <t>Bar Brahma Granja - Tutum Filial - Kamino</t>
        </is>
      </c>
    </row>
    <row r="322">
      <c r="A322" t="n">
        <v>189126</v>
      </c>
      <c r="B322" t="n">
        <v>148</v>
      </c>
      <c r="C322" t="inlineStr">
        <is>
          <t>Bar Brahma - Granja</t>
        </is>
      </c>
      <c r="D322" t="inlineStr">
        <is>
          <t>ADRIAN CARDENAS RODRIGUES</t>
        </is>
      </c>
      <c r="E322" t="n">
        <v>2166.03</v>
      </c>
      <c r="F322" s="27" t="n">
        <v>46029</v>
      </c>
      <c r="G322" s="27" t="n">
        <v>46028</v>
      </c>
      <c r="H322" s="27" t="n">
        <v>46028</v>
      </c>
      <c r="I322" s="27" t="n">
        <v>46021</v>
      </c>
      <c r="J322" s="27" t="n"/>
      <c r="L322" t="inlineStr">
        <is>
          <t>Mão de Obra - Salários</t>
        </is>
      </c>
      <c r="M322" t="inlineStr">
        <is>
          <t>MDO CLT - Salário</t>
        </is>
      </c>
      <c r="O322" t="inlineStr">
        <is>
          <t>Documentação Aprovada</t>
        </is>
      </c>
      <c r="P322" t="inlineStr">
        <is>
          <t>Aprovado Diretoria</t>
        </is>
      </c>
      <c r="Q322" t="inlineStr">
        <is>
          <t>Aprovado Caixa</t>
        </is>
      </c>
      <c r="R322" t="inlineStr">
        <is>
          <t>Pago</t>
        </is>
      </c>
      <c r="S322" t="n">
        <v>148</v>
      </c>
      <c r="T322" t="inlineStr">
        <is>
          <t>Bar Brahma Granja - Tutum Filial - Kamino</t>
        </is>
      </c>
    </row>
    <row r="323">
      <c r="A323" t="n">
        <v>189129</v>
      </c>
      <c r="B323" t="n">
        <v>148</v>
      </c>
      <c r="C323" t="inlineStr">
        <is>
          <t>Bar Brahma - Granja</t>
        </is>
      </c>
      <c r="D323" t="inlineStr">
        <is>
          <t>ARIANA TEIXEIRA DE AZEVEDO</t>
        </is>
      </c>
      <c r="E323" t="n">
        <v>2050.09</v>
      </c>
      <c r="F323" s="27" t="n">
        <v>46029</v>
      </c>
      <c r="G323" s="27" t="n">
        <v>46028</v>
      </c>
      <c r="H323" s="27" t="n">
        <v>46028</v>
      </c>
      <c r="I323" s="27" t="n">
        <v>46021</v>
      </c>
      <c r="J323" s="27" t="n"/>
      <c r="L323" t="inlineStr">
        <is>
          <t>Mão de Obra - Salários</t>
        </is>
      </c>
      <c r="M323" t="inlineStr">
        <is>
          <t>MDO CLT - Salário</t>
        </is>
      </c>
      <c r="O323" t="inlineStr">
        <is>
          <t>Documentação Aprovada</t>
        </is>
      </c>
      <c r="P323" t="inlineStr">
        <is>
          <t>Aprovado Diretoria</t>
        </is>
      </c>
      <c r="Q323" t="inlineStr">
        <is>
          <t>Aprovado Caixa</t>
        </is>
      </c>
      <c r="R323" t="inlineStr">
        <is>
          <t>Pago</t>
        </is>
      </c>
      <c r="S323" t="n">
        <v>148</v>
      </c>
      <c r="T323" t="inlineStr">
        <is>
          <t>Bar Brahma Granja - Tutum Filial - Kamino</t>
        </is>
      </c>
    </row>
    <row r="324">
      <c r="A324" t="n">
        <v>189136</v>
      </c>
      <c r="B324" t="n">
        <v>148</v>
      </c>
      <c r="C324" t="inlineStr">
        <is>
          <t>Bar Brahma - Granja</t>
        </is>
      </c>
      <c r="D324" t="inlineStr">
        <is>
          <t>JEFERSON GOMES SILVA</t>
        </is>
      </c>
      <c r="E324" t="n">
        <v>2501.44</v>
      </c>
      <c r="F324" s="27" t="n">
        <v>46029</v>
      </c>
      <c r="G324" s="27" t="n">
        <v>46028</v>
      </c>
      <c r="H324" s="27" t="n">
        <v>46028</v>
      </c>
      <c r="I324" s="27" t="n">
        <v>46021</v>
      </c>
      <c r="J324" s="27" t="n"/>
      <c r="L324" t="inlineStr">
        <is>
          <t>Mão de Obra - Salários</t>
        </is>
      </c>
      <c r="M324" t="inlineStr">
        <is>
          <t>MDO CLT - Salário</t>
        </is>
      </c>
      <c r="O324" t="inlineStr">
        <is>
          <t>Documentação Aprovada</t>
        </is>
      </c>
      <c r="P324" t="inlineStr">
        <is>
          <t>Aprovado Diretoria</t>
        </is>
      </c>
      <c r="Q324" t="inlineStr">
        <is>
          <t>Aprovado Caixa</t>
        </is>
      </c>
      <c r="R324" t="inlineStr">
        <is>
          <t>Pago</t>
        </is>
      </c>
      <c r="S324" t="n">
        <v>148</v>
      </c>
      <c r="T324" t="inlineStr">
        <is>
          <t>Bar Brahma Granja - Tutum Filial - Kamino</t>
        </is>
      </c>
    </row>
    <row r="325">
      <c r="A325" t="n">
        <v>189127</v>
      </c>
      <c r="B325" t="n">
        <v>148</v>
      </c>
      <c r="C325" t="inlineStr">
        <is>
          <t>Bar Brahma - Granja</t>
        </is>
      </c>
      <c r="D325" t="inlineStr">
        <is>
          <t>ANA PAULA NASCIMENTO SOARES</t>
        </is>
      </c>
      <c r="E325" t="n">
        <v>2520.82</v>
      </c>
      <c r="F325" s="27" t="n">
        <v>46029</v>
      </c>
      <c r="G325" s="27" t="n">
        <v>46028</v>
      </c>
      <c r="H325" s="27" t="n">
        <v>46028</v>
      </c>
      <c r="I325" s="27" t="n">
        <v>46021</v>
      </c>
      <c r="J325" s="27" t="n"/>
      <c r="L325" t="inlineStr">
        <is>
          <t>Mão de Obra - Salários</t>
        </is>
      </c>
      <c r="M325" t="inlineStr">
        <is>
          <t>MDO CLT - Salário</t>
        </is>
      </c>
      <c r="O325" t="inlineStr">
        <is>
          <t>Documentação Aprovada</t>
        </is>
      </c>
      <c r="P325" t="inlineStr">
        <is>
          <t>Aprovado Diretoria</t>
        </is>
      </c>
      <c r="Q325" t="inlineStr">
        <is>
          <t>Aprovado Caixa</t>
        </is>
      </c>
      <c r="R325" t="inlineStr">
        <is>
          <t>Pago</t>
        </is>
      </c>
      <c r="S325" t="n">
        <v>148</v>
      </c>
      <c r="T325" t="inlineStr">
        <is>
          <t>Bar Brahma Granja - Tutum Filial - Kamino</t>
        </is>
      </c>
    </row>
    <row r="326">
      <c r="A326" t="n">
        <v>189128</v>
      </c>
      <c r="B326" t="n">
        <v>148</v>
      </c>
      <c r="C326" t="inlineStr">
        <is>
          <t>Bar Brahma - Granja</t>
        </is>
      </c>
      <c r="D326" t="inlineStr">
        <is>
          <t>ANA PAULA ROSA SANTANA</t>
        </is>
      </c>
      <c r="E326" t="n">
        <v>2345.05</v>
      </c>
      <c r="F326" s="27" t="n">
        <v>46029</v>
      </c>
      <c r="G326" s="27" t="n">
        <v>46028</v>
      </c>
      <c r="H326" s="27" t="n">
        <v>46028</v>
      </c>
      <c r="I326" s="27" t="n">
        <v>46021</v>
      </c>
      <c r="J326" s="27" t="n"/>
      <c r="L326" t="inlineStr">
        <is>
          <t>Mão de Obra - Salários</t>
        </is>
      </c>
      <c r="M326" t="inlineStr">
        <is>
          <t>MDO CLT - Salário</t>
        </is>
      </c>
      <c r="O326" t="inlineStr">
        <is>
          <t>Documentação Aprovada</t>
        </is>
      </c>
      <c r="P326" t="inlineStr">
        <is>
          <t>Aprovado Diretoria</t>
        </is>
      </c>
      <c r="Q326" t="inlineStr">
        <is>
          <t>Aprovado Caixa</t>
        </is>
      </c>
      <c r="R326" t="inlineStr">
        <is>
          <t>Pago</t>
        </is>
      </c>
      <c r="S326" t="n">
        <v>148</v>
      </c>
      <c r="T326" t="inlineStr">
        <is>
          <t>Bar Brahma Granja - Tutum Filial - Kamino</t>
        </is>
      </c>
    </row>
    <row r="327">
      <c r="A327" t="n">
        <v>189130</v>
      </c>
      <c r="B327" t="n">
        <v>148</v>
      </c>
      <c r="C327" t="inlineStr">
        <is>
          <t>Bar Brahma - Granja</t>
        </is>
      </c>
      <c r="D327" t="inlineStr">
        <is>
          <t>DAIANE DE JESUS ROCHA</t>
        </is>
      </c>
      <c r="E327" t="n">
        <v>2704.72</v>
      </c>
      <c r="F327" s="27" t="n">
        <v>46029</v>
      </c>
      <c r="G327" s="27" t="n">
        <v>46028</v>
      </c>
      <c r="H327" s="27" t="n">
        <v>46028</v>
      </c>
      <c r="I327" s="27" t="n">
        <v>46021</v>
      </c>
      <c r="J327" s="27" t="n"/>
      <c r="L327" t="inlineStr">
        <is>
          <t>Mão de Obra - Salários</t>
        </is>
      </c>
      <c r="M327" t="inlineStr">
        <is>
          <t>MDO CLT - Salário</t>
        </is>
      </c>
      <c r="O327" t="inlineStr">
        <is>
          <t>Documentação Aprovada</t>
        </is>
      </c>
      <c r="P327" t="inlineStr">
        <is>
          <t>Aprovado Diretoria</t>
        </is>
      </c>
      <c r="Q327" t="inlineStr">
        <is>
          <t>Aprovado Caixa</t>
        </is>
      </c>
      <c r="R327" t="inlineStr">
        <is>
          <t>Pago</t>
        </is>
      </c>
      <c r="S327" t="n">
        <v>148</v>
      </c>
      <c r="T327" t="inlineStr">
        <is>
          <t>Bar Brahma Granja - Tutum Filial - Kamino</t>
        </is>
      </c>
    </row>
    <row r="328">
      <c r="A328" t="n">
        <v>189131</v>
      </c>
      <c r="B328" t="n">
        <v>148</v>
      </c>
      <c r="C328" t="inlineStr">
        <is>
          <t>Bar Brahma - Granja</t>
        </is>
      </c>
      <c r="D328" t="inlineStr">
        <is>
          <t>EDIVALDO ALVES ESTEVES</t>
        </is>
      </c>
      <c r="E328" t="n">
        <v>2511.26</v>
      </c>
      <c r="F328" s="27" t="n">
        <v>46029</v>
      </c>
      <c r="G328" s="27" t="n">
        <v>46028</v>
      </c>
      <c r="H328" s="27" t="n">
        <v>46028</v>
      </c>
      <c r="I328" s="27" t="n">
        <v>46021</v>
      </c>
      <c r="J328" s="27" t="n"/>
      <c r="L328" t="inlineStr">
        <is>
          <t>Mão de Obra - Salários</t>
        </is>
      </c>
      <c r="M328" t="inlineStr">
        <is>
          <t>MDO CLT - Salário</t>
        </is>
      </c>
      <c r="O328" t="inlineStr">
        <is>
          <t>Documentação Aprovada</t>
        </is>
      </c>
      <c r="P328" t="inlineStr">
        <is>
          <t>Aprovado Diretoria</t>
        </is>
      </c>
      <c r="Q328" t="inlineStr">
        <is>
          <t>Aprovado Caixa</t>
        </is>
      </c>
      <c r="R328" t="inlineStr">
        <is>
          <t>Pago</t>
        </is>
      </c>
      <c r="S328" t="n">
        <v>148</v>
      </c>
      <c r="T328" t="inlineStr">
        <is>
          <t>Bar Brahma Granja - Tutum Filial - Kamino</t>
        </is>
      </c>
    </row>
    <row r="329">
      <c r="A329" t="n">
        <v>189132</v>
      </c>
      <c r="B329" t="n">
        <v>148</v>
      </c>
      <c r="C329" t="inlineStr">
        <is>
          <t>Bar Brahma - Granja</t>
        </is>
      </c>
      <c r="D329" t="inlineStr">
        <is>
          <t>FABIO APARECIDO MARQUES</t>
        </is>
      </c>
      <c r="E329" t="n">
        <v>1937.25</v>
      </c>
      <c r="F329" s="27" t="n">
        <v>46029</v>
      </c>
      <c r="G329" s="27" t="n">
        <v>46028</v>
      </c>
      <c r="H329" s="27" t="n">
        <v>46028</v>
      </c>
      <c r="I329" s="27" t="n">
        <v>46021</v>
      </c>
      <c r="J329" s="27" t="n"/>
      <c r="L329" t="inlineStr">
        <is>
          <t>Mão de Obra - Salários</t>
        </is>
      </c>
      <c r="M329" t="inlineStr">
        <is>
          <t>MDO CLT - Salário</t>
        </is>
      </c>
      <c r="O329" t="inlineStr">
        <is>
          <t>Documentação Aprovada</t>
        </is>
      </c>
      <c r="P329" t="inlineStr">
        <is>
          <t>Aprovado Diretoria</t>
        </is>
      </c>
      <c r="Q329" t="inlineStr">
        <is>
          <t>Aprovado Caixa</t>
        </is>
      </c>
      <c r="R329" t="inlineStr">
        <is>
          <t>Pago</t>
        </is>
      </c>
      <c r="S329" t="n">
        <v>148</v>
      </c>
      <c r="T329" t="inlineStr">
        <is>
          <t>Bar Brahma Granja - Tutum Filial - Kamino</t>
        </is>
      </c>
    </row>
    <row r="330">
      <c r="A330" t="n">
        <v>189133</v>
      </c>
      <c r="B330" t="n">
        <v>148</v>
      </c>
      <c r="C330" t="inlineStr">
        <is>
          <t>Bar Brahma - Granja</t>
        </is>
      </c>
      <c r="D330" t="inlineStr">
        <is>
          <t>FLAVIO PEREIRA DOS SANTOS</t>
        </is>
      </c>
      <c r="E330" t="n">
        <v>2222.21</v>
      </c>
      <c r="F330" s="27" t="n">
        <v>46029</v>
      </c>
      <c r="G330" s="27" t="n">
        <v>46028</v>
      </c>
      <c r="H330" s="27" t="n">
        <v>46028</v>
      </c>
      <c r="I330" s="27" t="n">
        <v>46021</v>
      </c>
      <c r="J330" s="27" t="n"/>
      <c r="L330" t="inlineStr">
        <is>
          <t>Mão de Obra - Salários</t>
        </is>
      </c>
      <c r="M330" t="inlineStr">
        <is>
          <t>MDO CLT - Salário</t>
        </is>
      </c>
      <c r="O330" t="inlineStr">
        <is>
          <t>Documentação Aprovada</t>
        </is>
      </c>
      <c r="P330" t="inlineStr">
        <is>
          <t>Aprovado Diretoria</t>
        </is>
      </c>
      <c r="Q330" t="inlineStr">
        <is>
          <t>Aprovado Caixa</t>
        </is>
      </c>
      <c r="R330" t="inlineStr">
        <is>
          <t>Pago</t>
        </is>
      </c>
      <c r="S330" t="n">
        <v>148</v>
      </c>
      <c r="T330" t="inlineStr">
        <is>
          <t>Bar Brahma Granja - Tutum Filial - Kamino</t>
        </is>
      </c>
    </row>
    <row r="331">
      <c r="A331" t="n">
        <v>189134</v>
      </c>
      <c r="B331" t="n">
        <v>148</v>
      </c>
      <c r="C331" t="inlineStr">
        <is>
          <t>Bar Brahma - Granja</t>
        </is>
      </c>
      <c r="D331" t="inlineStr">
        <is>
          <t>IAGO CARINO PORTO RAMOS</t>
        </is>
      </c>
      <c r="E331" t="n">
        <v>2951.51</v>
      </c>
      <c r="F331" s="27" t="n">
        <v>46029</v>
      </c>
      <c r="G331" s="27" t="n">
        <v>46028</v>
      </c>
      <c r="H331" s="27" t="n">
        <v>46028</v>
      </c>
      <c r="I331" s="27" t="n">
        <v>46021</v>
      </c>
      <c r="J331" s="27" t="n"/>
      <c r="L331" t="inlineStr">
        <is>
          <t>Mão de Obra - Salários</t>
        </is>
      </c>
      <c r="M331" t="inlineStr">
        <is>
          <t>MDO CLT - Salário</t>
        </is>
      </c>
      <c r="O331" t="inlineStr">
        <is>
          <t>Documentação Aprovada</t>
        </is>
      </c>
      <c r="P331" t="inlineStr">
        <is>
          <t>Aprovado Diretoria</t>
        </is>
      </c>
      <c r="Q331" t="inlineStr">
        <is>
          <t>Aprovado Caixa</t>
        </is>
      </c>
      <c r="R331" t="inlineStr">
        <is>
          <t>Pago</t>
        </is>
      </c>
      <c r="S331" t="n">
        <v>148</v>
      </c>
      <c r="T331" t="inlineStr">
        <is>
          <t>Bar Brahma Granja - Tutum Filial - Kamino</t>
        </is>
      </c>
    </row>
    <row r="332">
      <c r="A332" t="n">
        <v>189135</v>
      </c>
      <c r="B332" t="n">
        <v>148</v>
      </c>
      <c r="C332" t="inlineStr">
        <is>
          <t>Bar Brahma - Granja</t>
        </is>
      </c>
      <c r="D332" t="inlineStr">
        <is>
          <t>IARA SAMIRIS OLIVEIRA BRAGA</t>
        </is>
      </c>
      <c r="E332" t="n">
        <v>1398.93</v>
      </c>
      <c r="F332" s="27" t="n">
        <v>46029</v>
      </c>
      <c r="G332" s="27" t="n">
        <v>46028</v>
      </c>
      <c r="H332" s="27" t="n">
        <v>46028</v>
      </c>
      <c r="I332" s="27" t="n">
        <v>46021</v>
      </c>
      <c r="J332" s="27" t="n"/>
      <c r="L332" t="inlineStr">
        <is>
          <t>Mão de Obra - Salários</t>
        </is>
      </c>
      <c r="M332" t="inlineStr">
        <is>
          <t>MDO CLT - Salário</t>
        </is>
      </c>
      <c r="O332" t="inlineStr">
        <is>
          <t>Documentação Aprovada</t>
        </is>
      </c>
      <c r="P332" t="inlineStr">
        <is>
          <t>Aprovado Diretoria</t>
        </is>
      </c>
      <c r="Q332" t="inlineStr">
        <is>
          <t>Aprovado Caixa</t>
        </is>
      </c>
      <c r="R332" t="inlineStr">
        <is>
          <t>Pago</t>
        </is>
      </c>
      <c r="S332" t="n">
        <v>148</v>
      </c>
      <c r="T332" t="inlineStr">
        <is>
          <t>Bar Brahma Granja - Tutum Filial - Kamino</t>
        </is>
      </c>
    </row>
    <row r="333">
      <c r="A333" t="n">
        <v>189145</v>
      </c>
      <c r="B333" t="n">
        <v>148</v>
      </c>
      <c r="C333" t="inlineStr">
        <is>
          <t>Bar Brahma - Granja</t>
        </is>
      </c>
      <c r="D333" t="inlineStr">
        <is>
          <t>VALDIR RODRIGUES DOS SANTOS</t>
        </is>
      </c>
      <c r="E333" t="n">
        <v>2565.8</v>
      </c>
      <c r="F333" s="27" t="n">
        <v>46029</v>
      </c>
      <c r="G333" s="27" t="n">
        <v>46028</v>
      </c>
      <c r="H333" s="27" t="n">
        <v>46028</v>
      </c>
      <c r="I333" s="27" t="n">
        <v>46021</v>
      </c>
      <c r="J333" s="27" t="n"/>
      <c r="L333" t="inlineStr">
        <is>
          <t>Mão de Obra - Salários</t>
        </is>
      </c>
      <c r="M333" t="inlineStr">
        <is>
          <t>MDO CLT - Salário</t>
        </is>
      </c>
      <c r="O333" t="inlineStr">
        <is>
          <t>Documentação Aprovada</t>
        </is>
      </c>
      <c r="P333" t="inlineStr">
        <is>
          <t>Aprovado Diretoria</t>
        </is>
      </c>
      <c r="Q333" t="inlineStr">
        <is>
          <t>Aprovado Caixa</t>
        </is>
      </c>
      <c r="R333" t="inlineStr">
        <is>
          <t>Pago</t>
        </is>
      </c>
      <c r="S333" t="n">
        <v>148</v>
      </c>
      <c r="T333" t="inlineStr">
        <is>
          <t>Bar Brahma Granja - Tutum Filial - Kamino</t>
        </is>
      </c>
    </row>
    <row r="334">
      <c r="A334" t="n">
        <v>189137</v>
      </c>
      <c r="B334" t="n">
        <v>148</v>
      </c>
      <c r="C334" t="inlineStr">
        <is>
          <t>Bar Brahma - Granja</t>
        </is>
      </c>
      <c r="D334" t="inlineStr">
        <is>
          <t>JOAO HENRIQUE NUNES</t>
        </is>
      </c>
      <c r="E334" t="n">
        <v>2436.91</v>
      </c>
      <c r="F334" s="27" t="n">
        <v>46029</v>
      </c>
      <c r="G334" s="27" t="n">
        <v>46028</v>
      </c>
      <c r="H334" s="27" t="n">
        <v>46028</v>
      </c>
      <c r="I334" s="27" t="n">
        <v>46021</v>
      </c>
      <c r="J334" s="27" t="n"/>
      <c r="L334" t="inlineStr">
        <is>
          <t>Mão de Obra - Salários</t>
        </is>
      </c>
      <c r="M334" t="inlineStr">
        <is>
          <t>MDO CLT - Salário</t>
        </is>
      </c>
      <c r="O334" t="inlineStr">
        <is>
          <t>Documentação Aprovada</t>
        </is>
      </c>
      <c r="P334" t="inlineStr">
        <is>
          <t>Aprovado Diretoria</t>
        </is>
      </c>
      <c r="Q334" t="inlineStr">
        <is>
          <t>Aprovado Caixa</t>
        </is>
      </c>
      <c r="R334" t="inlineStr">
        <is>
          <t>Pago</t>
        </is>
      </c>
      <c r="S334" t="n">
        <v>148</v>
      </c>
      <c r="T334" t="inlineStr">
        <is>
          <t>Bar Brahma Granja - Tutum Filial - Kamino</t>
        </is>
      </c>
    </row>
    <row r="335">
      <c r="A335" t="n">
        <v>189138</v>
      </c>
      <c r="B335" t="n">
        <v>148</v>
      </c>
      <c r="C335" t="inlineStr">
        <is>
          <t>Bar Brahma - Granja</t>
        </is>
      </c>
      <c r="D335" t="inlineStr">
        <is>
          <t>JULIO CESAR DA CUNHA JUNIOR</t>
        </is>
      </c>
      <c r="E335" t="n">
        <v>2631.98</v>
      </c>
      <c r="F335" s="27" t="n">
        <v>46029</v>
      </c>
      <c r="G335" s="27" t="n">
        <v>46028</v>
      </c>
      <c r="H335" s="27" t="n">
        <v>46028</v>
      </c>
      <c r="I335" s="27" t="n">
        <v>46021</v>
      </c>
      <c r="J335" s="27" t="n"/>
      <c r="L335" t="inlineStr">
        <is>
          <t>Mão de Obra - Salários</t>
        </is>
      </c>
      <c r="M335" t="inlineStr">
        <is>
          <t>MDO CLT - Salário</t>
        </is>
      </c>
      <c r="O335" t="inlineStr">
        <is>
          <t>Documentação Aprovada</t>
        </is>
      </c>
      <c r="P335" t="inlineStr">
        <is>
          <t>Aprovado Diretoria</t>
        </is>
      </c>
      <c r="Q335" t="inlineStr">
        <is>
          <t>Aprovado Caixa</t>
        </is>
      </c>
      <c r="R335" t="inlineStr">
        <is>
          <t>Pago</t>
        </is>
      </c>
      <c r="S335" t="n">
        <v>148</v>
      </c>
      <c r="T335" t="inlineStr">
        <is>
          <t>Bar Brahma Granja - Tutum Filial - Kamino</t>
        </is>
      </c>
    </row>
    <row r="336">
      <c r="A336" t="n">
        <v>189139</v>
      </c>
      <c r="B336" t="n">
        <v>148</v>
      </c>
      <c r="C336" t="inlineStr">
        <is>
          <t>Bar Brahma - Granja</t>
        </is>
      </c>
      <c r="D336" t="inlineStr">
        <is>
          <t>KELLY NUNES TORRES TEOTONIO</t>
        </is>
      </c>
      <c r="E336" t="n">
        <v>2395.82</v>
      </c>
      <c r="F336" s="27" t="n">
        <v>46029</v>
      </c>
      <c r="G336" s="27" t="n">
        <v>46028</v>
      </c>
      <c r="H336" s="27" t="n">
        <v>46028</v>
      </c>
      <c r="I336" s="27" t="n">
        <v>46021</v>
      </c>
      <c r="J336" s="27" t="n"/>
      <c r="L336" t="inlineStr">
        <is>
          <t>Mão de Obra - Salários</t>
        </is>
      </c>
      <c r="M336" t="inlineStr">
        <is>
          <t>MDO CLT - Salário</t>
        </is>
      </c>
      <c r="O336" t="inlineStr">
        <is>
          <t>Documentação Aprovada</t>
        </is>
      </c>
      <c r="P336" t="inlineStr">
        <is>
          <t>Aprovado Diretoria</t>
        </is>
      </c>
      <c r="Q336" t="inlineStr">
        <is>
          <t>Aprovado Caixa</t>
        </is>
      </c>
      <c r="R336" t="inlineStr">
        <is>
          <t>Pago</t>
        </is>
      </c>
      <c r="S336" t="n">
        <v>148</v>
      </c>
      <c r="T336" t="inlineStr">
        <is>
          <t>Bar Brahma Granja - Tutum Filial - Kamino</t>
        </is>
      </c>
    </row>
    <row r="337">
      <c r="A337" t="n">
        <v>189140</v>
      </c>
      <c r="B337" t="n">
        <v>148</v>
      </c>
      <c r="C337" t="inlineStr">
        <is>
          <t>Bar Brahma - Granja</t>
        </is>
      </c>
      <c r="D337" t="inlineStr">
        <is>
          <t>LAIS DA SILVA CONCEIÇÃO</t>
        </is>
      </c>
      <c r="E337" t="n">
        <v>2488.37</v>
      </c>
      <c r="F337" s="27" t="n">
        <v>46029</v>
      </c>
      <c r="G337" s="27" t="n">
        <v>46028</v>
      </c>
      <c r="H337" s="27" t="n">
        <v>46028</v>
      </c>
      <c r="I337" s="27" t="n">
        <v>46021</v>
      </c>
      <c r="J337" s="27" t="n"/>
      <c r="L337" t="inlineStr">
        <is>
          <t>Mão de Obra - Salários</t>
        </is>
      </c>
      <c r="M337" t="inlineStr">
        <is>
          <t>MDO CLT - Salário</t>
        </is>
      </c>
      <c r="O337" t="inlineStr">
        <is>
          <t>Documentação Aprovada</t>
        </is>
      </c>
      <c r="P337" t="inlineStr">
        <is>
          <t>Aprovado Diretoria</t>
        </is>
      </c>
      <c r="Q337" t="inlineStr">
        <is>
          <t>Aprovado Caixa</t>
        </is>
      </c>
      <c r="R337" t="inlineStr">
        <is>
          <t>Pago</t>
        </is>
      </c>
      <c r="S337" t="n">
        <v>148</v>
      </c>
      <c r="T337" t="inlineStr">
        <is>
          <t>Bar Brahma Granja - Tutum Filial - Kamino</t>
        </is>
      </c>
    </row>
    <row r="338">
      <c r="A338" t="n">
        <v>189141</v>
      </c>
      <c r="B338" t="n">
        <v>148</v>
      </c>
      <c r="C338" t="inlineStr">
        <is>
          <t>Bar Brahma - Granja</t>
        </is>
      </c>
      <c r="D338" t="inlineStr">
        <is>
          <t>MARIA EDUARDA EVANGELISTA</t>
        </is>
      </c>
      <c r="E338" t="n">
        <v>3452.34</v>
      </c>
      <c r="F338" s="27" t="n">
        <v>46029</v>
      </c>
      <c r="G338" s="27" t="n">
        <v>46028</v>
      </c>
      <c r="H338" s="27" t="n">
        <v>46028</v>
      </c>
      <c r="I338" s="27" t="n">
        <v>46021</v>
      </c>
      <c r="J338" s="27" t="n"/>
      <c r="L338" t="inlineStr">
        <is>
          <t>Mão de Obra - Salários</t>
        </is>
      </c>
      <c r="M338" t="inlineStr">
        <is>
          <t>MDO CLT - Salário</t>
        </is>
      </c>
      <c r="O338" t="inlineStr">
        <is>
          <t>Documentação Aprovada</t>
        </is>
      </c>
      <c r="P338" t="inlineStr">
        <is>
          <t>Aprovado Diretoria</t>
        </is>
      </c>
      <c r="Q338" t="inlineStr">
        <is>
          <t>Aprovado Caixa</t>
        </is>
      </c>
      <c r="R338" t="inlineStr">
        <is>
          <t>Pago</t>
        </is>
      </c>
      <c r="S338" t="n">
        <v>148</v>
      </c>
      <c r="T338" t="inlineStr">
        <is>
          <t>Bar Brahma Granja - Tutum Filial - Kamino</t>
        </is>
      </c>
    </row>
    <row r="339">
      <c r="A339" t="n">
        <v>189142</v>
      </c>
      <c r="B339" t="n">
        <v>148</v>
      </c>
      <c r="C339" t="inlineStr">
        <is>
          <t>Bar Brahma - Granja</t>
        </is>
      </c>
      <c r="D339" t="inlineStr">
        <is>
          <t>MARILIA MARCELINO PEREIRA</t>
        </is>
      </c>
      <c r="E339" t="n">
        <v>2081.51</v>
      </c>
      <c r="F339" s="27" t="n">
        <v>46029</v>
      </c>
      <c r="G339" s="27" t="n">
        <v>46028</v>
      </c>
      <c r="H339" s="27" t="n">
        <v>46028</v>
      </c>
      <c r="I339" s="27" t="n">
        <v>46021</v>
      </c>
      <c r="J339" s="27" t="n"/>
      <c r="L339" t="inlineStr">
        <is>
          <t>Mão de Obra - Salários</t>
        </is>
      </c>
      <c r="M339" t="inlineStr">
        <is>
          <t>MDO CLT - Salário</t>
        </is>
      </c>
      <c r="O339" t="inlineStr">
        <is>
          <t>Documentação Aprovada</t>
        </is>
      </c>
      <c r="P339" t="inlineStr">
        <is>
          <t>Aprovado Diretoria</t>
        </is>
      </c>
      <c r="Q339" t="inlineStr">
        <is>
          <t>Aprovado Caixa</t>
        </is>
      </c>
      <c r="R339" t="inlineStr">
        <is>
          <t>Pago</t>
        </is>
      </c>
      <c r="S339" t="n">
        <v>148</v>
      </c>
      <c r="T339" t="inlineStr">
        <is>
          <t>Bar Brahma Granja - Tutum Filial - Kamino</t>
        </is>
      </c>
    </row>
    <row r="340">
      <c r="A340" t="n">
        <v>189143</v>
      </c>
      <c r="B340" t="n">
        <v>148</v>
      </c>
      <c r="C340" t="inlineStr">
        <is>
          <t>Bar Brahma - Granja</t>
        </is>
      </c>
      <c r="D340" t="inlineStr">
        <is>
          <t>NATALIA COELHO DE JESUS</t>
        </is>
      </c>
      <c r="E340" t="n">
        <v>2408.35</v>
      </c>
      <c r="F340" s="27" t="n">
        <v>46029</v>
      </c>
      <c r="G340" s="27" t="n">
        <v>46028</v>
      </c>
      <c r="H340" s="27" t="n">
        <v>46028</v>
      </c>
      <c r="I340" s="27" t="n">
        <v>46021</v>
      </c>
      <c r="J340" s="27" t="n"/>
      <c r="L340" t="inlineStr">
        <is>
          <t>Mão de Obra - Salários</t>
        </is>
      </c>
      <c r="M340" t="inlineStr">
        <is>
          <t>MDO CLT - Salário</t>
        </is>
      </c>
      <c r="O340" t="inlineStr">
        <is>
          <t>Documentação Aprovada</t>
        </is>
      </c>
      <c r="P340" t="inlineStr">
        <is>
          <t>Aprovado Diretoria</t>
        </is>
      </c>
      <c r="Q340" t="inlineStr">
        <is>
          <t>Aprovado Caixa</t>
        </is>
      </c>
      <c r="R340" t="inlineStr">
        <is>
          <t>Pago</t>
        </is>
      </c>
      <c r="S340" t="n">
        <v>148</v>
      </c>
      <c r="T340" t="inlineStr">
        <is>
          <t>Bar Brahma Granja - Tutum Filial - Kamino</t>
        </is>
      </c>
    </row>
    <row r="341">
      <c r="A341" t="n">
        <v>189144</v>
      </c>
      <c r="B341" t="n">
        <v>148</v>
      </c>
      <c r="C341" t="inlineStr">
        <is>
          <t>Bar Brahma - Granja</t>
        </is>
      </c>
      <c r="D341" t="inlineStr">
        <is>
          <t>TAELLY SILVA SANTOS</t>
        </is>
      </c>
      <c r="E341" t="n">
        <v>2568.66</v>
      </c>
      <c r="F341" s="27" t="n">
        <v>46029</v>
      </c>
      <c r="G341" s="27" t="n">
        <v>46028</v>
      </c>
      <c r="H341" s="27" t="n">
        <v>46028</v>
      </c>
      <c r="I341" s="27" t="n">
        <v>46021</v>
      </c>
      <c r="J341" s="27" t="n"/>
      <c r="L341" t="inlineStr">
        <is>
          <t>Mão de Obra - Salários</t>
        </is>
      </c>
      <c r="M341" t="inlineStr">
        <is>
          <t>MDO CLT - Salário</t>
        </is>
      </c>
      <c r="O341" t="inlineStr">
        <is>
          <t>Documentação Aprovada</t>
        </is>
      </c>
      <c r="P341" t="inlineStr">
        <is>
          <t>Aprovado Diretoria</t>
        </is>
      </c>
      <c r="Q341" t="inlineStr">
        <is>
          <t>Aprovado Caixa</t>
        </is>
      </c>
      <c r="R341" t="inlineStr">
        <is>
          <t>Pago</t>
        </is>
      </c>
      <c r="S341" t="n">
        <v>148</v>
      </c>
      <c r="T341" t="inlineStr">
        <is>
          <t>Bar Brahma Granja - Tutum Filial - Kamino</t>
        </is>
      </c>
    </row>
    <row r="342">
      <c r="A342" t="n">
        <v>172385</v>
      </c>
      <c r="B342" t="n">
        <v>148</v>
      </c>
      <c r="C342" t="inlineStr">
        <is>
          <t>Bar Brahma - Granja</t>
        </is>
      </c>
      <c r="D342" t="inlineStr">
        <is>
          <t>BTAGS TECNOLOGIA LTDA</t>
        </is>
      </c>
      <c r="E342" t="n">
        <v>380</v>
      </c>
      <c r="F342" s="27" t="n">
        <v>46027</v>
      </c>
      <c r="G342" s="27" t="n">
        <v>46027</v>
      </c>
      <c r="H342" s="27" t="n">
        <v>46027</v>
      </c>
      <c r="I342" s="27" t="n">
        <v>46017</v>
      </c>
      <c r="J342" s="27" t="n">
        <v>45965</v>
      </c>
      <c r="K342" t="inlineStr">
        <is>
          <t>Boleto Bancário</t>
        </is>
      </c>
      <c r="L342" t="inlineStr">
        <is>
          <t>Locação de Equipamentos</t>
        </is>
      </c>
      <c r="M342" t="inlineStr">
        <is>
          <t>Locações de Equipamentos - Operacionais</t>
        </is>
      </c>
      <c r="N342" t="inlineStr">
        <is>
          <t>1471</t>
        </is>
      </c>
      <c r="O342" t="inlineStr">
        <is>
          <t>Documentação Aprovada</t>
        </is>
      </c>
      <c r="P342" t="inlineStr">
        <is>
          <t>Aprovado Diretoria</t>
        </is>
      </c>
      <c r="Q342" t="inlineStr">
        <is>
          <t>Aprovado Caixa</t>
        </is>
      </c>
      <c r="R342" t="inlineStr">
        <is>
          <t>Pago</t>
        </is>
      </c>
      <c r="S342" t="n">
        <v>164</v>
      </c>
      <c r="T342" t="inlineStr">
        <is>
          <t>Bar Brahma Granja - FDB Filial - Kamino</t>
        </is>
      </c>
    </row>
    <row r="343">
      <c r="A343" t="n">
        <v>173010</v>
      </c>
      <c r="B343" t="n">
        <v>148</v>
      </c>
      <c r="C343" t="inlineStr">
        <is>
          <t>Bar Brahma - Granja</t>
        </is>
      </c>
      <c r="D343" t="inlineStr">
        <is>
          <t>TYPEFORM</t>
        </is>
      </c>
      <c r="E343" t="n">
        <v>23.81</v>
      </c>
      <c r="F343" s="27" t="n">
        <v>46027</v>
      </c>
      <c r="G343" s="27" t="n">
        <v>46027</v>
      </c>
      <c r="H343" s="27" t="n">
        <v>46027</v>
      </c>
      <c r="I343" s="27" t="n">
        <v>46019</v>
      </c>
      <c r="J343" s="27" t="n">
        <v>45967</v>
      </c>
      <c r="K343" t="inlineStr">
        <is>
          <t>Cartão de Crédito</t>
        </is>
      </c>
      <c r="L343" t="inlineStr">
        <is>
          <t>Marketing</t>
        </is>
      </c>
      <c r="M343" t="inlineStr">
        <is>
          <t>Publicidade e Propaganda</t>
        </is>
      </c>
      <c r="N343" t="inlineStr">
        <is>
          <t>0</t>
        </is>
      </c>
      <c r="O343" t="inlineStr">
        <is>
          <t>Documentação Aprovada</t>
        </is>
      </c>
      <c r="P343" t="inlineStr">
        <is>
          <t>Aprovado Diretoria</t>
        </is>
      </c>
      <c r="Q343" t="inlineStr">
        <is>
          <t>Aprovado Caixa</t>
        </is>
      </c>
      <c r="R343" t="inlineStr">
        <is>
          <t>Pago</t>
        </is>
      </c>
      <c r="S343" t="n">
        <v>176</v>
      </c>
      <c r="T343" t="inlineStr">
        <is>
          <t>Escritório - FB Morumbi - Kamino</t>
        </is>
      </c>
    </row>
    <row r="344">
      <c r="A344" t="n">
        <v>173124</v>
      </c>
      <c r="B344" t="n">
        <v>148</v>
      </c>
      <c r="C344" t="inlineStr">
        <is>
          <t>Bar Brahma - Granja</t>
        </is>
      </c>
      <c r="D344" t="inlineStr">
        <is>
          <t>FACEBOOK SERVICOS ONLINE DO BRASIL LTDA.</t>
        </is>
      </c>
      <c r="E344" t="n">
        <v>2302.9</v>
      </c>
      <c r="F344" s="27" t="n">
        <v>46027</v>
      </c>
      <c r="G344" s="27" t="n">
        <v>46027</v>
      </c>
      <c r="H344" s="27" t="n">
        <v>46027</v>
      </c>
      <c r="I344" s="27" t="n">
        <v>46021</v>
      </c>
      <c r="J344" s="27" t="n">
        <v>45967</v>
      </c>
      <c r="K344" t="inlineStr">
        <is>
          <t>Cartão de Crédito</t>
        </is>
      </c>
      <c r="L344" t="inlineStr">
        <is>
          <t>Marketing</t>
        </is>
      </c>
      <c r="M344" t="inlineStr">
        <is>
          <t>Publicidade e Propaganda</t>
        </is>
      </c>
      <c r="N344" t="inlineStr">
        <is>
          <t>0</t>
        </is>
      </c>
      <c r="O344" t="inlineStr">
        <is>
          <t>Documentação Aprovada</t>
        </is>
      </c>
      <c r="P344" t="inlineStr">
        <is>
          <t>Aprovado Diretoria</t>
        </is>
      </c>
      <c r="Q344" t="inlineStr">
        <is>
          <t>Aprovado Caixa</t>
        </is>
      </c>
      <c r="R344" t="inlineStr">
        <is>
          <t>Pago</t>
        </is>
      </c>
      <c r="S344" t="n">
        <v>164</v>
      </c>
      <c r="T344" t="inlineStr">
        <is>
          <t>Bar Brahma Granja - FDB Filial - Kamino</t>
        </is>
      </c>
    </row>
    <row r="345">
      <c r="A345" t="n">
        <v>174007</v>
      </c>
      <c r="B345" t="n">
        <v>148</v>
      </c>
      <c r="C345" t="inlineStr">
        <is>
          <t>Bar Brahma - Granja</t>
        </is>
      </c>
      <c r="D345" t="inlineStr">
        <is>
          <t>ESHOWS PROMOCOES ARTISTICAS LTDA</t>
        </is>
      </c>
      <c r="E345" t="n">
        <v>18750</v>
      </c>
      <c r="F345" s="27" t="n">
        <v>46027</v>
      </c>
      <c r="G345" s="27" t="n">
        <v>46027</v>
      </c>
      <c r="H345" s="27" t="n">
        <v>46027</v>
      </c>
      <c r="I345" s="27" t="n">
        <v>45998</v>
      </c>
      <c r="J345" s="27" t="n">
        <v>45972</v>
      </c>
      <c r="K345" t="inlineStr">
        <is>
          <t>Boleto Bancário</t>
        </is>
      </c>
      <c r="L345" t="inlineStr">
        <is>
          <t>Custos Artístico Geral</t>
        </is>
      </c>
      <c r="M345" t="inlineStr">
        <is>
          <t>Cachê de Músicos e Artistas</t>
        </is>
      </c>
      <c r="N345" t="inlineStr">
        <is>
          <t>BOL 702423163</t>
        </is>
      </c>
      <c r="O345" t="inlineStr">
        <is>
          <t>Documentação Aprovada</t>
        </is>
      </c>
      <c r="P345" t="inlineStr">
        <is>
          <t>Aprovado Diretoria</t>
        </is>
      </c>
      <c r="Q345" t="inlineStr">
        <is>
          <t>Aprovado Caixa</t>
        </is>
      </c>
      <c r="R345" t="inlineStr">
        <is>
          <t>Pago</t>
        </is>
      </c>
      <c r="S345" t="n">
        <v>164</v>
      </c>
      <c r="T345" t="inlineStr">
        <is>
          <t>Bar Brahma Granja - FDB Filial - Kamino</t>
        </is>
      </c>
    </row>
    <row r="346">
      <c r="A346" t="n">
        <v>177124</v>
      </c>
      <c r="B346" t="n">
        <v>148</v>
      </c>
      <c r="C346" t="inlineStr">
        <is>
          <t>Bar Brahma - Granja</t>
        </is>
      </c>
      <c r="D346" t="inlineStr">
        <is>
          <t>COMPANHIA DE GAS DE SAO PAULO</t>
        </is>
      </c>
      <c r="E346" t="n">
        <v>9898.450000000001</v>
      </c>
      <c r="F346" s="27" t="n">
        <v>46027</v>
      </c>
      <c r="G346" s="27" t="n">
        <v>46027</v>
      </c>
      <c r="H346" s="27" t="n">
        <v>46027</v>
      </c>
      <c r="I346" s="27" t="n">
        <v>46021</v>
      </c>
      <c r="J346" s="27" t="n">
        <v>45982</v>
      </c>
      <c r="K346" t="inlineStr">
        <is>
          <t>Boleto Bancário</t>
        </is>
      </c>
      <c r="L346" t="inlineStr">
        <is>
          <t>Utilidades</t>
        </is>
      </c>
      <c r="M346" t="inlineStr">
        <is>
          <t>Gas de Cozinha</t>
        </is>
      </c>
      <c r="N346" t="inlineStr">
        <is>
          <t>137222434</t>
        </is>
      </c>
      <c r="O346" t="inlineStr">
        <is>
          <t>Documentação Aprovada</t>
        </is>
      </c>
      <c r="P346" t="inlineStr">
        <is>
          <t>Aprovado Diretoria</t>
        </is>
      </c>
      <c r="Q346" t="inlineStr">
        <is>
          <t>Aprovado Caixa</t>
        </is>
      </c>
      <c r="R346" t="inlineStr">
        <is>
          <t>Pago</t>
        </is>
      </c>
      <c r="S346" t="n">
        <v>164</v>
      </c>
      <c r="T346" t="inlineStr">
        <is>
          <t>Bar Brahma Granja - FDB Filial - Kamino</t>
        </is>
      </c>
    </row>
    <row r="347">
      <c r="A347" t="n">
        <v>179278</v>
      </c>
      <c r="B347" t="n">
        <v>148</v>
      </c>
      <c r="C347" t="inlineStr">
        <is>
          <t>Bar Brahma - Granja</t>
        </is>
      </c>
      <c r="D347" t="inlineStr">
        <is>
          <t>PETTY CASH</t>
        </is>
      </c>
      <c r="E347" t="n">
        <v>21.98</v>
      </c>
      <c r="F347" s="27" t="n">
        <v>46027</v>
      </c>
      <c r="G347" s="27" t="n">
        <v>46027</v>
      </c>
      <c r="H347" s="27" t="n">
        <v>46027</v>
      </c>
      <c r="I347" s="27" t="n">
        <v>45990</v>
      </c>
      <c r="J347" s="27" t="n">
        <v>45992</v>
      </c>
      <c r="K347" t="inlineStr">
        <is>
          <t>Cartão de Crédito</t>
        </is>
      </c>
      <c r="L347" t="inlineStr">
        <is>
          <t>Utilidades</t>
        </is>
      </c>
      <c r="M347" t="inlineStr">
        <is>
          <t>Higiene e Limpeza</t>
        </is>
      </c>
      <c r="N347" t="inlineStr">
        <is>
          <t>46444</t>
        </is>
      </c>
      <c r="O347" t="inlineStr">
        <is>
          <t>Documentação Aprovada</t>
        </is>
      </c>
      <c r="P347" t="inlineStr">
        <is>
          <t>Aprovado Diretoria</t>
        </is>
      </c>
      <c r="Q347" t="inlineStr">
        <is>
          <t>Aprovado Caixa</t>
        </is>
      </c>
      <c r="R347" t="inlineStr">
        <is>
          <t>Pago</t>
        </is>
      </c>
      <c r="S347" t="n">
        <v>164</v>
      </c>
      <c r="T347" t="inlineStr">
        <is>
          <t>Bar Brahma Granja - FDB Filial - Kamino</t>
        </is>
      </c>
    </row>
    <row r="348">
      <c r="A348" t="n">
        <v>177920</v>
      </c>
      <c r="B348" t="n">
        <v>148</v>
      </c>
      <c r="C348" t="inlineStr">
        <is>
          <t>Bar Brahma - Granja</t>
        </is>
      </c>
      <c r="D348" t="inlineStr">
        <is>
          <t>STEMME TELECOMUNICACOES DO BRASIL LTDA</t>
        </is>
      </c>
      <c r="E348" t="n">
        <v>149.9</v>
      </c>
      <c r="F348" s="27" t="n">
        <v>46027</v>
      </c>
      <c r="G348" s="27" t="n">
        <v>46027</v>
      </c>
      <c r="H348" s="27" t="n">
        <v>46027</v>
      </c>
      <c r="I348" s="27" t="n">
        <v>46013</v>
      </c>
      <c r="J348" s="27" t="n">
        <v>46013</v>
      </c>
      <c r="K348" t="inlineStr">
        <is>
          <t>Boleto Bancário</t>
        </is>
      </c>
      <c r="L348" t="inlineStr">
        <is>
          <t>Informática e TI</t>
        </is>
      </c>
      <c r="M348" t="inlineStr">
        <is>
          <t>Internet</t>
        </is>
      </c>
      <c r="N348" t="inlineStr">
        <is>
          <t>3108</t>
        </is>
      </c>
      <c r="O348" t="inlineStr">
        <is>
          <t>Documentação Aprovada</t>
        </is>
      </c>
      <c r="P348" t="inlineStr">
        <is>
          <t>Aprovado Diretoria</t>
        </is>
      </c>
      <c r="Q348" t="inlineStr">
        <is>
          <t>Aprovado Caixa</t>
        </is>
      </c>
      <c r="R348" t="inlineStr">
        <is>
          <t>Pago</t>
        </is>
      </c>
      <c r="S348" t="n">
        <v>164</v>
      </c>
      <c r="T348" t="inlineStr">
        <is>
          <t>Bar Brahma Granja - FDB Filial - Kamino</t>
        </is>
      </c>
    </row>
    <row r="349">
      <c r="A349" t="n">
        <v>187454</v>
      </c>
      <c r="B349" t="n">
        <v>148</v>
      </c>
      <c r="C349" t="inlineStr">
        <is>
          <t>Bar Brahma - Granja</t>
        </is>
      </c>
      <c r="D349" t="inlineStr">
        <is>
          <t>PETTY CASH</t>
        </is>
      </c>
      <c r="E349" t="n">
        <v>71.8</v>
      </c>
      <c r="F349" s="27" t="n">
        <v>46027</v>
      </c>
      <c r="G349" s="27" t="n">
        <v>46027</v>
      </c>
      <c r="H349" s="27" t="n">
        <v>46027</v>
      </c>
      <c r="I349" s="27" t="n">
        <v>46015</v>
      </c>
      <c r="J349" s="27" t="n">
        <v>46024</v>
      </c>
      <c r="K349" t="inlineStr">
        <is>
          <t>Cartão de Crédito</t>
        </is>
      </c>
      <c r="L349" t="inlineStr">
        <is>
          <t>Custo Mercadoria Vendida</t>
        </is>
      </c>
      <c r="M349" t="inlineStr">
        <is>
          <t>Insumos - Alimentos</t>
        </is>
      </c>
      <c r="N349" t="inlineStr">
        <is>
          <t>23015</t>
        </is>
      </c>
      <c r="O349" t="inlineStr">
        <is>
          <t>Documentação Aprovada</t>
        </is>
      </c>
      <c r="P349" t="inlineStr">
        <is>
          <t>Aprovado Diretoria</t>
        </is>
      </c>
      <c r="Q349" t="inlineStr">
        <is>
          <t>Aprovado Caixa</t>
        </is>
      </c>
      <c r="R349" t="inlineStr">
        <is>
          <t>Pago</t>
        </is>
      </c>
      <c r="S349" t="n">
        <v>164</v>
      </c>
      <c r="T349" t="inlineStr">
        <is>
          <t>Bar Brahma Granja - FDB Filial - Kamino</t>
        </is>
      </c>
    </row>
    <row r="350">
      <c r="A350" t="n">
        <v>187533</v>
      </c>
      <c r="B350" t="n">
        <v>148</v>
      </c>
      <c r="C350" t="inlineStr">
        <is>
          <t>Bar Brahma - Granja</t>
        </is>
      </c>
      <c r="D350" t="inlineStr">
        <is>
          <t>PETTY CASH</t>
        </is>
      </c>
      <c r="E350" t="n">
        <v>12</v>
      </c>
      <c r="F350" s="27" t="n">
        <v>46027</v>
      </c>
      <c r="G350" s="27" t="n">
        <v>46027</v>
      </c>
      <c r="H350" s="27" t="n">
        <v>46027</v>
      </c>
      <c r="I350" s="27" t="n">
        <v>45993</v>
      </c>
      <c r="J350" s="27" t="n">
        <v>46024</v>
      </c>
      <c r="K350" t="inlineStr">
        <is>
          <t>Cartão de Crédito</t>
        </is>
      </c>
      <c r="L350" t="inlineStr">
        <is>
          <t>Utilidades</t>
        </is>
      </c>
      <c r="M350" t="inlineStr">
        <is>
          <t>Material de Escritorio</t>
        </is>
      </c>
      <c r="N350" t="inlineStr">
        <is>
          <t>807</t>
        </is>
      </c>
      <c r="O350" t="inlineStr">
        <is>
          <t>Documentação Aprovada</t>
        </is>
      </c>
      <c r="P350" t="inlineStr">
        <is>
          <t>Aprovado Diretoria</t>
        </is>
      </c>
      <c r="Q350" t="inlineStr">
        <is>
          <t>Aprovado Caixa</t>
        </is>
      </c>
      <c r="R350" t="inlineStr">
        <is>
          <t>Pago</t>
        </is>
      </c>
      <c r="S350" t="n">
        <v>164</v>
      </c>
      <c r="T350" t="inlineStr">
        <is>
          <t>Bar Brahma Granja - FDB Filial - Kamino</t>
        </is>
      </c>
    </row>
    <row r="351">
      <c r="A351" t="n">
        <v>187410</v>
      </c>
      <c r="B351" t="n">
        <v>148</v>
      </c>
      <c r="C351" t="inlineStr">
        <is>
          <t>Bar Brahma - Granja</t>
        </is>
      </c>
      <c r="D351" t="inlineStr">
        <is>
          <t>MULTIFRANGOS COMERCIO DE ALIMENTOS LTDA</t>
        </is>
      </c>
      <c r="E351" t="n">
        <v>1243.02</v>
      </c>
      <c r="F351" s="27" t="n">
        <v>46027</v>
      </c>
      <c r="G351" s="27" t="n">
        <v>46027</v>
      </c>
      <c r="H351" s="27" t="n">
        <v>46027</v>
      </c>
      <c r="I351" s="27" t="n">
        <v>46013</v>
      </c>
      <c r="J351" s="27" t="n">
        <v>46023</v>
      </c>
      <c r="K351" t="inlineStr">
        <is>
          <t>Boleto Bancário</t>
        </is>
      </c>
      <c r="L351" t="inlineStr">
        <is>
          <t>Custo Mercadoria Vendida</t>
        </is>
      </c>
      <c r="M351" t="inlineStr">
        <is>
          <t>Insumos - Alimentos</t>
        </is>
      </c>
      <c r="N351" t="inlineStr">
        <is>
          <t>936169</t>
        </is>
      </c>
      <c r="O351" t="inlineStr">
        <is>
          <t>Documentação Aprovada</t>
        </is>
      </c>
      <c r="P351" t="inlineStr">
        <is>
          <t>Aprovado Diretoria</t>
        </is>
      </c>
      <c r="Q351" t="inlineStr">
        <is>
          <t>Aprovado Caixa</t>
        </is>
      </c>
      <c r="R351" t="inlineStr">
        <is>
          <t>Pago</t>
        </is>
      </c>
      <c r="S351" t="n">
        <v>164</v>
      </c>
      <c r="T351" t="inlineStr">
        <is>
          <t>Bar Brahma Granja - FDB Filial - Kamino</t>
        </is>
      </c>
    </row>
    <row r="352">
      <c r="A352" t="n">
        <v>187409</v>
      </c>
      <c r="B352" t="n">
        <v>148</v>
      </c>
      <c r="C352" t="inlineStr">
        <is>
          <t>Bar Brahma - Granja</t>
        </is>
      </c>
      <c r="D352" t="inlineStr">
        <is>
          <t>MULTIFRANGOS COMERCIO DE ALIMENTOS LTDA</t>
        </is>
      </c>
      <c r="E352" t="n">
        <v>492.58</v>
      </c>
      <c r="F352" s="27" t="n">
        <v>46027</v>
      </c>
      <c r="G352" s="27" t="n">
        <v>46027</v>
      </c>
      <c r="H352" s="27" t="n">
        <v>46027</v>
      </c>
      <c r="I352" s="27" t="n">
        <v>46013</v>
      </c>
      <c r="J352" s="27" t="n">
        <v>46023</v>
      </c>
      <c r="K352" t="inlineStr">
        <is>
          <t>Boleto Bancário</t>
        </is>
      </c>
      <c r="L352" t="inlineStr">
        <is>
          <t>Custo Mercadoria Vendida</t>
        </is>
      </c>
      <c r="M352" t="inlineStr">
        <is>
          <t>Insumos - Alimentos</t>
        </is>
      </c>
      <c r="N352" t="inlineStr">
        <is>
          <t>936168</t>
        </is>
      </c>
      <c r="O352" t="inlineStr">
        <is>
          <t>Documentação Aprovada</t>
        </is>
      </c>
      <c r="P352" t="inlineStr">
        <is>
          <t>Aprovado Diretoria</t>
        </is>
      </c>
      <c r="Q352" t="inlineStr">
        <is>
          <t>Aprovado Caixa</t>
        </is>
      </c>
      <c r="R352" t="inlineStr">
        <is>
          <t>Pago</t>
        </is>
      </c>
      <c r="S352" t="n">
        <v>164</v>
      </c>
      <c r="T352" t="inlineStr">
        <is>
          <t>Bar Brahma Granja - FDB Filial - Kamino</t>
        </is>
      </c>
    </row>
    <row r="353">
      <c r="A353" t="n">
        <v>187412</v>
      </c>
      <c r="B353" t="n">
        <v>148</v>
      </c>
      <c r="C353" t="inlineStr">
        <is>
          <t>Bar Brahma - Granja</t>
        </is>
      </c>
      <c r="D353" t="inlineStr">
        <is>
          <t>BR22 INDUSTRIA E COMERCIO DE ALIMENTOS LTDA</t>
        </is>
      </c>
      <c r="E353" t="n">
        <v>976.63</v>
      </c>
      <c r="F353" s="27" t="n">
        <v>46027</v>
      </c>
      <c r="G353" s="27" t="n">
        <v>46027</v>
      </c>
      <c r="H353" s="27" t="n">
        <v>46027</v>
      </c>
      <c r="I353" s="27" t="n">
        <v>46010</v>
      </c>
      <c r="J353" s="27" t="n">
        <v>46023</v>
      </c>
      <c r="K353" t="inlineStr">
        <is>
          <t>Boleto Bancário</t>
        </is>
      </c>
      <c r="L353" t="inlineStr">
        <is>
          <t>Custo Mercadoria Vendida</t>
        </is>
      </c>
      <c r="M353" t="inlineStr">
        <is>
          <t>Insumos - Alimentos</t>
        </is>
      </c>
      <c r="N353" t="inlineStr">
        <is>
          <t>761</t>
        </is>
      </c>
      <c r="O353" t="inlineStr">
        <is>
          <t>Documentação Aprovada</t>
        </is>
      </c>
      <c r="P353" t="inlineStr">
        <is>
          <t>Aprovado Diretoria</t>
        </is>
      </c>
      <c r="Q353" t="inlineStr">
        <is>
          <t>Aprovado Caixa</t>
        </is>
      </c>
      <c r="R353" t="inlineStr">
        <is>
          <t>Pago</t>
        </is>
      </c>
      <c r="S353" t="n">
        <v>164</v>
      </c>
      <c r="T353" t="inlineStr">
        <is>
          <t>Bar Brahma Granja - FDB Filial - Kamino</t>
        </is>
      </c>
    </row>
    <row r="354">
      <c r="A354" t="n">
        <v>187469</v>
      </c>
      <c r="B354" t="n">
        <v>148</v>
      </c>
      <c r="C354" t="inlineStr">
        <is>
          <t>Bar Brahma - Granja</t>
        </is>
      </c>
      <c r="D354" t="inlineStr">
        <is>
          <t xml:space="preserve">SPOTIFY </t>
        </is>
      </c>
      <c r="E354" t="n">
        <v>23.9</v>
      </c>
      <c r="F354" s="27" t="n">
        <v>46027</v>
      </c>
      <c r="G354" s="27" t="n">
        <v>46027</v>
      </c>
      <c r="H354" s="27" t="n">
        <v>46027</v>
      </c>
      <c r="I354" s="27" t="n">
        <v>46018</v>
      </c>
      <c r="J354" s="27" t="n">
        <v>46024</v>
      </c>
      <c r="K354" t="inlineStr">
        <is>
          <t>Cartão de Crédito</t>
        </is>
      </c>
      <c r="L354" t="inlineStr">
        <is>
          <t>Informática e TI</t>
        </is>
      </c>
      <c r="M354" t="inlineStr">
        <is>
          <t>TV por assinatura/musica ambiente</t>
        </is>
      </c>
      <c r="N354" t="inlineStr">
        <is>
          <t>2390122025</t>
        </is>
      </c>
      <c r="O354" t="inlineStr">
        <is>
          <t>Documentação Aprovada</t>
        </is>
      </c>
      <c r="P354" t="inlineStr">
        <is>
          <t>Aprovado Diretoria</t>
        </is>
      </c>
      <c r="Q354" t="inlineStr">
        <is>
          <t>Aprovado Caixa</t>
        </is>
      </c>
      <c r="R354" t="inlineStr">
        <is>
          <t>Pago</t>
        </is>
      </c>
      <c r="S354" t="n">
        <v>164</v>
      </c>
      <c r="T354" t="inlineStr">
        <is>
          <t>Bar Brahma Granja - FDB Filial - Kamino</t>
        </is>
      </c>
    </row>
    <row r="355">
      <c r="A355" t="n">
        <v>187466</v>
      </c>
      <c r="B355" t="n">
        <v>148</v>
      </c>
      <c r="C355" t="inlineStr">
        <is>
          <t>Bar Brahma - Granja</t>
        </is>
      </c>
      <c r="D355" t="inlineStr">
        <is>
          <t>PETTY CASH</t>
        </is>
      </c>
      <c r="E355" t="n">
        <v>41.77</v>
      </c>
      <c r="F355" s="27" t="n">
        <v>46027</v>
      </c>
      <c r="G355" s="27" t="n">
        <v>46027</v>
      </c>
      <c r="H355" s="27" t="n">
        <v>46027</v>
      </c>
      <c r="I355" s="27" t="n">
        <v>46020</v>
      </c>
      <c r="J355" s="27" t="n">
        <v>46024</v>
      </c>
      <c r="K355" t="inlineStr">
        <is>
          <t>Cartão de Crédito</t>
        </is>
      </c>
      <c r="L355" t="inlineStr">
        <is>
          <t>Custo Mercadoria Vendida</t>
        </is>
      </c>
      <c r="M355" t="inlineStr">
        <is>
          <t>Insumos - Alimentos</t>
        </is>
      </c>
      <c r="N355" t="inlineStr">
        <is>
          <t>37141</t>
        </is>
      </c>
      <c r="O355" t="inlineStr">
        <is>
          <t>Documentação Aprovada</t>
        </is>
      </c>
      <c r="P355" t="inlineStr">
        <is>
          <t>Aprovado Diretoria</t>
        </is>
      </c>
      <c r="Q355" t="inlineStr">
        <is>
          <t>Aprovado Caixa</t>
        </is>
      </c>
      <c r="R355" t="inlineStr">
        <is>
          <t>Pago</t>
        </is>
      </c>
      <c r="S355" t="n">
        <v>164</v>
      </c>
      <c r="T355" t="inlineStr">
        <is>
          <t>Bar Brahma Granja - FDB Filial - Kamino</t>
        </is>
      </c>
    </row>
    <row r="356">
      <c r="A356" t="n">
        <v>187452</v>
      </c>
      <c r="B356" t="n">
        <v>148</v>
      </c>
      <c r="C356" t="inlineStr">
        <is>
          <t>Bar Brahma - Granja</t>
        </is>
      </c>
      <c r="D356" t="inlineStr">
        <is>
          <t>PETTY CASH</t>
        </is>
      </c>
      <c r="E356" t="n">
        <v>65.8</v>
      </c>
      <c r="F356" s="27" t="n">
        <v>46027</v>
      </c>
      <c r="G356" s="27" t="n">
        <v>46027</v>
      </c>
      <c r="H356" s="27" t="n">
        <v>46027</v>
      </c>
      <c r="I356" s="27" t="n">
        <v>46013</v>
      </c>
      <c r="J356" s="27" t="n">
        <v>46024</v>
      </c>
      <c r="K356" t="inlineStr">
        <is>
          <t>Cartão de Crédito</t>
        </is>
      </c>
      <c r="L356" t="inlineStr">
        <is>
          <t>Custo Mercadoria Vendida</t>
        </is>
      </c>
      <c r="M356" t="inlineStr">
        <is>
          <t>Insumos - Alimentos</t>
        </is>
      </c>
      <c r="N356" t="inlineStr">
        <is>
          <t>53380</t>
        </is>
      </c>
      <c r="O356" t="inlineStr">
        <is>
          <t>Documentação Aprovada</t>
        </is>
      </c>
      <c r="P356" t="inlineStr">
        <is>
          <t>Aprovado Diretoria</t>
        </is>
      </c>
      <c r="Q356" t="inlineStr">
        <is>
          <t>Aprovado Caixa</t>
        </is>
      </c>
      <c r="R356" t="inlineStr">
        <is>
          <t>Pago</t>
        </is>
      </c>
      <c r="S356" t="n">
        <v>164</v>
      </c>
      <c r="T356" t="inlineStr">
        <is>
          <t>Bar Brahma Granja - FDB Filial - Kamino</t>
        </is>
      </c>
    </row>
    <row r="357">
      <c r="A357" t="n">
        <v>187449</v>
      </c>
      <c r="B357" t="n">
        <v>148</v>
      </c>
      <c r="C357" t="inlineStr">
        <is>
          <t>Bar Brahma - Granja</t>
        </is>
      </c>
      <c r="D357" t="inlineStr">
        <is>
          <t>PETTY CASH</t>
        </is>
      </c>
      <c r="E357" t="n">
        <v>19.98</v>
      </c>
      <c r="F357" s="27" t="n">
        <v>46027</v>
      </c>
      <c r="G357" s="27" t="n">
        <v>46027</v>
      </c>
      <c r="H357" s="27" t="n">
        <v>46027</v>
      </c>
      <c r="I357" s="27" t="n">
        <v>46012</v>
      </c>
      <c r="J357" s="27" t="n">
        <v>46024</v>
      </c>
      <c r="K357" t="inlineStr">
        <is>
          <t>Cartão de Crédito</t>
        </is>
      </c>
      <c r="L357" t="inlineStr">
        <is>
          <t>Custo Mercadoria Vendida</t>
        </is>
      </c>
      <c r="M357" t="inlineStr">
        <is>
          <t>Insumos - Alimentos</t>
        </is>
      </c>
      <c r="N357" t="inlineStr">
        <is>
          <t>35646</t>
        </is>
      </c>
      <c r="O357" t="inlineStr">
        <is>
          <t>Documentação Aprovada</t>
        </is>
      </c>
      <c r="P357" t="inlineStr">
        <is>
          <t>Aprovado Diretoria</t>
        </is>
      </c>
      <c r="Q357" t="inlineStr">
        <is>
          <t>Aprovado Caixa</t>
        </is>
      </c>
      <c r="R357" t="inlineStr">
        <is>
          <t>Pago</t>
        </is>
      </c>
      <c r="S357" t="n">
        <v>164</v>
      </c>
      <c r="T357" t="inlineStr">
        <is>
          <t>Bar Brahma Granja - FDB Filial - Kamino</t>
        </is>
      </c>
    </row>
    <row r="358">
      <c r="A358" t="n">
        <v>187447</v>
      </c>
      <c r="B358" t="n">
        <v>148</v>
      </c>
      <c r="C358" t="inlineStr">
        <is>
          <t>Bar Brahma - Granja</t>
        </is>
      </c>
      <c r="D358" t="inlineStr">
        <is>
          <t>PETTY CASH</t>
        </is>
      </c>
      <c r="E358" t="n">
        <v>12.98</v>
      </c>
      <c r="F358" s="27" t="n">
        <v>46027</v>
      </c>
      <c r="G358" s="27" t="n">
        <v>46027</v>
      </c>
      <c r="H358" s="27" t="n">
        <v>46027</v>
      </c>
      <c r="I358" s="27" t="n">
        <v>46012</v>
      </c>
      <c r="J358" s="27" t="n">
        <v>46024</v>
      </c>
      <c r="K358" t="inlineStr">
        <is>
          <t>Cartão de Crédito</t>
        </is>
      </c>
      <c r="L358" t="inlineStr">
        <is>
          <t>Custo Mercadoria Vendida</t>
        </is>
      </c>
      <c r="M358" t="inlineStr">
        <is>
          <t>Insumos - Alimentos</t>
        </is>
      </c>
      <c r="N358" t="inlineStr">
        <is>
          <t>303139</t>
        </is>
      </c>
      <c r="O358" t="inlineStr">
        <is>
          <t>Documentação Aprovada</t>
        </is>
      </c>
      <c r="P358" t="inlineStr">
        <is>
          <t>Aprovado Diretoria</t>
        </is>
      </c>
      <c r="Q358" t="inlineStr">
        <is>
          <t>Aprovado Caixa</t>
        </is>
      </c>
      <c r="R358" t="inlineStr">
        <is>
          <t>Pago</t>
        </is>
      </c>
      <c r="S358" t="n">
        <v>164</v>
      </c>
      <c r="T358" t="inlineStr">
        <is>
          <t>Bar Brahma Granja - FDB Filial - Kamino</t>
        </is>
      </c>
    </row>
    <row r="359">
      <c r="A359" t="n">
        <v>187457</v>
      </c>
      <c r="B359" t="n">
        <v>148</v>
      </c>
      <c r="C359" t="inlineStr">
        <is>
          <t>Bar Brahma - Granja</t>
        </is>
      </c>
      <c r="D359" t="inlineStr">
        <is>
          <t>PETTY CASH</t>
        </is>
      </c>
      <c r="E359" t="n">
        <v>99.5</v>
      </c>
      <c r="F359" s="27" t="n">
        <v>46027</v>
      </c>
      <c r="G359" s="27" t="n">
        <v>46027</v>
      </c>
      <c r="H359" s="27" t="n">
        <v>46027</v>
      </c>
      <c r="I359" s="27" t="n">
        <v>46014</v>
      </c>
      <c r="J359" s="27" t="n">
        <v>46024</v>
      </c>
      <c r="K359" t="inlineStr">
        <is>
          <t>Cartão de Crédito</t>
        </is>
      </c>
      <c r="L359" t="inlineStr">
        <is>
          <t>Custo Mercadoria Vendida</t>
        </is>
      </c>
      <c r="M359" t="inlineStr">
        <is>
          <t>Insumos - Alimentos</t>
        </is>
      </c>
      <c r="N359" t="inlineStr">
        <is>
          <t>22849</t>
        </is>
      </c>
      <c r="O359" t="inlineStr">
        <is>
          <t>Documentação Aprovada</t>
        </is>
      </c>
      <c r="P359" t="inlineStr">
        <is>
          <t>Aprovado Diretoria</t>
        </is>
      </c>
      <c r="Q359" t="inlineStr">
        <is>
          <t>Aprovado Caixa</t>
        </is>
      </c>
      <c r="R359" t="inlineStr">
        <is>
          <t>Pago</t>
        </is>
      </c>
      <c r="S359" t="n">
        <v>164</v>
      </c>
      <c r="T359" t="inlineStr">
        <is>
          <t>Bar Brahma Granja - FDB Filial - Kamino</t>
        </is>
      </c>
    </row>
    <row r="360">
      <c r="A360" t="n">
        <v>187445</v>
      </c>
      <c r="B360" t="n">
        <v>148</v>
      </c>
      <c r="C360" t="inlineStr">
        <is>
          <t>Bar Brahma - Granja</t>
        </is>
      </c>
      <c r="D360" t="inlineStr">
        <is>
          <t>PETTY CASH</t>
        </is>
      </c>
      <c r="E360" t="n">
        <v>11.35</v>
      </c>
      <c r="F360" s="27" t="n">
        <v>46027</v>
      </c>
      <c r="G360" s="27" t="n">
        <v>46027</v>
      </c>
      <c r="H360" s="27" t="n">
        <v>46027</v>
      </c>
      <c r="I360" s="27" t="n">
        <v>46012</v>
      </c>
      <c r="J360" s="27" t="n">
        <v>46024</v>
      </c>
      <c r="K360" t="inlineStr">
        <is>
          <t>Cartão de Crédito</t>
        </is>
      </c>
      <c r="L360" t="inlineStr">
        <is>
          <t>Custo Mercadoria Vendida</t>
        </is>
      </c>
      <c r="M360" t="inlineStr">
        <is>
          <t>Insumos - Alimentos</t>
        </is>
      </c>
      <c r="N360" t="inlineStr">
        <is>
          <t>303148</t>
        </is>
      </c>
      <c r="O360" t="inlineStr">
        <is>
          <t>Documentação Aprovada</t>
        </is>
      </c>
      <c r="P360" t="inlineStr">
        <is>
          <t>Aprovado Diretoria</t>
        </is>
      </c>
      <c r="Q360" t="inlineStr">
        <is>
          <t>Aprovado Caixa</t>
        </is>
      </c>
      <c r="R360" t="inlineStr">
        <is>
          <t>Pago</t>
        </is>
      </c>
      <c r="S360" t="n">
        <v>164</v>
      </c>
      <c r="T360" t="inlineStr">
        <is>
          <t>Bar Brahma Granja - FDB Filial - Kamino</t>
        </is>
      </c>
    </row>
    <row r="361">
      <c r="A361" t="n">
        <v>187441</v>
      </c>
      <c r="B361" t="n">
        <v>148</v>
      </c>
      <c r="C361" t="inlineStr">
        <is>
          <t>Bar Brahma - Granja</t>
        </is>
      </c>
      <c r="D361" t="inlineStr">
        <is>
          <t>PETTY CASH</t>
        </is>
      </c>
      <c r="E361" t="n">
        <v>7.47</v>
      </c>
      <c r="F361" s="27" t="n">
        <v>46027</v>
      </c>
      <c r="G361" s="27" t="n">
        <v>46027</v>
      </c>
      <c r="H361" s="27" t="n">
        <v>46027</v>
      </c>
      <c r="I361" s="27" t="n">
        <v>46018</v>
      </c>
      <c r="J361" s="27" t="n">
        <v>46024</v>
      </c>
      <c r="K361" t="inlineStr">
        <is>
          <t>Cartão de Crédito</t>
        </is>
      </c>
      <c r="L361" t="inlineStr">
        <is>
          <t>Utilidades</t>
        </is>
      </c>
      <c r="M361" t="inlineStr">
        <is>
          <t>Material de Escritorio</t>
        </is>
      </c>
      <c r="N361" t="inlineStr">
        <is>
          <t>304060</t>
        </is>
      </c>
      <c r="O361" t="inlineStr">
        <is>
          <t>Documentação Aprovada</t>
        </is>
      </c>
      <c r="P361" t="inlineStr">
        <is>
          <t>Aprovado Diretoria</t>
        </is>
      </c>
      <c r="Q361" t="inlineStr">
        <is>
          <t>Aprovado Caixa</t>
        </is>
      </c>
      <c r="R361" t="inlineStr">
        <is>
          <t>Pago</t>
        </is>
      </c>
      <c r="S361" t="n">
        <v>164</v>
      </c>
      <c r="T361" t="inlineStr">
        <is>
          <t>Bar Brahma Granja - FDB Filial - Kamino</t>
        </is>
      </c>
    </row>
    <row r="362">
      <c r="A362" t="n">
        <v>187439</v>
      </c>
      <c r="B362" t="n">
        <v>148</v>
      </c>
      <c r="C362" t="inlineStr">
        <is>
          <t>Bar Brahma - Granja</t>
        </is>
      </c>
      <c r="D362" t="inlineStr">
        <is>
          <t>PETTY CASH</t>
        </is>
      </c>
      <c r="E362" t="n">
        <v>47.18</v>
      </c>
      <c r="F362" s="27" t="n">
        <v>46027</v>
      </c>
      <c r="G362" s="27" t="n">
        <v>46027</v>
      </c>
      <c r="H362" s="27" t="n">
        <v>46027</v>
      </c>
      <c r="I362" s="27" t="n">
        <v>46017</v>
      </c>
      <c r="J362" s="27" t="n">
        <v>46024</v>
      </c>
      <c r="K362" t="inlineStr">
        <is>
          <t>Cartão de Crédito</t>
        </is>
      </c>
      <c r="L362" t="inlineStr">
        <is>
          <t>Utilidades</t>
        </is>
      </c>
      <c r="M362" t="inlineStr">
        <is>
          <t>Higiene e Limpeza</t>
        </is>
      </c>
      <c r="N362" t="inlineStr">
        <is>
          <t>191331</t>
        </is>
      </c>
      <c r="O362" t="inlineStr">
        <is>
          <t>Documentação Aprovada</t>
        </is>
      </c>
      <c r="P362" t="inlineStr">
        <is>
          <t>Aprovado Diretoria</t>
        </is>
      </c>
      <c r="Q362" t="inlineStr">
        <is>
          <t>Aprovado Caixa</t>
        </is>
      </c>
      <c r="R362" t="inlineStr">
        <is>
          <t>Pago</t>
        </is>
      </c>
      <c r="S362" t="n">
        <v>164</v>
      </c>
      <c r="T362" t="inlineStr">
        <is>
          <t>Bar Brahma Granja - FDB Filial - Kamino</t>
        </is>
      </c>
    </row>
    <row r="363">
      <c r="A363" t="n">
        <v>187461</v>
      </c>
      <c r="B363" t="n">
        <v>148</v>
      </c>
      <c r="C363" t="inlineStr">
        <is>
          <t>Bar Brahma - Granja</t>
        </is>
      </c>
      <c r="D363" t="inlineStr">
        <is>
          <t>PETTY CASH</t>
        </is>
      </c>
      <c r="E363" t="n">
        <v>62.02</v>
      </c>
      <c r="F363" s="27" t="n">
        <v>46027</v>
      </c>
      <c r="G363" s="27" t="n">
        <v>46027</v>
      </c>
      <c r="H363" s="27" t="n">
        <v>46027</v>
      </c>
      <c r="I363" s="27" t="n">
        <v>46012</v>
      </c>
      <c r="J363" s="27" t="n">
        <v>46024</v>
      </c>
      <c r="K363" t="inlineStr">
        <is>
          <t>Cartão de Crédito</t>
        </is>
      </c>
      <c r="L363" t="inlineStr">
        <is>
          <t>Despesas com Transporte / Hospedagem</t>
        </is>
      </c>
      <c r="M363" t="inlineStr">
        <is>
          <t>Conduções/Taxi/Uber</t>
        </is>
      </c>
      <c r="N363" t="inlineStr">
        <is>
          <t>6202122025</t>
        </is>
      </c>
      <c r="O363" t="inlineStr">
        <is>
          <t>Documentação Aprovada</t>
        </is>
      </c>
      <c r="P363" t="inlineStr">
        <is>
          <t>Aprovado Diretoria</t>
        </is>
      </c>
      <c r="Q363" t="inlineStr">
        <is>
          <t>Aprovado Caixa</t>
        </is>
      </c>
      <c r="R363" t="inlineStr">
        <is>
          <t>Pago</t>
        </is>
      </c>
      <c r="S363" t="n">
        <v>164</v>
      </c>
      <c r="T363" t="inlineStr">
        <is>
          <t>Bar Brahma Granja - FDB Filial - Kamino</t>
        </is>
      </c>
    </row>
    <row r="364">
      <c r="A364" t="n">
        <v>187436</v>
      </c>
      <c r="B364" t="n">
        <v>148</v>
      </c>
      <c r="C364" t="inlineStr">
        <is>
          <t>Bar Brahma - Granja</t>
        </is>
      </c>
      <c r="D364" t="inlineStr">
        <is>
          <t>PETTY CASH</t>
        </is>
      </c>
      <c r="E364" t="n">
        <v>33.43</v>
      </c>
      <c r="F364" s="27" t="n">
        <v>46027</v>
      </c>
      <c r="G364" s="27" t="n">
        <v>46027</v>
      </c>
      <c r="H364" s="27" t="n">
        <v>46027</v>
      </c>
      <c r="I364" s="27" t="n">
        <v>46012</v>
      </c>
      <c r="J364" s="27" t="n">
        <v>46024</v>
      </c>
      <c r="K364" t="inlineStr">
        <is>
          <t>Cartão de Crédito</t>
        </is>
      </c>
      <c r="L364" t="inlineStr">
        <is>
          <t>Despesas com Transporte / Hospedagem</t>
        </is>
      </c>
      <c r="M364" t="inlineStr">
        <is>
          <t>Conduções/Taxi/Uber</t>
        </is>
      </c>
      <c r="N364" t="inlineStr">
        <is>
          <t>3343122025</t>
        </is>
      </c>
      <c r="O364" t="inlineStr">
        <is>
          <t>Documentação Aprovada</t>
        </is>
      </c>
      <c r="P364" t="inlineStr">
        <is>
          <t>Aprovado Diretoria</t>
        </is>
      </c>
      <c r="Q364" t="inlineStr">
        <is>
          <t>Aprovado Caixa</t>
        </is>
      </c>
      <c r="R364" t="inlineStr">
        <is>
          <t>Pago</t>
        </is>
      </c>
      <c r="S364" t="n">
        <v>164</v>
      </c>
      <c r="T364" t="inlineStr">
        <is>
          <t>Bar Brahma Granja - FDB Filial - Kamino</t>
        </is>
      </c>
    </row>
    <row r="365">
      <c r="A365" t="n">
        <v>187463</v>
      </c>
      <c r="B365" t="n">
        <v>148</v>
      </c>
      <c r="C365" t="inlineStr">
        <is>
          <t>Bar Brahma - Granja</t>
        </is>
      </c>
      <c r="D365" t="inlineStr">
        <is>
          <t>PETTY CASH</t>
        </is>
      </c>
      <c r="E365" t="n">
        <v>23.94</v>
      </c>
      <c r="F365" s="27" t="n">
        <v>46027</v>
      </c>
      <c r="G365" s="27" t="n">
        <v>46027</v>
      </c>
      <c r="H365" s="27" t="n">
        <v>46027</v>
      </c>
      <c r="I365" s="27" t="n">
        <v>46019</v>
      </c>
      <c r="J365" s="27" t="n">
        <v>46024</v>
      </c>
      <c r="K365" t="inlineStr">
        <is>
          <t>Cartão de Crédito</t>
        </is>
      </c>
      <c r="L365" t="inlineStr">
        <is>
          <t>Despesas com Transporte / Hospedagem</t>
        </is>
      </c>
      <c r="M365" t="inlineStr">
        <is>
          <t>Conduções/Taxi/Uber</t>
        </is>
      </c>
      <c r="N365" t="inlineStr">
        <is>
          <t>2394122025</t>
        </is>
      </c>
      <c r="O365" t="inlineStr">
        <is>
          <t>Documentação Aprovada</t>
        </is>
      </c>
      <c r="P365" t="inlineStr">
        <is>
          <t>Aprovado Diretoria</t>
        </is>
      </c>
      <c r="Q365" t="inlineStr">
        <is>
          <t>Aprovado Caixa</t>
        </is>
      </c>
      <c r="R365" t="inlineStr">
        <is>
          <t>Pago</t>
        </is>
      </c>
      <c r="S365" t="n">
        <v>164</v>
      </c>
      <c r="T365" t="inlineStr">
        <is>
          <t>Bar Brahma Granja - FDB Filial - Kamino</t>
        </is>
      </c>
    </row>
    <row r="366">
      <c r="A366" t="n">
        <v>187465</v>
      </c>
      <c r="B366" t="n">
        <v>148</v>
      </c>
      <c r="C366" t="inlineStr">
        <is>
          <t>Bar Brahma - Granja</t>
        </is>
      </c>
      <c r="D366" t="inlineStr">
        <is>
          <t>PETTY CASH</t>
        </is>
      </c>
      <c r="E366" t="n">
        <v>23.91</v>
      </c>
      <c r="F366" s="27" t="n">
        <v>46027</v>
      </c>
      <c r="G366" s="27" t="n">
        <v>46027</v>
      </c>
      <c r="H366" s="27" t="n">
        <v>46027</v>
      </c>
      <c r="I366" s="27" t="n">
        <v>46018</v>
      </c>
      <c r="J366" s="27" t="n">
        <v>46024</v>
      </c>
      <c r="K366" t="inlineStr">
        <is>
          <t>Cartão de Crédito</t>
        </is>
      </c>
      <c r="L366" t="inlineStr">
        <is>
          <t>Despesas com Transporte / Hospedagem</t>
        </is>
      </c>
      <c r="M366" t="inlineStr">
        <is>
          <t>Conduções/Taxi/Uber</t>
        </is>
      </c>
      <c r="N366" t="inlineStr">
        <is>
          <t>2391122025</t>
        </is>
      </c>
      <c r="O366" t="inlineStr">
        <is>
          <t>Documentação Aprovada</t>
        </is>
      </c>
      <c r="P366" t="inlineStr">
        <is>
          <t>Aprovado Diretoria</t>
        </is>
      </c>
      <c r="Q366" t="inlineStr">
        <is>
          <t>Aprovado Caixa</t>
        </is>
      </c>
      <c r="R366" t="inlineStr">
        <is>
          <t>Pago</t>
        </is>
      </c>
      <c r="S366" t="n">
        <v>164</v>
      </c>
      <c r="T366" t="inlineStr">
        <is>
          <t>Bar Brahma Granja - FDB Filial - Kamino</t>
        </is>
      </c>
    </row>
    <row r="367">
      <c r="A367" t="n">
        <v>185285</v>
      </c>
      <c r="B367" t="n">
        <v>148</v>
      </c>
      <c r="C367" t="inlineStr">
        <is>
          <t>Bar Brahma - Granja</t>
        </is>
      </c>
      <c r="D367" t="inlineStr">
        <is>
          <t>PETTY CASH</t>
        </is>
      </c>
      <c r="E367" t="n">
        <v>87.14</v>
      </c>
      <c r="F367" s="27" t="n">
        <v>46027</v>
      </c>
      <c r="G367" s="27" t="n">
        <v>46027</v>
      </c>
      <c r="H367" s="27" t="n">
        <v>46027</v>
      </c>
      <c r="I367" s="27" t="n">
        <v>45997</v>
      </c>
      <c r="J367" s="27" t="n">
        <v>46013</v>
      </c>
      <c r="K367" t="inlineStr">
        <is>
          <t>Cartão de Crédito</t>
        </is>
      </c>
      <c r="L367" t="inlineStr">
        <is>
          <t>Despesas com Transporte / Hospedagem</t>
        </is>
      </c>
      <c r="M367" t="inlineStr">
        <is>
          <t>Conduções/Taxi/Uber</t>
        </is>
      </c>
      <c r="N367" t="inlineStr">
        <is>
          <t>871412025</t>
        </is>
      </c>
      <c r="O367" t="inlineStr">
        <is>
          <t>Documentação Aprovada</t>
        </is>
      </c>
      <c r="P367" t="inlineStr">
        <is>
          <t>Aprovado Diretoria</t>
        </is>
      </c>
      <c r="Q367" t="inlineStr">
        <is>
          <t>Aprovado Caixa</t>
        </is>
      </c>
      <c r="R367" t="inlineStr">
        <is>
          <t>Pago</t>
        </is>
      </c>
      <c r="S367" t="n">
        <v>164</v>
      </c>
      <c r="T367" t="inlineStr">
        <is>
          <t>Bar Brahma Granja - FDB Filial - Kamino</t>
        </is>
      </c>
    </row>
    <row r="368">
      <c r="A368" t="n">
        <v>185869</v>
      </c>
      <c r="B368" t="n">
        <v>148</v>
      </c>
      <c r="C368" t="inlineStr">
        <is>
          <t>Bar Brahma - Granja</t>
        </is>
      </c>
      <c r="D368" t="inlineStr">
        <is>
          <t>PSSS LTDA</t>
        </is>
      </c>
      <c r="E368" t="n">
        <v>1193.76</v>
      </c>
      <c r="F368" s="27" t="n">
        <v>46025</v>
      </c>
      <c r="G368" s="27" t="n">
        <v>46027</v>
      </c>
      <c r="H368" s="27" t="n">
        <v>46027</v>
      </c>
      <c r="I368" s="27" t="n">
        <v>46008</v>
      </c>
      <c r="J368" s="27" t="n">
        <v>46015</v>
      </c>
      <c r="K368" t="inlineStr">
        <is>
          <t>Boleto Bancário</t>
        </is>
      </c>
      <c r="L368" t="inlineStr">
        <is>
          <t>Utilidades</t>
        </is>
      </c>
      <c r="M368" t="inlineStr">
        <is>
          <t>Higiene e Limpeza</t>
        </is>
      </c>
      <c r="N368" t="inlineStr">
        <is>
          <t>2823</t>
        </is>
      </c>
      <c r="O368" t="inlineStr">
        <is>
          <t>Documentação Aprovada</t>
        </is>
      </c>
      <c r="P368" t="inlineStr">
        <is>
          <t>Aprovado Diretoria</t>
        </is>
      </c>
      <c r="Q368" t="inlineStr">
        <is>
          <t>Aprovado Caixa</t>
        </is>
      </c>
      <c r="R368" t="inlineStr">
        <is>
          <t>Pago</t>
        </is>
      </c>
      <c r="S368" t="n">
        <v>164</v>
      </c>
      <c r="T368" t="inlineStr">
        <is>
          <t>Bar Brahma Granja - FDB Filial - Kamino</t>
        </is>
      </c>
    </row>
    <row r="369">
      <c r="A369" t="n">
        <v>183550</v>
      </c>
      <c r="B369" t="n">
        <v>148</v>
      </c>
      <c r="C369" t="inlineStr">
        <is>
          <t>Bar Brahma - Granja</t>
        </is>
      </c>
      <c r="D369" t="inlineStr">
        <is>
          <t>PETTY CASH</t>
        </is>
      </c>
      <c r="E369" t="n">
        <v>21.98</v>
      </c>
      <c r="F369" s="27" t="n">
        <v>46027</v>
      </c>
      <c r="G369" s="27" t="n">
        <v>46027</v>
      </c>
      <c r="H369" s="27" t="n">
        <v>46027</v>
      </c>
      <c r="I369" s="27" t="n">
        <v>46002</v>
      </c>
      <c r="J369" s="27" t="n">
        <v>46007</v>
      </c>
      <c r="K369" t="inlineStr">
        <is>
          <t>Cartão de Crédito</t>
        </is>
      </c>
      <c r="L369" t="inlineStr">
        <is>
          <t>Manutenção</t>
        </is>
      </c>
      <c r="M369" t="inlineStr">
        <is>
          <t>Material de Manutenção</t>
        </is>
      </c>
      <c r="N369" t="inlineStr">
        <is>
          <t>314880</t>
        </is>
      </c>
      <c r="O369" t="inlineStr">
        <is>
          <t>Documentação Aprovada</t>
        </is>
      </c>
      <c r="P369" t="inlineStr">
        <is>
          <t>Aprovado Diretoria</t>
        </is>
      </c>
      <c r="Q369" t="inlineStr">
        <is>
          <t>Aprovado Caixa</t>
        </is>
      </c>
      <c r="R369" t="inlineStr">
        <is>
          <t>Pago</t>
        </is>
      </c>
      <c r="S369" t="n">
        <v>164</v>
      </c>
      <c r="T369" t="inlineStr">
        <is>
          <t>Bar Brahma Granja - FDB Filial - Kamino</t>
        </is>
      </c>
    </row>
    <row r="370">
      <c r="A370" t="n">
        <v>183552</v>
      </c>
      <c r="B370" t="n">
        <v>148</v>
      </c>
      <c r="C370" t="inlineStr">
        <is>
          <t>Bar Brahma - Granja</t>
        </is>
      </c>
      <c r="D370" t="inlineStr">
        <is>
          <t>PETTY CASH</t>
        </is>
      </c>
      <c r="E370" t="n">
        <v>54.46</v>
      </c>
      <c r="F370" s="27" t="n">
        <v>46027</v>
      </c>
      <c r="G370" s="27" t="n">
        <v>46027</v>
      </c>
      <c r="H370" s="27" t="n">
        <v>46027</v>
      </c>
      <c r="I370" s="27" t="n">
        <v>46005</v>
      </c>
      <c r="J370" s="27" t="n">
        <v>46007</v>
      </c>
      <c r="K370" t="inlineStr">
        <is>
          <t>Cartão de Crédito</t>
        </is>
      </c>
      <c r="L370" t="inlineStr">
        <is>
          <t>Custo Mercadoria Vendida</t>
        </is>
      </c>
      <c r="M370" t="inlineStr">
        <is>
          <t>Insumos - Alimentos</t>
        </is>
      </c>
      <c r="N370" t="inlineStr">
        <is>
          <t>51084</t>
        </is>
      </c>
      <c r="O370" t="inlineStr">
        <is>
          <t>Documentação Aprovada</t>
        </is>
      </c>
      <c r="P370" t="inlineStr">
        <is>
          <t>Aprovado Diretoria</t>
        </is>
      </c>
      <c r="Q370" t="inlineStr">
        <is>
          <t>Aprovado Caixa</t>
        </is>
      </c>
      <c r="R370" t="inlineStr">
        <is>
          <t>Pago</t>
        </is>
      </c>
      <c r="S370" t="n">
        <v>164</v>
      </c>
      <c r="T370" t="inlineStr">
        <is>
          <t>Bar Brahma Granja - FDB Filial - Kamino</t>
        </is>
      </c>
    </row>
    <row r="371">
      <c r="A371" t="n">
        <v>183555</v>
      </c>
      <c r="B371" t="n">
        <v>148</v>
      </c>
      <c r="C371" t="inlineStr">
        <is>
          <t>Bar Brahma - Granja</t>
        </is>
      </c>
      <c r="D371" t="inlineStr">
        <is>
          <t>PETTY CASH</t>
        </is>
      </c>
      <c r="E371" t="n">
        <v>78.42</v>
      </c>
      <c r="F371" s="27" t="n">
        <v>46027</v>
      </c>
      <c r="G371" s="27" t="n">
        <v>46027</v>
      </c>
      <c r="H371" s="27" t="n">
        <v>46027</v>
      </c>
      <c r="I371" s="27" t="n">
        <v>45996</v>
      </c>
      <c r="J371" s="27" t="n">
        <v>46007</v>
      </c>
      <c r="K371" t="inlineStr">
        <is>
          <t>Cartão de Crédito</t>
        </is>
      </c>
      <c r="L371" t="inlineStr">
        <is>
          <t>Custo Mercadoria Vendida</t>
        </is>
      </c>
      <c r="M371" t="inlineStr">
        <is>
          <t>Insumos - Alimentos</t>
        </is>
      </c>
      <c r="N371" t="inlineStr">
        <is>
          <t>48280</t>
        </is>
      </c>
      <c r="O371" t="inlineStr">
        <is>
          <t>Documentação Aprovada</t>
        </is>
      </c>
      <c r="P371" t="inlineStr">
        <is>
          <t>Aprovado Diretoria</t>
        </is>
      </c>
      <c r="Q371" t="inlineStr">
        <is>
          <t>Aprovado Caixa</t>
        </is>
      </c>
      <c r="R371" t="inlineStr">
        <is>
          <t>Pago</t>
        </is>
      </c>
      <c r="S371" t="n">
        <v>164</v>
      </c>
      <c r="T371" t="inlineStr">
        <is>
          <t>Bar Brahma Granja - FDB Filial - Kamino</t>
        </is>
      </c>
    </row>
    <row r="372">
      <c r="A372" t="n">
        <v>183556</v>
      </c>
      <c r="B372" t="n">
        <v>148</v>
      </c>
      <c r="C372" t="inlineStr">
        <is>
          <t>Bar Brahma - Granja</t>
        </is>
      </c>
      <c r="D372" t="inlineStr">
        <is>
          <t>PETTY CASH</t>
        </is>
      </c>
      <c r="E372" t="n">
        <v>79.08</v>
      </c>
      <c r="F372" s="27" t="n">
        <v>46027</v>
      </c>
      <c r="G372" s="27" t="n">
        <v>46027</v>
      </c>
      <c r="H372" s="27" t="n">
        <v>46027</v>
      </c>
      <c r="I372" s="27" t="n">
        <v>45997</v>
      </c>
      <c r="J372" s="27" t="n">
        <v>46007</v>
      </c>
      <c r="K372" t="inlineStr">
        <is>
          <t>Cartão de Crédito</t>
        </is>
      </c>
      <c r="L372" t="inlineStr">
        <is>
          <t>Custo Mercadoria Vendida</t>
        </is>
      </c>
      <c r="M372" t="inlineStr">
        <is>
          <t>Insumos - Alimentos</t>
        </is>
      </c>
      <c r="N372" t="inlineStr">
        <is>
          <t>34025</t>
        </is>
      </c>
      <c r="O372" t="inlineStr">
        <is>
          <t>Documentação Aprovada</t>
        </is>
      </c>
      <c r="P372" t="inlineStr">
        <is>
          <t>Aprovado Diretoria</t>
        </is>
      </c>
      <c r="Q372" t="inlineStr">
        <is>
          <t>Aprovado Caixa</t>
        </is>
      </c>
      <c r="R372" t="inlineStr">
        <is>
          <t>Pago</t>
        </is>
      </c>
      <c r="S372" t="n">
        <v>164</v>
      </c>
      <c r="T372" t="inlineStr">
        <is>
          <t>Bar Brahma Granja - FDB Filial - Kamino</t>
        </is>
      </c>
    </row>
    <row r="373">
      <c r="A373" t="n">
        <v>183553</v>
      </c>
      <c r="B373" t="n">
        <v>148</v>
      </c>
      <c r="C373" t="inlineStr">
        <is>
          <t>Bar Brahma - Granja</t>
        </is>
      </c>
      <c r="D373" t="inlineStr">
        <is>
          <t>PETTY CASH</t>
        </is>
      </c>
      <c r="E373" t="n">
        <v>10.93</v>
      </c>
      <c r="F373" s="27" t="n">
        <v>46027</v>
      </c>
      <c r="G373" s="27" t="n">
        <v>46027</v>
      </c>
      <c r="H373" s="27" t="n">
        <v>46027</v>
      </c>
      <c r="I373" s="27" t="n">
        <v>46002</v>
      </c>
      <c r="J373" s="27" t="n">
        <v>46007</v>
      </c>
      <c r="K373" t="inlineStr">
        <is>
          <t>Cartão de Crédito</t>
        </is>
      </c>
      <c r="L373" t="inlineStr">
        <is>
          <t>Custo Mercadoria Vendida</t>
        </is>
      </c>
      <c r="M373" t="inlineStr">
        <is>
          <t>Insumos - Alimentos</t>
        </is>
      </c>
      <c r="N373" t="inlineStr">
        <is>
          <t>54307</t>
        </is>
      </c>
      <c r="O373" t="inlineStr">
        <is>
          <t>Documentação Aprovada</t>
        </is>
      </c>
      <c r="P373" t="inlineStr">
        <is>
          <t>Aprovado Diretoria</t>
        </is>
      </c>
      <c r="Q373" t="inlineStr">
        <is>
          <t>Aprovado Caixa</t>
        </is>
      </c>
      <c r="R373" t="inlineStr">
        <is>
          <t>Pago</t>
        </is>
      </c>
      <c r="S373" t="n">
        <v>164</v>
      </c>
      <c r="T373" t="inlineStr">
        <is>
          <t>Bar Brahma Granja - FDB Filial - Kamino</t>
        </is>
      </c>
    </row>
    <row r="374">
      <c r="A374" t="n">
        <v>183517</v>
      </c>
      <c r="B374" t="n">
        <v>148</v>
      </c>
      <c r="C374" t="inlineStr">
        <is>
          <t>Bar Brahma - Granja</t>
        </is>
      </c>
      <c r="D374" t="inlineStr">
        <is>
          <t>PETTY CASH</t>
        </is>
      </c>
      <c r="E374" t="n">
        <v>49.89</v>
      </c>
      <c r="F374" s="27" t="n">
        <v>46027</v>
      </c>
      <c r="G374" s="27" t="n">
        <v>46027</v>
      </c>
      <c r="H374" s="27" t="n">
        <v>46027</v>
      </c>
      <c r="I374" s="27" t="n">
        <v>46003</v>
      </c>
      <c r="J374" s="27" t="n">
        <v>46007</v>
      </c>
      <c r="K374" t="inlineStr">
        <is>
          <t>Cartão de Crédito</t>
        </is>
      </c>
      <c r="L374" t="inlineStr">
        <is>
          <t>Utilidades</t>
        </is>
      </c>
      <c r="M374" t="inlineStr">
        <is>
          <t>Material de Escritorio</t>
        </is>
      </c>
      <c r="N374" t="inlineStr">
        <is>
          <t>102038</t>
        </is>
      </c>
      <c r="O374" t="inlineStr">
        <is>
          <t>Documentação Aprovada</t>
        </is>
      </c>
      <c r="P374" t="inlineStr">
        <is>
          <t>Aprovado Diretoria</t>
        </is>
      </c>
      <c r="Q374" t="inlineStr">
        <is>
          <t>Aprovado Caixa</t>
        </is>
      </c>
      <c r="R374" t="inlineStr">
        <is>
          <t>Pago</t>
        </is>
      </c>
      <c r="S374" t="n">
        <v>164</v>
      </c>
      <c r="T374" t="inlineStr">
        <is>
          <t>Bar Brahma Granja - FDB Filial - Kamino</t>
        </is>
      </c>
    </row>
    <row r="375">
      <c r="A375" t="n">
        <v>183516</v>
      </c>
      <c r="B375" t="n">
        <v>148</v>
      </c>
      <c r="C375" t="inlineStr">
        <is>
          <t>Bar Brahma - Granja</t>
        </is>
      </c>
      <c r="D375" t="inlineStr">
        <is>
          <t>PETTY CASH</t>
        </is>
      </c>
      <c r="E375" t="n">
        <v>147.38</v>
      </c>
      <c r="F375" s="27" t="n">
        <v>46027</v>
      </c>
      <c r="G375" s="27" t="n">
        <v>46027</v>
      </c>
      <c r="H375" s="27" t="n">
        <v>46027</v>
      </c>
      <c r="I375" s="27" t="n">
        <v>46006</v>
      </c>
      <c r="J375" s="27" t="n">
        <v>46007</v>
      </c>
      <c r="K375" t="inlineStr">
        <is>
          <t>Cartão de Crédito</t>
        </is>
      </c>
      <c r="L375" t="inlineStr">
        <is>
          <t>Utilidades</t>
        </is>
      </c>
      <c r="M375" t="inlineStr">
        <is>
          <t>Higiene e Limpeza</t>
        </is>
      </c>
      <c r="N375" t="inlineStr">
        <is>
          <t>11985</t>
        </is>
      </c>
      <c r="O375" t="inlineStr">
        <is>
          <t>Documentação Aprovada</t>
        </is>
      </c>
      <c r="P375" t="inlineStr">
        <is>
          <t>Aprovado Diretoria</t>
        </is>
      </c>
      <c r="Q375" t="inlineStr">
        <is>
          <t>Aprovado Caixa</t>
        </is>
      </c>
      <c r="R375" t="inlineStr">
        <is>
          <t>Pago</t>
        </is>
      </c>
      <c r="S375" t="n">
        <v>164</v>
      </c>
      <c r="T375" t="inlineStr">
        <is>
          <t>Bar Brahma Granja - FDB Filial - Kamino</t>
        </is>
      </c>
    </row>
    <row r="376">
      <c r="A376" t="n">
        <v>183514</v>
      </c>
      <c r="B376" t="n">
        <v>148</v>
      </c>
      <c r="C376" t="inlineStr">
        <is>
          <t>Bar Brahma - Granja</t>
        </is>
      </c>
      <c r="D376" t="inlineStr">
        <is>
          <t>PETTY CASH</t>
        </is>
      </c>
      <c r="E376" t="n">
        <v>79.81</v>
      </c>
      <c r="F376" s="27" t="n">
        <v>46027</v>
      </c>
      <c r="G376" s="27" t="n">
        <v>46027</v>
      </c>
      <c r="H376" s="27" t="n">
        <v>46027</v>
      </c>
      <c r="I376" s="27" t="n">
        <v>46003</v>
      </c>
      <c r="J376" s="27" t="n">
        <v>46007</v>
      </c>
      <c r="K376" t="inlineStr">
        <is>
          <t>Cartão de Crédito</t>
        </is>
      </c>
      <c r="L376" t="inlineStr">
        <is>
          <t>Utilidades</t>
        </is>
      </c>
      <c r="M376" t="inlineStr">
        <is>
          <t>Material de Escritorio</t>
        </is>
      </c>
      <c r="N376" t="inlineStr">
        <is>
          <t>230927</t>
        </is>
      </c>
      <c r="O376" t="inlineStr">
        <is>
          <t>Documentação Aprovada</t>
        </is>
      </c>
      <c r="P376" t="inlineStr">
        <is>
          <t>Aprovado Diretoria</t>
        </is>
      </c>
      <c r="Q376" t="inlineStr">
        <is>
          <t>Aprovado Caixa</t>
        </is>
      </c>
      <c r="R376" t="inlineStr">
        <is>
          <t>Pago</t>
        </is>
      </c>
      <c r="S376" t="n">
        <v>164</v>
      </c>
      <c r="T376" t="inlineStr">
        <is>
          <t>Bar Brahma Granja - FDB Filial - Kamino</t>
        </is>
      </c>
    </row>
    <row r="377">
      <c r="A377" t="n">
        <v>183510</v>
      </c>
      <c r="B377" t="n">
        <v>148</v>
      </c>
      <c r="C377" t="inlineStr">
        <is>
          <t>Bar Brahma - Granja</t>
        </is>
      </c>
      <c r="D377" t="inlineStr">
        <is>
          <t>PETTY CASH</t>
        </is>
      </c>
      <c r="E377" t="n">
        <v>100</v>
      </c>
      <c r="F377" s="27" t="n">
        <v>46027</v>
      </c>
      <c r="G377" s="27" t="n">
        <v>46027</v>
      </c>
      <c r="H377" s="27" t="n">
        <v>46027</v>
      </c>
      <c r="I377" s="27" t="n">
        <v>46002</v>
      </c>
      <c r="J377" s="27" t="n">
        <v>46007</v>
      </c>
      <c r="K377" t="inlineStr">
        <is>
          <t>Cartão de Crédito</t>
        </is>
      </c>
      <c r="L377" t="inlineStr">
        <is>
          <t>Utilidades</t>
        </is>
      </c>
      <c r="M377" t="inlineStr">
        <is>
          <t>Material de Escritorio</t>
        </is>
      </c>
      <c r="N377" t="inlineStr">
        <is>
          <t>2000010506484427</t>
        </is>
      </c>
      <c r="O377" t="inlineStr">
        <is>
          <t>Documentação Aprovada</t>
        </is>
      </c>
      <c r="P377" t="inlineStr">
        <is>
          <t>Aprovado Diretoria</t>
        </is>
      </c>
      <c r="Q377" t="inlineStr">
        <is>
          <t>Aprovado Caixa</t>
        </is>
      </c>
      <c r="R377" t="inlineStr">
        <is>
          <t>Pago</t>
        </is>
      </c>
      <c r="S377" t="n">
        <v>164</v>
      </c>
      <c r="T377" t="inlineStr">
        <is>
          <t>Bar Brahma Granja - FDB Filial - Kamino</t>
        </is>
      </c>
    </row>
    <row r="378">
      <c r="A378" t="n">
        <v>183554</v>
      </c>
      <c r="B378" t="n">
        <v>148</v>
      </c>
      <c r="C378" t="inlineStr">
        <is>
          <t>Bar Brahma - Granja</t>
        </is>
      </c>
      <c r="D378" t="inlineStr">
        <is>
          <t>PETTY CASH</t>
        </is>
      </c>
      <c r="E378" t="n">
        <v>29.98</v>
      </c>
      <c r="F378" s="27" t="n">
        <v>46027</v>
      </c>
      <c r="G378" s="27" t="n">
        <v>46027</v>
      </c>
      <c r="H378" s="27" t="n">
        <v>46027</v>
      </c>
      <c r="I378" s="27" t="n">
        <v>46001</v>
      </c>
      <c r="J378" s="27" t="n">
        <v>46007</v>
      </c>
      <c r="K378" t="inlineStr">
        <is>
          <t>Cartão de Crédito</t>
        </is>
      </c>
      <c r="L378" t="inlineStr">
        <is>
          <t>Custo Mercadoria Vendida</t>
        </is>
      </c>
      <c r="M378" t="inlineStr">
        <is>
          <t>Insumos - Alimentos</t>
        </is>
      </c>
      <c r="N378" t="inlineStr">
        <is>
          <t>34357</t>
        </is>
      </c>
      <c r="O378" t="inlineStr">
        <is>
          <t>Documentação Aprovada</t>
        </is>
      </c>
      <c r="P378" t="inlineStr">
        <is>
          <t>Aprovado Diretoria</t>
        </is>
      </c>
      <c r="Q378" t="inlineStr">
        <is>
          <t>Aprovado Caixa</t>
        </is>
      </c>
      <c r="R378" t="inlineStr">
        <is>
          <t>Pago</t>
        </is>
      </c>
      <c r="S378" t="n">
        <v>164</v>
      </c>
      <c r="T378" t="inlineStr">
        <is>
          <t>Bar Brahma Granja - FDB Filial - Kamino</t>
        </is>
      </c>
    </row>
    <row r="379">
      <c r="A379" t="n">
        <v>183557</v>
      </c>
      <c r="B379" t="n">
        <v>148</v>
      </c>
      <c r="C379" t="inlineStr">
        <is>
          <t>Bar Brahma - Granja</t>
        </is>
      </c>
      <c r="D379" t="inlineStr">
        <is>
          <t>PETTY CASH</t>
        </is>
      </c>
      <c r="E379" t="n">
        <v>13.9</v>
      </c>
      <c r="F379" s="27" t="n">
        <v>46027</v>
      </c>
      <c r="G379" s="27" t="n">
        <v>46027</v>
      </c>
      <c r="H379" s="27" t="n">
        <v>46027</v>
      </c>
      <c r="I379" s="27" t="n">
        <v>45998</v>
      </c>
      <c r="J379" s="27" t="n">
        <v>46007</v>
      </c>
      <c r="K379" t="inlineStr">
        <is>
          <t>Cartão de Crédito</t>
        </is>
      </c>
      <c r="L379" t="inlineStr">
        <is>
          <t>Custo Mercadoria Vendida</t>
        </is>
      </c>
      <c r="M379" t="inlineStr">
        <is>
          <t>Insumos - Alimentos</t>
        </is>
      </c>
      <c r="N379" t="inlineStr">
        <is>
          <t>34200</t>
        </is>
      </c>
      <c r="O379" t="inlineStr">
        <is>
          <t>Documentação Aprovada</t>
        </is>
      </c>
      <c r="P379" t="inlineStr">
        <is>
          <t>Aprovado Diretoria</t>
        </is>
      </c>
      <c r="Q379" t="inlineStr">
        <is>
          <t>Aprovado Caixa</t>
        </is>
      </c>
      <c r="R379" t="inlineStr">
        <is>
          <t>Pago</t>
        </is>
      </c>
      <c r="S379" t="n">
        <v>164</v>
      </c>
      <c r="T379" t="inlineStr">
        <is>
          <t>Bar Brahma Granja - FDB Filial - Kamino</t>
        </is>
      </c>
    </row>
    <row r="380">
      <c r="A380" t="n">
        <v>183559</v>
      </c>
      <c r="B380" t="n">
        <v>148</v>
      </c>
      <c r="C380" t="inlineStr">
        <is>
          <t>Bar Brahma - Granja</t>
        </is>
      </c>
      <c r="D380" t="inlineStr">
        <is>
          <t>PETTY CASH</t>
        </is>
      </c>
      <c r="E380" t="n">
        <v>30.78</v>
      </c>
      <c r="F380" s="27" t="n">
        <v>46027</v>
      </c>
      <c r="G380" s="27" t="n">
        <v>46027</v>
      </c>
      <c r="H380" s="27" t="n">
        <v>46027</v>
      </c>
      <c r="I380" s="27" t="n">
        <v>45999</v>
      </c>
      <c r="J380" s="27" t="n">
        <v>46007</v>
      </c>
      <c r="K380" t="inlineStr">
        <is>
          <t>Cartão de Crédito</t>
        </is>
      </c>
      <c r="L380" t="inlineStr">
        <is>
          <t>Custo Mercadoria Vendida</t>
        </is>
      </c>
      <c r="M380" t="inlineStr">
        <is>
          <t>Insumos - Alimentos</t>
        </is>
      </c>
      <c r="N380" t="inlineStr">
        <is>
          <t>53505</t>
        </is>
      </c>
      <c r="O380" t="inlineStr">
        <is>
          <t>Documentação Aprovada</t>
        </is>
      </c>
      <c r="P380" t="inlineStr">
        <is>
          <t>Aprovado Diretoria</t>
        </is>
      </c>
      <c r="Q380" t="inlineStr">
        <is>
          <t>Aprovado Caixa</t>
        </is>
      </c>
      <c r="R380" t="inlineStr">
        <is>
          <t>Pago</t>
        </is>
      </c>
      <c r="S380" t="n">
        <v>164</v>
      </c>
      <c r="T380" t="inlineStr">
        <is>
          <t>Bar Brahma Granja - FDB Filial - Kamino</t>
        </is>
      </c>
    </row>
    <row r="381">
      <c r="A381" t="n">
        <v>183215</v>
      </c>
      <c r="B381" t="n">
        <v>148</v>
      </c>
      <c r="C381" t="inlineStr">
        <is>
          <t>Bar Brahma - Granja</t>
        </is>
      </c>
      <c r="D381" t="inlineStr">
        <is>
          <t>MARIO PEDRO FELICIANO - HORTIFRUTI</t>
        </is>
      </c>
      <c r="E381" t="n">
        <v>143.81</v>
      </c>
      <c r="F381" s="27" t="n">
        <v>46025</v>
      </c>
      <c r="G381" s="27" t="n">
        <v>46027</v>
      </c>
      <c r="H381" s="27" t="n">
        <v>46027</v>
      </c>
      <c r="I381" s="27" t="n">
        <v>45997</v>
      </c>
      <c r="J381" s="27" t="n">
        <v>46006</v>
      </c>
      <c r="K381" t="inlineStr">
        <is>
          <t>Boleto Bancário</t>
        </is>
      </c>
      <c r="L381" t="inlineStr">
        <is>
          <t>Custo Mercadoria Vendida</t>
        </is>
      </c>
      <c r="M381" t="inlineStr">
        <is>
          <t>Insumos - Alimentos</t>
        </is>
      </c>
      <c r="N381" t="inlineStr">
        <is>
          <t>461041</t>
        </is>
      </c>
      <c r="O381" t="inlineStr">
        <is>
          <t>Documentação Aprovada</t>
        </is>
      </c>
      <c r="P381" t="inlineStr">
        <is>
          <t>Aprovado Diretoria</t>
        </is>
      </c>
      <c r="Q381" t="inlineStr">
        <is>
          <t>Aprovado Caixa</t>
        </is>
      </c>
      <c r="R381" t="inlineStr">
        <is>
          <t>Pago</t>
        </is>
      </c>
      <c r="S381" t="n">
        <v>164</v>
      </c>
      <c r="T381" t="inlineStr">
        <is>
          <t>Bar Brahma Granja - FDB Filial - Kamino</t>
        </is>
      </c>
    </row>
    <row r="382">
      <c r="A382" t="n">
        <v>183566</v>
      </c>
      <c r="B382" t="n">
        <v>148</v>
      </c>
      <c r="C382" t="inlineStr">
        <is>
          <t>Bar Brahma - Granja</t>
        </is>
      </c>
      <c r="D382" t="inlineStr">
        <is>
          <t>PETTY CASH</t>
        </is>
      </c>
      <c r="E382" t="n">
        <v>37.96</v>
      </c>
      <c r="F382" s="27" t="n">
        <v>46027</v>
      </c>
      <c r="G382" s="27" t="n">
        <v>46027</v>
      </c>
      <c r="H382" s="27" t="n">
        <v>46027</v>
      </c>
      <c r="I382" s="27" t="n">
        <v>45996</v>
      </c>
      <c r="J382" s="27" t="n">
        <v>46007</v>
      </c>
      <c r="K382" t="inlineStr">
        <is>
          <t>Cartão de Crédito</t>
        </is>
      </c>
      <c r="L382" t="inlineStr">
        <is>
          <t>Utilidades</t>
        </is>
      </c>
      <c r="M382" t="inlineStr">
        <is>
          <t>Material de Escritorio</t>
        </is>
      </c>
      <c r="N382" t="inlineStr">
        <is>
          <t>314300</t>
        </is>
      </c>
      <c r="O382" t="inlineStr">
        <is>
          <t>Documentação Aprovada</t>
        </is>
      </c>
      <c r="P382" t="inlineStr">
        <is>
          <t>Aprovado Diretoria</t>
        </is>
      </c>
      <c r="Q382" t="inlineStr">
        <is>
          <t>Aprovado Caixa</t>
        </is>
      </c>
      <c r="R382" t="inlineStr">
        <is>
          <t>Pago</t>
        </is>
      </c>
      <c r="S382" t="n">
        <v>164</v>
      </c>
      <c r="T382" t="inlineStr">
        <is>
          <t>Bar Brahma Granja - FDB Filial - Kamino</t>
        </is>
      </c>
    </row>
    <row r="383">
      <c r="A383" t="n">
        <v>183205</v>
      </c>
      <c r="B383" t="n">
        <v>148</v>
      </c>
      <c r="C383" t="inlineStr">
        <is>
          <t>Bar Brahma - Granja</t>
        </is>
      </c>
      <c r="D383" t="inlineStr">
        <is>
          <t>HORTA NOVA DISTRIBUIDORA DE HORTIFRUTI LTDA</t>
        </is>
      </c>
      <c r="E383" t="n">
        <v>180.64</v>
      </c>
      <c r="F383" s="27" t="n">
        <v>46026</v>
      </c>
      <c r="G383" s="27" t="n">
        <v>46027</v>
      </c>
      <c r="H383" s="27" t="n">
        <v>46027</v>
      </c>
      <c r="I383" s="27" t="n">
        <v>45996</v>
      </c>
      <c r="J383" s="27" t="n">
        <v>46006</v>
      </c>
      <c r="K383" t="inlineStr">
        <is>
          <t>Boleto Bancário</t>
        </is>
      </c>
      <c r="L383" t="inlineStr">
        <is>
          <t>Custo Mercadoria Vendida</t>
        </is>
      </c>
      <c r="M383" t="inlineStr">
        <is>
          <t>Insumos - Alimentos</t>
        </is>
      </c>
      <c r="N383" t="inlineStr">
        <is>
          <t>7790</t>
        </is>
      </c>
      <c r="O383" t="inlineStr">
        <is>
          <t>Documentação Aprovada</t>
        </is>
      </c>
      <c r="P383" t="inlineStr">
        <is>
          <t>Aprovado Diretoria</t>
        </is>
      </c>
      <c r="Q383" t="inlineStr">
        <is>
          <t>Aprovado Caixa</t>
        </is>
      </c>
      <c r="R383" t="inlineStr">
        <is>
          <t>Pago</t>
        </is>
      </c>
      <c r="S383" t="n">
        <v>164</v>
      </c>
      <c r="T383" t="inlineStr">
        <is>
          <t>Bar Brahma Granja - FDB Filial - Kamino</t>
        </is>
      </c>
    </row>
    <row r="384">
      <c r="A384" t="n">
        <v>183223</v>
      </c>
      <c r="B384" t="n">
        <v>148</v>
      </c>
      <c r="C384" t="inlineStr">
        <is>
          <t>Bar Brahma - Granja</t>
        </is>
      </c>
      <c r="D384" t="inlineStr">
        <is>
          <t>CECILIA TSUYACO ARAKI SILVA LTDA</t>
        </is>
      </c>
      <c r="E384" t="n">
        <v>233.15</v>
      </c>
      <c r="F384" s="27" t="n">
        <v>46027</v>
      </c>
      <c r="G384" s="27" t="n">
        <v>46027</v>
      </c>
      <c r="H384" s="27" t="n">
        <v>46027</v>
      </c>
      <c r="I384" s="27" t="n">
        <v>45999</v>
      </c>
      <c r="J384" s="27" t="n">
        <v>46006</v>
      </c>
      <c r="K384" t="inlineStr">
        <is>
          <t>Boleto Bancário</t>
        </is>
      </c>
      <c r="L384" t="inlineStr">
        <is>
          <t>Custo Mercadoria Vendida</t>
        </is>
      </c>
      <c r="M384" t="inlineStr">
        <is>
          <t>Insumos - Alimentos</t>
        </is>
      </c>
      <c r="N384" t="inlineStr">
        <is>
          <t>383194</t>
        </is>
      </c>
      <c r="O384" t="inlineStr">
        <is>
          <t>Documentação Aprovada</t>
        </is>
      </c>
      <c r="P384" t="inlineStr">
        <is>
          <t>Aprovado Diretoria</t>
        </is>
      </c>
      <c r="Q384" t="inlineStr">
        <is>
          <t>Aprovado Caixa</t>
        </is>
      </c>
      <c r="R384" t="inlineStr">
        <is>
          <t>Pago</t>
        </is>
      </c>
      <c r="S384" t="n">
        <v>164</v>
      </c>
      <c r="T384" t="inlineStr">
        <is>
          <t>Bar Brahma Granja - FDB Filial - Kamino</t>
        </is>
      </c>
    </row>
    <row r="385">
      <c r="A385" t="n">
        <v>183224</v>
      </c>
      <c r="B385" t="n">
        <v>148</v>
      </c>
      <c r="C385" t="inlineStr">
        <is>
          <t>Bar Brahma - Granja</t>
        </is>
      </c>
      <c r="D385" t="inlineStr">
        <is>
          <t>MARIO PEDRO FELICIANO - HORTIFRUTI</t>
        </is>
      </c>
      <c r="E385" t="n">
        <v>215.36</v>
      </c>
      <c r="F385" s="27" t="n">
        <v>46027</v>
      </c>
      <c r="G385" s="27" t="n">
        <v>46027</v>
      </c>
      <c r="H385" s="27" t="n">
        <v>46027</v>
      </c>
      <c r="I385" s="27" t="n">
        <v>45999</v>
      </c>
      <c r="J385" s="27" t="n">
        <v>46006</v>
      </c>
      <c r="K385" t="inlineStr">
        <is>
          <t>Boleto Bancário</t>
        </is>
      </c>
      <c r="L385" t="inlineStr">
        <is>
          <t>Custo Mercadoria Vendida</t>
        </is>
      </c>
      <c r="M385" t="inlineStr">
        <is>
          <t>Insumos - Alimentos</t>
        </is>
      </c>
      <c r="N385" t="inlineStr">
        <is>
          <t>461224</t>
        </is>
      </c>
      <c r="O385" t="inlineStr">
        <is>
          <t>Documentação Aprovada</t>
        </is>
      </c>
      <c r="P385" t="inlineStr">
        <is>
          <t>Aprovado Diretoria</t>
        </is>
      </c>
      <c r="Q385" t="inlineStr">
        <is>
          <t>Aprovado Caixa</t>
        </is>
      </c>
      <c r="R385" t="inlineStr">
        <is>
          <t>Pago</t>
        </is>
      </c>
      <c r="S385" t="n">
        <v>164</v>
      </c>
      <c r="T385" t="inlineStr">
        <is>
          <t>Bar Brahma Granja - FDB Filial - Kamino</t>
        </is>
      </c>
    </row>
    <row r="386">
      <c r="A386" t="n">
        <v>183226</v>
      </c>
      <c r="B386" t="n">
        <v>148</v>
      </c>
      <c r="C386" t="inlineStr">
        <is>
          <t>Bar Brahma - Granja</t>
        </is>
      </c>
      <c r="D386" t="inlineStr">
        <is>
          <t>CEPEL COMERCIO DE PAPEIS E EMBALAGENS LTDA</t>
        </is>
      </c>
      <c r="E386" t="n">
        <v>380</v>
      </c>
      <c r="F386" s="27" t="n">
        <v>46027</v>
      </c>
      <c r="G386" s="27" t="n">
        <v>46027</v>
      </c>
      <c r="H386" s="27" t="n">
        <v>46027</v>
      </c>
      <c r="I386" s="27" t="n">
        <v>45999</v>
      </c>
      <c r="J386" s="27" t="n">
        <v>46006</v>
      </c>
      <c r="K386" t="inlineStr">
        <is>
          <t>Boleto Bancário</t>
        </is>
      </c>
      <c r="L386" t="inlineStr">
        <is>
          <t>Utilidades</t>
        </is>
      </c>
      <c r="M386" t="inlineStr">
        <is>
          <t>Higiene e Limpeza</t>
        </is>
      </c>
      <c r="N386" t="inlineStr">
        <is>
          <t>254669</t>
        </is>
      </c>
      <c r="O386" t="inlineStr">
        <is>
          <t>Documentação Aprovada</t>
        </is>
      </c>
      <c r="P386" t="inlineStr">
        <is>
          <t>Aprovado Diretoria</t>
        </is>
      </c>
      <c r="Q386" t="inlineStr">
        <is>
          <t>Aprovado Caixa</t>
        </is>
      </c>
      <c r="R386" t="inlineStr">
        <is>
          <t>Pago</t>
        </is>
      </c>
      <c r="S386" t="n">
        <v>164</v>
      </c>
      <c r="T386" t="inlineStr">
        <is>
          <t>Bar Brahma Granja - FDB Filial - Kamino</t>
        </is>
      </c>
    </row>
    <row r="387">
      <c r="A387" t="n">
        <v>183569</v>
      </c>
      <c r="B387" t="n">
        <v>148</v>
      </c>
      <c r="C387" t="inlineStr">
        <is>
          <t>Bar Brahma - Granja</t>
        </is>
      </c>
      <c r="D387" t="inlineStr">
        <is>
          <t>PETTY CASH</t>
        </is>
      </c>
      <c r="E387" t="n">
        <v>46.97</v>
      </c>
      <c r="F387" s="27" t="n">
        <v>46027</v>
      </c>
      <c r="G387" s="27" t="n">
        <v>46027</v>
      </c>
      <c r="H387" s="27" t="n">
        <v>46027</v>
      </c>
      <c r="I387" s="27" t="n">
        <v>45995</v>
      </c>
      <c r="J387" s="27" t="n">
        <v>46007</v>
      </c>
      <c r="K387" t="inlineStr">
        <is>
          <t>Cartão de Crédito</t>
        </is>
      </c>
      <c r="L387" t="inlineStr">
        <is>
          <t>Utilidades</t>
        </is>
      </c>
      <c r="M387" t="inlineStr">
        <is>
          <t>Higiene e Limpeza</t>
        </is>
      </c>
      <c r="N387" t="inlineStr">
        <is>
          <t>52209</t>
        </is>
      </c>
      <c r="O387" t="inlineStr">
        <is>
          <t>Documentação Aprovada</t>
        </is>
      </c>
      <c r="P387" t="inlineStr">
        <is>
          <t>Aprovado Diretoria</t>
        </is>
      </c>
      <c r="Q387" t="inlineStr">
        <is>
          <t>Aprovado Caixa</t>
        </is>
      </c>
      <c r="R387" t="inlineStr">
        <is>
          <t>Pago</t>
        </is>
      </c>
      <c r="S387" t="n">
        <v>164</v>
      </c>
      <c r="T387" t="inlineStr">
        <is>
          <t>Bar Brahma Granja - FDB Filial - Kamino</t>
        </is>
      </c>
    </row>
    <row r="388">
      <c r="A388" t="n">
        <v>183015</v>
      </c>
      <c r="B388" t="n">
        <v>148</v>
      </c>
      <c r="C388" t="inlineStr">
        <is>
          <t>Bar Brahma - Granja</t>
        </is>
      </c>
      <c r="D388" t="inlineStr">
        <is>
          <t>DEOLINDA DOS SANTOS FREITAS</t>
        </is>
      </c>
      <c r="E388" t="n">
        <v>675.42</v>
      </c>
      <c r="F388" s="27" t="n">
        <v>46027</v>
      </c>
      <c r="G388" s="27" t="n">
        <v>46027</v>
      </c>
      <c r="H388" s="27" t="n">
        <v>46027</v>
      </c>
      <c r="I388" s="27" t="n">
        <v>45993</v>
      </c>
      <c r="J388" s="27" t="n">
        <v>46003</v>
      </c>
      <c r="K388" t="inlineStr">
        <is>
          <t>Boleto Bancário</t>
        </is>
      </c>
      <c r="L388" t="inlineStr">
        <is>
          <t>Utilidades</t>
        </is>
      </c>
      <c r="M388" t="inlineStr">
        <is>
          <t>Higiene e Limpeza</t>
        </is>
      </c>
      <c r="N388" t="inlineStr">
        <is>
          <t>2320</t>
        </is>
      </c>
      <c r="O388" t="inlineStr">
        <is>
          <t>Documentação Aprovada</t>
        </is>
      </c>
      <c r="P388" t="inlineStr">
        <is>
          <t>Aprovado Diretoria</t>
        </is>
      </c>
      <c r="Q388" t="inlineStr">
        <is>
          <t>Aprovado Caixa</t>
        </is>
      </c>
      <c r="R388" t="inlineStr">
        <is>
          <t>Pago</t>
        </is>
      </c>
      <c r="S388" t="n">
        <v>164</v>
      </c>
      <c r="T388" t="inlineStr">
        <is>
          <t>Bar Brahma Granja - FDB Filial - Kamino</t>
        </is>
      </c>
    </row>
    <row r="389">
      <c r="A389" t="n">
        <v>183055</v>
      </c>
      <c r="B389" t="n">
        <v>148</v>
      </c>
      <c r="C389" t="inlineStr">
        <is>
          <t>Bar Brahma - Granja</t>
        </is>
      </c>
      <c r="D389" t="inlineStr">
        <is>
          <t>AMBEV S. A. - CDD SAO PAULO</t>
        </is>
      </c>
      <c r="E389" t="n">
        <v>4827.95</v>
      </c>
      <c r="F389" s="27" t="n">
        <v>46027</v>
      </c>
      <c r="G389" s="27" t="n">
        <v>46027</v>
      </c>
      <c r="H389" s="27" t="n">
        <v>46027</v>
      </c>
      <c r="I389" s="27" t="n">
        <v>45996</v>
      </c>
      <c r="J389" s="27" t="n">
        <v>46003</v>
      </c>
      <c r="K389" t="inlineStr">
        <is>
          <t>Boleto Bancário</t>
        </is>
      </c>
      <c r="L389" t="inlineStr">
        <is>
          <t>Custo Mercadoria Vendida</t>
        </is>
      </c>
      <c r="M389" t="inlineStr">
        <is>
          <t>Insumos - Bebidas</t>
        </is>
      </c>
      <c r="N389" t="inlineStr">
        <is>
          <t>964152</t>
        </is>
      </c>
      <c r="O389" t="inlineStr">
        <is>
          <t>Documentação Aprovada</t>
        </is>
      </c>
      <c r="P389" t="inlineStr">
        <is>
          <t>Aprovado Diretoria</t>
        </is>
      </c>
      <c r="Q389" t="inlineStr">
        <is>
          <t>Aprovado Caixa</t>
        </is>
      </c>
      <c r="R389" t="inlineStr">
        <is>
          <t>Pago</t>
        </is>
      </c>
      <c r="S389" t="n">
        <v>164</v>
      </c>
      <c r="T389" t="inlineStr">
        <is>
          <t>Bar Brahma Granja - FDB Filial - Kamino</t>
        </is>
      </c>
    </row>
    <row r="390">
      <c r="A390" t="n">
        <v>183053</v>
      </c>
      <c r="B390" t="n">
        <v>148</v>
      </c>
      <c r="C390" t="inlineStr">
        <is>
          <t>Bar Brahma - Granja</t>
        </is>
      </c>
      <c r="D390" t="inlineStr">
        <is>
          <t>AMBEV S. A. - CDD SAO PAULO</t>
        </is>
      </c>
      <c r="E390" t="n">
        <v>2414</v>
      </c>
      <c r="F390" s="27" t="n">
        <v>46027</v>
      </c>
      <c r="G390" s="27" t="n">
        <v>46027</v>
      </c>
      <c r="H390" s="27" t="n">
        <v>46027</v>
      </c>
      <c r="I390" s="27" t="n">
        <v>45996</v>
      </c>
      <c r="J390" s="27" t="n">
        <v>46003</v>
      </c>
      <c r="K390" t="inlineStr">
        <is>
          <t>Boleto Bancário</t>
        </is>
      </c>
      <c r="L390" t="inlineStr">
        <is>
          <t>Custo Mercadoria Vendida</t>
        </is>
      </c>
      <c r="M390" t="inlineStr">
        <is>
          <t>Insumos - Bebidas</t>
        </is>
      </c>
      <c r="N390" t="inlineStr">
        <is>
          <t>964153</t>
        </is>
      </c>
      <c r="O390" t="inlineStr">
        <is>
          <t>Documentação Aprovada</t>
        </is>
      </c>
      <c r="P390" t="inlineStr">
        <is>
          <t>Aprovado Diretoria</t>
        </is>
      </c>
      <c r="Q390" t="inlineStr">
        <is>
          <t>Aprovado Caixa</t>
        </is>
      </c>
      <c r="R390" t="inlineStr">
        <is>
          <t>Pago</t>
        </is>
      </c>
      <c r="S390" t="n">
        <v>164</v>
      </c>
      <c r="T390" t="inlineStr">
        <is>
          <t>Bar Brahma Granja - FDB Filial - Kamino</t>
        </is>
      </c>
    </row>
    <row r="391">
      <c r="A391" t="n">
        <v>183029</v>
      </c>
      <c r="B391" t="n">
        <v>148</v>
      </c>
      <c r="C391" t="inlineStr">
        <is>
          <t>Bar Brahma - Granja</t>
        </is>
      </c>
      <c r="D391" t="inlineStr">
        <is>
          <t>ANDREIA SANTOS FREITAS DUARTE</t>
        </is>
      </c>
      <c r="E391" t="n">
        <v>297.07</v>
      </c>
      <c r="F391" s="27" t="n">
        <v>46027</v>
      </c>
      <c r="G391" s="27" t="n">
        <v>46027</v>
      </c>
      <c r="H391" s="27" t="n">
        <v>46027</v>
      </c>
      <c r="I391" s="27" t="n">
        <v>45993</v>
      </c>
      <c r="J391" s="27" t="n">
        <v>46003</v>
      </c>
      <c r="K391" t="inlineStr">
        <is>
          <t>Boleto Bancário</t>
        </is>
      </c>
      <c r="L391" t="inlineStr">
        <is>
          <t>Custo Mercadoria Vendida</t>
        </is>
      </c>
      <c r="M391" t="inlineStr">
        <is>
          <t>Insumos - Alimentos</t>
        </is>
      </c>
      <c r="N391" t="inlineStr">
        <is>
          <t>2285</t>
        </is>
      </c>
      <c r="O391" t="inlineStr">
        <is>
          <t>Documentação Aprovada</t>
        </is>
      </c>
      <c r="P391" t="inlineStr">
        <is>
          <t>Aprovado Diretoria</t>
        </is>
      </c>
      <c r="Q391" t="inlineStr">
        <is>
          <t>Aprovado Caixa</t>
        </is>
      </c>
      <c r="R391" t="inlineStr">
        <is>
          <t>Pago</t>
        </is>
      </c>
      <c r="S391" t="n">
        <v>164</v>
      </c>
      <c r="T391" t="inlineStr">
        <is>
          <t>Bar Brahma Granja - FDB Filial - Kamino</t>
        </is>
      </c>
    </row>
    <row r="392">
      <c r="A392" t="n">
        <v>183052</v>
      </c>
      <c r="B392" t="n">
        <v>148</v>
      </c>
      <c r="C392" t="inlineStr">
        <is>
          <t>Bar Brahma - Granja</t>
        </is>
      </c>
      <c r="D392" t="inlineStr">
        <is>
          <t>AMBEV S. A. - CDD SAO PAULO</t>
        </is>
      </c>
      <c r="E392" t="n">
        <v>2415.55</v>
      </c>
      <c r="F392" s="27" t="n">
        <v>46027</v>
      </c>
      <c r="G392" s="27" t="n">
        <v>46027</v>
      </c>
      <c r="H392" s="27" t="n">
        <v>46027</v>
      </c>
      <c r="I392" s="27" t="n">
        <v>45996</v>
      </c>
      <c r="J392" s="27" t="n">
        <v>46003</v>
      </c>
      <c r="K392" t="inlineStr">
        <is>
          <t>Boleto Bancário</t>
        </is>
      </c>
      <c r="L392" t="inlineStr">
        <is>
          <t>Custo Mercadoria Vendida</t>
        </is>
      </c>
      <c r="M392" t="inlineStr">
        <is>
          <t>Insumos - Bebidas</t>
        </is>
      </c>
      <c r="N392" t="inlineStr">
        <is>
          <t>964151</t>
        </is>
      </c>
      <c r="O392" t="inlineStr">
        <is>
          <t>Documentação Aprovada</t>
        </is>
      </c>
      <c r="P392" t="inlineStr">
        <is>
          <t>Aprovado Diretoria</t>
        </is>
      </c>
      <c r="Q392" t="inlineStr">
        <is>
          <t>Aprovado Caixa</t>
        </is>
      </c>
      <c r="R392" t="inlineStr">
        <is>
          <t>Pago</t>
        </is>
      </c>
      <c r="S392" t="n">
        <v>164</v>
      </c>
      <c r="T392" t="inlineStr">
        <is>
          <t>Bar Brahma Granja - FDB Filial - Kamino</t>
        </is>
      </c>
    </row>
    <row r="393">
      <c r="A393" t="n">
        <v>101908</v>
      </c>
      <c r="B393" t="n">
        <v>148</v>
      </c>
      <c r="C393" t="inlineStr">
        <is>
          <t>Bar Brahma - Granja</t>
        </is>
      </c>
      <c r="D393" t="inlineStr">
        <is>
          <t>HEADCHEF SEGURANCA DOS ALIM E GARANTIA D</t>
        </is>
      </c>
      <c r="E393" t="n">
        <v>2545.89</v>
      </c>
      <c r="F393" s="27" t="n">
        <v>46027</v>
      </c>
      <c r="G393" s="27" t="n">
        <v>46027</v>
      </c>
      <c r="H393" s="27" t="n">
        <v>46027</v>
      </c>
      <c r="I393" s="27" t="n">
        <v>46021</v>
      </c>
      <c r="J393" s="27" t="n"/>
      <c r="K393" t="inlineStr">
        <is>
          <t>Boleto Bancário</t>
        </is>
      </c>
      <c r="L393" t="inlineStr">
        <is>
          <t>Serviços de Terceiros</t>
        </is>
      </c>
      <c r="M393" t="inlineStr">
        <is>
          <t>Assessoria em Geral</t>
        </is>
      </c>
      <c r="N393" t="inlineStr">
        <is>
          <t>1809</t>
        </is>
      </c>
      <c r="O393" t="inlineStr">
        <is>
          <t>Documentação Aprovada</t>
        </is>
      </c>
      <c r="P393" t="inlineStr">
        <is>
          <t>Aprovado Diretoria</t>
        </is>
      </c>
      <c r="Q393" t="inlineStr">
        <is>
          <t>Aprovado Caixa</t>
        </is>
      </c>
      <c r="R393" t="inlineStr">
        <is>
          <t>Pago</t>
        </is>
      </c>
      <c r="S393" t="n">
        <v>164</v>
      </c>
      <c r="T393" t="inlineStr">
        <is>
          <t>Bar Brahma Granja - FDB Filial - Kamino</t>
        </is>
      </c>
    </row>
    <row r="394">
      <c r="A394" t="n">
        <v>183019</v>
      </c>
      <c r="B394" t="n">
        <v>148</v>
      </c>
      <c r="C394" t="inlineStr">
        <is>
          <t>Bar Brahma - Granja</t>
        </is>
      </c>
      <c r="D394" t="inlineStr">
        <is>
          <t>AMBEV S. A. - CDD SAO PAULO</t>
        </is>
      </c>
      <c r="E394" t="n">
        <v>2853.77</v>
      </c>
      <c r="F394" s="27" t="n">
        <v>46024</v>
      </c>
      <c r="G394" s="27" t="n">
        <v>46024</v>
      </c>
      <c r="H394" s="27" t="n">
        <v>46024</v>
      </c>
      <c r="I394" s="27" t="n">
        <v>45992</v>
      </c>
      <c r="J394" s="27" t="n">
        <v>46003</v>
      </c>
      <c r="K394" t="inlineStr">
        <is>
          <t>Boleto Bancário</t>
        </is>
      </c>
      <c r="L394" t="inlineStr">
        <is>
          <t>Custo Mercadoria Vendida</t>
        </is>
      </c>
      <c r="M394" t="inlineStr">
        <is>
          <t>Insumos - Bebidas</t>
        </is>
      </c>
      <c r="N394" t="inlineStr">
        <is>
          <t>958897</t>
        </is>
      </c>
      <c r="O394" t="inlineStr">
        <is>
          <t>Documentação Aprovada</t>
        </is>
      </c>
      <c r="P394" t="inlineStr">
        <is>
          <t>Aprovado Diretoria</t>
        </is>
      </c>
      <c r="Q394" t="inlineStr">
        <is>
          <t>Aprovado Caixa</t>
        </is>
      </c>
      <c r="R394" t="inlineStr">
        <is>
          <t>Pago</t>
        </is>
      </c>
      <c r="S394" t="n">
        <v>164</v>
      </c>
      <c r="T394" t="inlineStr">
        <is>
          <t>Bar Brahma Granja - FDB Filial - Kamino</t>
        </is>
      </c>
    </row>
    <row r="395">
      <c r="A395" t="n">
        <v>183033</v>
      </c>
      <c r="B395" t="n">
        <v>148</v>
      </c>
      <c r="C395" t="inlineStr">
        <is>
          <t>Bar Brahma - Granja</t>
        </is>
      </c>
      <c r="D395" t="inlineStr">
        <is>
          <t>MARIO PEDRO FELICIANO - HORTIFRUTI</t>
        </is>
      </c>
      <c r="E395" t="n">
        <v>231.54</v>
      </c>
      <c r="F395" s="27" t="n">
        <v>46023</v>
      </c>
      <c r="G395" s="27" t="n">
        <v>46024</v>
      </c>
      <c r="H395" s="27" t="n">
        <v>46024</v>
      </c>
      <c r="I395" s="27" t="n">
        <v>45995</v>
      </c>
      <c r="J395" s="27" t="n">
        <v>46003</v>
      </c>
      <c r="K395" t="inlineStr">
        <is>
          <t>Boleto Bancário</t>
        </is>
      </c>
      <c r="L395" t="inlineStr">
        <is>
          <t>Custo Mercadoria Vendida</t>
        </is>
      </c>
      <c r="M395" t="inlineStr">
        <is>
          <t>Insumos - Alimentos</t>
        </is>
      </c>
      <c r="N395" t="inlineStr">
        <is>
          <t>460807</t>
        </is>
      </c>
      <c r="O395" t="inlineStr">
        <is>
          <t>Documentação Aprovada</t>
        </is>
      </c>
      <c r="P395" t="inlineStr">
        <is>
          <t>Aprovado Diretoria</t>
        </is>
      </c>
      <c r="Q395" t="inlineStr">
        <is>
          <t>Aprovado Caixa</t>
        </is>
      </c>
      <c r="R395" t="inlineStr">
        <is>
          <t>Pago</t>
        </is>
      </c>
      <c r="S395" t="n">
        <v>164</v>
      </c>
      <c r="T395" t="inlineStr">
        <is>
          <t>Bar Brahma Granja - FDB Filial - Kamino</t>
        </is>
      </c>
    </row>
    <row r="396">
      <c r="A396" t="n">
        <v>183027</v>
      </c>
      <c r="B396" t="n">
        <v>148</v>
      </c>
      <c r="C396" t="inlineStr">
        <is>
          <t>Bar Brahma - Granja</t>
        </is>
      </c>
      <c r="D396" t="inlineStr">
        <is>
          <t>CECILIA TSUYACO ARAKI SILVA LTDA</t>
        </is>
      </c>
      <c r="E396" t="n">
        <v>362.9</v>
      </c>
      <c r="F396" s="27" t="n">
        <v>46023</v>
      </c>
      <c r="G396" s="27" t="n">
        <v>46024</v>
      </c>
      <c r="H396" s="27" t="n">
        <v>46024</v>
      </c>
      <c r="I396" s="27" t="n">
        <v>45995</v>
      </c>
      <c r="J396" s="27" t="n">
        <v>46003</v>
      </c>
      <c r="K396" t="inlineStr">
        <is>
          <t>Boleto Bancário</t>
        </is>
      </c>
      <c r="L396" t="inlineStr">
        <is>
          <t>Custo Mercadoria Vendida</t>
        </is>
      </c>
      <c r="M396" t="inlineStr">
        <is>
          <t>Insumos - Alimentos</t>
        </is>
      </c>
      <c r="N396" t="inlineStr">
        <is>
          <t>382986</t>
        </is>
      </c>
      <c r="O396" t="inlineStr">
        <is>
          <t>Documentação Aprovada</t>
        </is>
      </c>
      <c r="P396" t="inlineStr">
        <is>
          <t>Aprovado Diretoria</t>
        </is>
      </c>
      <c r="Q396" t="inlineStr">
        <is>
          <t>Aprovado Caixa</t>
        </is>
      </c>
      <c r="R396" t="inlineStr">
        <is>
          <t>Pago</t>
        </is>
      </c>
      <c r="S396" t="n">
        <v>164</v>
      </c>
      <c r="T396" t="inlineStr">
        <is>
          <t>Bar Brahma Granja - FDB Filial - Kamino</t>
        </is>
      </c>
    </row>
    <row r="397">
      <c r="A397" t="n">
        <v>183022</v>
      </c>
      <c r="B397" t="n">
        <v>148</v>
      </c>
      <c r="C397" t="inlineStr">
        <is>
          <t>Bar Brahma - Granja</t>
        </is>
      </c>
      <c r="D397" t="inlineStr">
        <is>
          <t>HORTA NOVA DISTRIBUIDORA DE HORTIFRUTI LTDA</t>
        </is>
      </c>
      <c r="E397" t="n">
        <v>125.32</v>
      </c>
      <c r="F397" s="27" t="n">
        <v>46024</v>
      </c>
      <c r="G397" s="27" t="n">
        <v>46024</v>
      </c>
      <c r="H397" s="27" t="n">
        <v>46024</v>
      </c>
      <c r="I397" s="27" t="n">
        <v>45994</v>
      </c>
      <c r="J397" s="27" t="n">
        <v>46003</v>
      </c>
      <c r="K397" t="inlineStr">
        <is>
          <t>Boleto Bancário</t>
        </is>
      </c>
      <c r="L397" t="inlineStr">
        <is>
          <t>Custo Mercadoria Vendida</t>
        </is>
      </c>
      <c r="M397" t="inlineStr">
        <is>
          <t>Insumos - Alimentos</t>
        </is>
      </c>
      <c r="N397" t="inlineStr">
        <is>
          <t>7702</t>
        </is>
      </c>
      <c r="O397" t="inlineStr">
        <is>
          <t>Documentação Aprovada</t>
        </is>
      </c>
      <c r="P397" t="inlineStr">
        <is>
          <t>Aprovado Diretoria</t>
        </is>
      </c>
      <c r="Q397" t="inlineStr">
        <is>
          <t>Aprovado Caixa</t>
        </is>
      </c>
      <c r="R397" t="inlineStr">
        <is>
          <t>Pago</t>
        </is>
      </c>
      <c r="S397" t="n">
        <v>164</v>
      </c>
      <c r="T397" t="inlineStr">
        <is>
          <t>Bar Brahma Granja - FDB Filial - Kamino</t>
        </is>
      </c>
    </row>
    <row r="398">
      <c r="A398" t="n">
        <v>183020</v>
      </c>
      <c r="B398" t="n">
        <v>148</v>
      </c>
      <c r="C398" t="inlineStr">
        <is>
          <t>Bar Brahma - Granja</t>
        </is>
      </c>
      <c r="D398" t="inlineStr">
        <is>
          <t>AMBEV S. A. - CDD SAO PAULO</t>
        </is>
      </c>
      <c r="E398" t="n">
        <v>919.55</v>
      </c>
      <c r="F398" s="27" t="n">
        <v>46024</v>
      </c>
      <c r="G398" s="27" t="n">
        <v>46024</v>
      </c>
      <c r="H398" s="27" t="n">
        <v>46024</v>
      </c>
      <c r="I398" s="27" t="n">
        <v>45992</v>
      </c>
      <c r="J398" s="27" t="n">
        <v>46003</v>
      </c>
      <c r="K398" t="inlineStr">
        <is>
          <t>Boleto Bancário</t>
        </is>
      </c>
      <c r="L398" t="inlineStr">
        <is>
          <t>Custo Mercadoria Vendida</t>
        </is>
      </c>
      <c r="M398" t="inlineStr">
        <is>
          <t>Insumos - Bebidas</t>
        </is>
      </c>
      <c r="N398" t="inlineStr">
        <is>
          <t>958896</t>
        </is>
      </c>
      <c r="O398" t="inlineStr">
        <is>
          <t>Documentação Aprovada</t>
        </is>
      </c>
      <c r="P398" t="inlineStr">
        <is>
          <t>Aprovado Diretoria</t>
        </is>
      </c>
      <c r="Q398" t="inlineStr">
        <is>
          <t>Aprovado Caixa</t>
        </is>
      </c>
      <c r="R398" t="inlineStr">
        <is>
          <t>Pago</t>
        </is>
      </c>
      <c r="S398" t="n">
        <v>164</v>
      </c>
      <c r="T398" t="inlineStr">
        <is>
          <t>Bar Brahma Granja - FDB Filial - Kamino</t>
        </is>
      </c>
    </row>
    <row r="399">
      <c r="A399" t="n">
        <v>182987</v>
      </c>
      <c r="B399" t="n">
        <v>148</v>
      </c>
      <c r="C399" t="inlineStr">
        <is>
          <t>Bar Brahma - Granja</t>
        </is>
      </c>
      <c r="D399" t="inlineStr">
        <is>
          <t>EMPORIO M&amp;L COMERCIO DE ALIM E BEBIDAS LTDA</t>
        </is>
      </c>
      <c r="E399" t="n">
        <v>937.01</v>
      </c>
      <c r="F399" s="27" t="n">
        <v>46024</v>
      </c>
      <c r="G399" s="27" t="n">
        <v>46024</v>
      </c>
      <c r="H399" s="27" t="n">
        <v>46024</v>
      </c>
      <c r="I399" s="27" t="n">
        <v>45993</v>
      </c>
      <c r="J399" s="27" t="n">
        <v>46003</v>
      </c>
      <c r="K399" t="inlineStr">
        <is>
          <t>Boleto Bancário</t>
        </is>
      </c>
      <c r="L399" t="inlineStr">
        <is>
          <t>Custo Mercadoria Vendida</t>
        </is>
      </c>
      <c r="M399" t="inlineStr">
        <is>
          <t>Insumos - Alimentos</t>
        </is>
      </c>
      <c r="N399" t="inlineStr">
        <is>
          <t>484436</t>
        </is>
      </c>
      <c r="O399" t="inlineStr">
        <is>
          <t>Documentação Aprovada</t>
        </is>
      </c>
      <c r="P399" t="inlineStr">
        <is>
          <t>Aprovado Diretoria</t>
        </is>
      </c>
      <c r="Q399" t="inlineStr">
        <is>
          <t>Aprovado Caixa</t>
        </is>
      </c>
      <c r="R399" t="inlineStr">
        <is>
          <t>Pago</t>
        </is>
      </c>
      <c r="S399" t="n">
        <v>164</v>
      </c>
      <c r="T399" t="inlineStr">
        <is>
          <t>Bar Brahma Granja - FDB Filial - Kamino</t>
        </is>
      </c>
    </row>
    <row r="400">
      <c r="A400" t="n">
        <v>182969</v>
      </c>
      <c r="B400" t="n">
        <v>148</v>
      </c>
      <c r="C400" t="inlineStr">
        <is>
          <t>Bar Brahma - Granja</t>
        </is>
      </c>
      <c r="D400" t="inlineStr">
        <is>
          <t>HORTA NOVA DISTRIBUIDORA DE HORTIFRUTI LTDA</t>
        </is>
      </c>
      <c r="E400" t="n">
        <v>181.78</v>
      </c>
      <c r="F400" s="27" t="n">
        <v>46023</v>
      </c>
      <c r="G400" s="27" t="n">
        <v>46024</v>
      </c>
      <c r="H400" s="27" t="n">
        <v>46024</v>
      </c>
      <c r="I400" s="27" t="n">
        <v>45993</v>
      </c>
      <c r="J400" s="27" t="n">
        <v>46003</v>
      </c>
      <c r="K400" t="inlineStr">
        <is>
          <t>Boleto Bancário</t>
        </is>
      </c>
      <c r="L400" t="inlineStr">
        <is>
          <t>Custo Mercadoria Vendida</t>
        </is>
      </c>
      <c r="M400" t="inlineStr">
        <is>
          <t>Insumos - Alimentos</t>
        </is>
      </c>
      <c r="N400" t="inlineStr">
        <is>
          <t>7679</t>
        </is>
      </c>
      <c r="O400" t="inlineStr">
        <is>
          <t>Documentação Aprovada</t>
        </is>
      </c>
      <c r="P400" t="inlineStr">
        <is>
          <t>Aprovado Diretoria</t>
        </is>
      </c>
      <c r="Q400" t="inlineStr">
        <is>
          <t>Aprovado Caixa</t>
        </is>
      </c>
      <c r="R400" t="inlineStr">
        <is>
          <t>Pago</t>
        </is>
      </c>
      <c r="S400" t="n">
        <v>164</v>
      </c>
      <c r="T400" t="inlineStr">
        <is>
          <t>Bar Brahma Granja - FDB Filial - Kamino</t>
        </is>
      </c>
    </row>
    <row r="401">
      <c r="A401" t="n">
        <v>182899</v>
      </c>
      <c r="B401" t="n">
        <v>148</v>
      </c>
      <c r="C401" t="inlineStr">
        <is>
          <t>Bar Brahma - Granja</t>
        </is>
      </c>
      <c r="D401" t="inlineStr">
        <is>
          <t>WIDE STOCK COMERCIO E DISTRIBUICAO LTDA</t>
        </is>
      </c>
      <c r="E401" t="n">
        <v>518.8099999999999</v>
      </c>
      <c r="F401" s="27" t="n">
        <v>46023</v>
      </c>
      <c r="G401" s="27" t="n">
        <v>46024</v>
      </c>
      <c r="H401" s="27" t="n">
        <v>46024</v>
      </c>
      <c r="I401" s="27" t="n">
        <v>45995</v>
      </c>
      <c r="J401" s="27" t="n">
        <v>46003</v>
      </c>
      <c r="K401" t="inlineStr">
        <is>
          <t>Boleto Bancário</t>
        </is>
      </c>
      <c r="L401" t="inlineStr">
        <is>
          <t>Utilidades</t>
        </is>
      </c>
      <c r="M401" t="inlineStr">
        <is>
          <t>Higiene e Limpeza</t>
        </is>
      </c>
      <c r="N401" t="inlineStr">
        <is>
          <t>421408</t>
        </is>
      </c>
      <c r="O401" t="inlineStr">
        <is>
          <t>Documentação Aprovada</t>
        </is>
      </c>
      <c r="P401" t="inlineStr">
        <is>
          <t>Aprovado Diretoria</t>
        </is>
      </c>
      <c r="Q401" t="inlineStr">
        <is>
          <t>Aprovado Caixa</t>
        </is>
      </c>
      <c r="R401" t="inlineStr">
        <is>
          <t>Pago</t>
        </is>
      </c>
      <c r="S401" t="n">
        <v>164</v>
      </c>
      <c r="T401" t="inlineStr">
        <is>
          <t>Bar Brahma Granja - FDB Filial - Kamino</t>
        </is>
      </c>
    </row>
    <row r="402">
      <c r="A402" t="n">
        <v>183308</v>
      </c>
      <c r="B402" t="n">
        <v>148</v>
      </c>
      <c r="C402" t="inlineStr">
        <is>
          <t>Bar Brahma - Granja</t>
        </is>
      </c>
      <c r="D402" t="inlineStr">
        <is>
          <t>DTK COMERCIO DE ALIMENTOS LTDA</t>
        </is>
      </c>
      <c r="E402" t="n">
        <v>282.2</v>
      </c>
      <c r="F402" s="27" t="n">
        <v>46024</v>
      </c>
      <c r="G402" s="27" t="n">
        <v>46024</v>
      </c>
      <c r="H402" s="27" t="n">
        <v>46024</v>
      </c>
      <c r="I402" s="27" t="n">
        <v>45996</v>
      </c>
      <c r="J402" s="27" t="n">
        <v>46006</v>
      </c>
      <c r="K402" t="inlineStr">
        <is>
          <t>Boleto Bancário</t>
        </is>
      </c>
      <c r="L402" t="inlineStr">
        <is>
          <t>Custo Mercadoria Vendida</t>
        </is>
      </c>
      <c r="M402" t="inlineStr">
        <is>
          <t>Insumos - Alimentos</t>
        </is>
      </c>
      <c r="N402" t="inlineStr">
        <is>
          <t>55965</t>
        </is>
      </c>
      <c r="O402" t="inlineStr">
        <is>
          <t>Documentação Aprovada</t>
        </is>
      </c>
      <c r="P402" t="inlineStr">
        <is>
          <t>Aprovado Diretoria</t>
        </is>
      </c>
      <c r="Q402" t="inlineStr">
        <is>
          <t>Aprovado Caixa</t>
        </is>
      </c>
      <c r="R402" t="inlineStr">
        <is>
          <t>Pago</t>
        </is>
      </c>
      <c r="S402" t="n">
        <v>164</v>
      </c>
      <c r="T402" t="inlineStr">
        <is>
          <t>Bar Brahma Granja - FDB Filial - Kamino</t>
        </is>
      </c>
    </row>
    <row r="403">
      <c r="A403" t="n">
        <v>183198</v>
      </c>
      <c r="B403" t="n">
        <v>148</v>
      </c>
      <c r="C403" t="inlineStr">
        <is>
          <t>Bar Brahma - Granja</t>
        </is>
      </c>
      <c r="D403" t="inlineStr">
        <is>
          <t>FRONT BEBIDAS LTDA</t>
        </is>
      </c>
      <c r="E403" t="n">
        <v>494.67</v>
      </c>
      <c r="F403" s="27" t="n">
        <v>46024</v>
      </c>
      <c r="G403" s="27" t="n">
        <v>46024</v>
      </c>
      <c r="H403" s="27" t="n">
        <v>46024</v>
      </c>
      <c r="I403" s="27" t="n">
        <v>45996</v>
      </c>
      <c r="J403" s="27" t="n">
        <v>46006</v>
      </c>
      <c r="K403" t="inlineStr">
        <is>
          <t>Boleto Bancário</t>
        </is>
      </c>
      <c r="L403" t="inlineStr">
        <is>
          <t>Custo Mercadoria Vendida</t>
        </is>
      </c>
      <c r="M403" t="inlineStr">
        <is>
          <t>Insumos - Bebidas</t>
        </is>
      </c>
      <c r="N403" t="inlineStr">
        <is>
          <t>782452</t>
        </is>
      </c>
      <c r="O403" t="inlineStr">
        <is>
          <t>Documentação Aprovada</t>
        </is>
      </c>
      <c r="P403" t="inlineStr">
        <is>
          <t>Aprovado Diretoria</t>
        </is>
      </c>
      <c r="Q403" t="inlineStr">
        <is>
          <t>Aprovado Caixa</t>
        </is>
      </c>
      <c r="R403" t="inlineStr">
        <is>
          <t>Pago</t>
        </is>
      </c>
      <c r="S403" t="n">
        <v>164</v>
      </c>
      <c r="T403" t="inlineStr">
        <is>
          <t>Bar Brahma Granja - FDB Filial - Kamino</t>
        </is>
      </c>
    </row>
    <row r="404">
      <c r="A404" t="n">
        <v>183245</v>
      </c>
      <c r="B404" t="n">
        <v>148</v>
      </c>
      <c r="C404" t="inlineStr">
        <is>
          <t>Bar Brahma - Granja</t>
        </is>
      </c>
      <c r="D404" t="inlineStr">
        <is>
          <t>MARCOS SILVA DO NASCIMENTO</t>
        </is>
      </c>
      <c r="E404" t="n">
        <v>3016.34</v>
      </c>
      <c r="F404" s="27" t="n">
        <v>46024</v>
      </c>
      <c r="G404" s="27" t="n">
        <v>46024</v>
      </c>
      <c r="H404" s="27" t="n">
        <v>46024</v>
      </c>
      <c r="I404" s="27" t="n">
        <v>46000</v>
      </c>
      <c r="J404" s="27" t="n">
        <v>46006</v>
      </c>
      <c r="K404" t="inlineStr">
        <is>
          <t>Boleto Bancário</t>
        </is>
      </c>
      <c r="L404" t="inlineStr">
        <is>
          <t>Custo Mercadoria Vendida</t>
        </is>
      </c>
      <c r="M404" t="inlineStr">
        <is>
          <t>Insumos - Alimentos</t>
        </is>
      </c>
      <c r="N404" t="inlineStr">
        <is>
          <t>644</t>
        </is>
      </c>
      <c r="O404" t="inlineStr">
        <is>
          <t>Documentação Aprovada</t>
        </is>
      </c>
      <c r="P404" t="inlineStr">
        <is>
          <t>Aprovado Diretoria</t>
        </is>
      </c>
      <c r="Q404" t="inlineStr">
        <is>
          <t>Aprovado Caixa</t>
        </is>
      </c>
      <c r="R404" t="inlineStr">
        <is>
          <t>Pago</t>
        </is>
      </c>
      <c r="S404" t="n">
        <v>164</v>
      </c>
      <c r="T404" t="inlineStr">
        <is>
          <t>Bar Brahma Granja - FDB Filial - Kamino</t>
        </is>
      </c>
    </row>
    <row r="405">
      <c r="A405" t="n">
        <v>183206</v>
      </c>
      <c r="B405" t="n">
        <v>148</v>
      </c>
      <c r="C405" t="inlineStr">
        <is>
          <t>Bar Brahma - Granja</t>
        </is>
      </c>
      <c r="D405" t="inlineStr">
        <is>
          <t>MARIO PEDRO FELICIANO - HORTIFRUTI</t>
        </is>
      </c>
      <c r="E405" t="n">
        <v>466.22</v>
      </c>
      <c r="F405" s="27" t="n">
        <v>46024</v>
      </c>
      <c r="G405" s="27" t="n">
        <v>46024</v>
      </c>
      <c r="H405" s="27" t="n">
        <v>46024</v>
      </c>
      <c r="I405" s="27" t="n">
        <v>45996</v>
      </c>
      <c r="J405" s="27" t="n">
        <v>46006</v>
      </c>
      <c r="K405" t="inlineStr">
        <is>
          <t>Boleto Bancário</t>
        </is>
      </c>
      <c r="L405" t="inlineStr">
        <is>
          <t>Custo Mercadoria Vendida</t>
        </is>
      </c>
      <c r="M405" t="inlineStr">
        <is>
          <t>Insumos - Alimentos</t>
        </is>
      </c>
      <c r="N405" t="inlineStr">
        <is>
          <t>460939</t>
        </is>
      </c>
      <c r="O405" t="inlineStr">
        <is>
          <t>Documentação Aprovada</t>
        </is>
      </c>
      <c r="P405" t="inlineStr">
        <is>
          <t>Aprovado Diretoria</t>
        </is>
      </c>
      <c r="Q405" t="inlineStr">
        <is>
          <t>Aprovado Caixa</t>
        </is>
      </c>
      <c r="R405" t="inlineStr">
        <is>
          <t>Pago</t>
        </is>
      </c>
      <c r="S405" t="n">
        <v>164</v>
      </c>
      <c r="T405" t="inlineStr">
        <is>
          <t>Bar Brahma Granja - FDB Filial - Kamino</t>
        </is>
      </c>
    </row>
    <row r="406">
      <c r="A406" t="n">
        <v>183207</v>
      </c>
      <c r="B406" t="n">
        <v>148</v>
      </c>
      <c r="C406" t="inlineStr">
        <is>
          <t>Bar Brahma - Granja</t>
        </is>
      </c>
      <c r="D406" t="inlineStr">
        <is>
          <t>CECILIA TSUYACO ARAKI SILVA LTDA</t>
        </is>
      </c>
      <c r="E406" t="n">
        <v>836.9400000000001</v>
      </c>
      <c r="F406" s="27" t="n">
        <v>46024</v>
      </c>
      <c r="G406" s="27" t="n">
        <v>46024</v>
      </c>
      <c r="H406" s="27" t="n">
        <v>46024</v>
      </c>
      <c r="I406" s="27" t="n">
        <v>45996</v>
      </c>
      <c r="J406" s="27" t="n">
        <v>46006</v>
      </c>
      <c r="K406" t="inlineStr">
        <is>
          <t>Boleto Bancário</t>
        </is>
      </c>
      <c r="L406" t="inlineStr">
        <is>
          <t>Custo Mercadoria Vendida</t>
        </is>
      </c>
      <c r="M406" t="inlineStr">
        <is>
          <t>Insumos - Alimentos</t>
        </is>
      </c>
      <c r="N406" t="inlineStr">
        <is>
          <t>383044</t>
        </is>
      </c>
      <c r="O406" t="inlineStr">
        <is>
          <t>Documentação Aprovada</t>
        </is>
      </c>
      <c r="P406" t="inlineStr">
        <is>
          <t>Aprovado Diretoria</t>
        </is>
      </c>
      <c r="Q406" t="inlineStr">
        <is>
          <t>Aprovado Caixa</t>
        </is>
      </c>
      <c r="R406" t="inlineStr">
        <is>
          <t>Pago</t>
        </is>
      </c>
      <c r="S406" t="n">
        <v>164</v>
      </c>
      <c r="T406" t="inlineStr">
        <is>
          <t>Bar Brahma Granja - FDB Filial - Kamino</t>
        </is>
      </c>
    </row>
    <row r="407">
      <c r="A407" t="n">
        <v>183211</v>
      </c>
      <c r="B407" t="n">
        <v>148</v>
      </c>
      <c r="C407" t="inlineStr">
        <is>
          <t>Bar Brahma - Granja</t>
        </is>
      </c>
      <c r="D407" t="inlineStr">
        <is>
          <t>CECILIA TSUYACO ARAKI SILVA LTDA</t>
        </is>
      </c>
      <c r="E407" t="n">
        <v>370.8</v>
      </c>
      <c r="F407" s="27" t="n">
        <v>46024</v>
      </c>
      <c r="G407" s="27" t="n">
        <v>46024</v>
      </c>
      <c r="H407" s="27" t="n">
        <v>46024</v>
      </c>
      <c r="I407" s="27" t="n">
        <v>45996</v>
      </c>
      <c r="J407" s="27" t="n">
        <v>46006</v>
      </c>
      <c r="K407" t="inlineStr">
        <is>
          <t>Boleto Bancário</t>
        </is>
      </c>
      <c r="L407" t="inlineStr">
        <is>
          <t>Custo Mercadoria Vendida</t>
        </is>
      </c>
      <c r="M407" t="inlineStr">
        <is>
          <t>Insumos - Alimentos</t>
        </is>
      </c>
      <c r="N407" t="inlineStr">
        <is>
          <t>383079</t>
        </is>
      </c>
      <c r="O407" t="inlineStr">
        <is>
          <t>Documentação Aprovada</t>
        </is>
      </c>
      <c r="P407" t="inlineStr">
        <is>
          <t>Aprovado Diretoria</t>
        </is>
      </c>
      <c r="Q407" t="inlineStr">
        <is>
          <t>Aprovado Caixa</t>
        </is>
      </c>
      <c r="R407" t="inlineStr">
        <is>
          <t>Pago</t>
        </is>
      </c>
      <c r="S407" t="n">
        <v>164</v>
      </c>
      <c r="T407" t="inlineStr">
        <is>
          <t>Bar Brahma Granja - FDB Filial - Kamino</t>
        </is>
      </c>
    </row>
    <row r="408">
      <c r="A408" t="n">
        <v>185870</v>
      </c>
      <c r="B408" t="n">
        <v>148</v>
      </c>
      <c r="C408" t="inlineStr">
        <is>
          <t>Bar Brahma - Granja</t>
        </is>
      </c>
      <c r="D408" t="inlineStr">
        <is>
          <t>CASA DE CARNES P.J.J.LTDA</t>
        </is>
      </c>
      <c r="E408" t="n">
        <v>333.94</v>
      </c>
      <c r="F408" s="27" t="n">
        <v>46024</v>
      </c>
      <c r="G408" s="27" t="n">
        <v>46024</v>
      </c>
      <c r="H408" s="27" t="n">
        <v>46024</v>
      </c>
      <c r="I408" s="27" t="n">
        <v>46008</v>
      </c>
      <c r="J408" s="27" t="n">
        <v>46015</v>
      </c>
      <c r="K408" t="inlineStr">
        <is>
          <t>Boleto Bancário</t>
        </is>
      </c>
      <c r="L408" t="inlineStr">
        <is>
          <t>Custo Mercadoria Vendida</t>
        </is>
      </c>
      <c r="M408" t="inlineStr">
        <is>
          <t>Insumos - Alimentos</t>
        </is>
      </c>
      <c r="N408" t="inlineStr">
        <is>
          <t>44988</t>
        </is>
      </c>
      <c r="O408" t="inlineStr">
        <is>
          <t>Documentação Aprovada</t>
        </is>
      </c>
      <c r="P408" t="inlineStr">
        <is>
          <t>Aprovado Diretoria</t>
        </is>
      </c>
      <c r="Q408" t="inlineStr">
        <is>
          <t>Aprovado Caixa</t>
        </is>
      </c>
      <c r="R408" t="inlineStr">
        <is>
          <t>Pago</t>
        </is>
      </c>
      <c r="S408" t="n">
        <v>164</v>
      </c>
      <c r="T408" t="inlineStr">
        <is>
          <t>Bar Brahma Granja - FDB Filial - Kamino</t>
        </is>
      </c>
    </row>
    <row r="409">
      <c r="A409" t="n">
        <v>185854</v>
      </c>
      <c r="B409" t="n">
        <v>148</v>
      </c>
      <c r="C409" t="inlineStr">
        <is>
          <t>Bar Brahma - Granja</t>
        </is>
      </c>
      <c r="D409" t="inlineStr">
        <is>
          <t>30.365.122 HIDEKI HENRIQUE KAWAMOTO</t>
        </is>
      </c>
      <c r="E409" t="n">
        <v>395</v>
      </c>
      <c r="F409" s="27" t="n">
        <v>46024</v>
      </c>
      <c r="G409" s="27" t="n">
        <v>46024</v>
      </c>
      <c r="H409" s="27" t="n">
        <v>46024</v>
      </c>
      <c r="I409" s="27" t="n">
        <v>46001</v>
      </c>
      <c r="J409" s="27" t="n">
        <v>46015</v>
      </c>
      <c r="K409" t="inlineStr">
        <is>
          <t>Boleto Bancário</t>
        </is>
      </c>
      <c r="L409" t="inlineStr">
        <is>
          <t>Custo Mercadoria Vendida</t>
        </is>
      </c>
      <c r="M409" t="inlineStr">
        <is>
          <t>Insumos - Alimentos</t>
        </is>
      </c>
      <c r="N409" t="inlineStr">
        <is>
          <t>1638</t>
        </is>
      </c>
      <c r="O409" t="inlineStr">
        <is>
          <t>Documentação Aprovada</t>
        </is>
      </c>
      <c r="P409" t="inlineStr">
        <is>
          <t>Aprovado Diretoria</t>
        </is>
      </c>
      <c r="Q409" t="inlineStr">
        <is>
          <t>Aprovado Caixa</t>
        </is>
      </c>
      <c r="R409" t="inlineStr">
        <is>
          <t>Pago</t>
        </is>
      </c>
      <c r="S409" t="n">
        <v>164</v>
      </c>
      <c r="T409" t="inlineStr">
        <is>
          <t>Bar Brahma Granja - FDB Filial - Kamino</t>
        </is>
      </c>
    </row>
    <row r="410">
      <c r="A410" t="n">
        <v>185864</v>
      </c>
      <c r="B410" t="n">
        <v>148</v>
      </c>
      <c r="C410" t="inlineStr">
        <is>
          <t>Bar Brahma - Granja</t>
        </is>
      </c>
      <c r="D410" t="inlineStr">
        <is>
          <t>LATICINIOS PIRAMIDE LTDA</t>
        </is>
      </c>
      <c r="E410" t="n">
        <v>2752.9</v>
      </c>
      <c r="F410" s="27" t="n">
        <v>46023</v>
      </c>
      <c r="G410" s="27" t="n">
        <v>46024</v>
      </c>
      <c r="H410" s="27" t="n">
        <v>46024</v>
      </c>
      <c r="I410" s="27" t="n">
        <v>46002</v>
      </c>
      <c r="J410" s="27" t="n">
        <v>46015</v>
      </c>
      <c r="K410" t="inlineStr">
        <is>
          <t>Boleto Bancário</t>
        </is>
      </c>
      <c r="L410" t="inlineStr">
        <is>
          <t>Custo Mercadoria Vendida</t>
        </is>
      </c>
      <c r="M410" t="inlineStr">
        <is>
          <t>Insumos - Alimentos</t>
        </is>
      </c>
      <c r="N410" t="inlineStr">
        <is>
          <t>80531</t>
        </is>
      </c>
      <c r="O410" t="inlineStr">
        <is>
          <t>Documentação Aprovada</t>
        </is>
      </c>
      <c r="P410" t="inlineStr">
        <is>
          <t>Aprovado Diretoria</t>
        </is>
      </c>
      <c r="Q410" t="inlineStr">
        <is>
          <t>Aprovado Caixa</t>
        </is>
      </c>
      <c r="R410" t="inlineStr">
        <is>
          <t>Pago</t>
        </is>
      </c>
      <c r="S410" t="n">
        <v>164</v>
      </c>
      <c r="T410" t="inlineStr">
        <is>
          <t>Bar Brahma Granja - FDB Filial - Kamino</t>
        </is>
      </c>
    </row>
    <row r="411">
      <c r="A411" t="n">
        <v>185867</v>
      </c>
      <c r="B411" t="n">
        <v>148</v>
      </c>
      <c r="C411" t="inlineStr">
        <is>
          <t>Bar Brahma - Granja</t>
        </is>
      </c>
      <c r="D411" t="inlineStr">
        <is>
          <t>AMBEV S. A. - CDD SAO PAULO</t>
        </is>
      </c>
      <c r="E411" t="n">
        <v>4831.55</v>
      </c>
      <c r="F411" s="27" t="n">
        <v>46024</v>
      </c>
      <c r="G411" s="27" t="n">
        <v>46024</v>
      </c>
      <c r="H411" s="27" t="n">
        <v>46024</v>
      </c>
      <c r="I411" s="27" t="n">
        <v>46004</v>
      </c>
      <c r="J411" s="27" t="n">
        <v>46015</v>
      </c>
      <c r="K411" t="inlineStr">
        <is>
          <t>Boleto Bancário</t>
        </is>
      </c>
      <c r="L411" t="inlineStr">
        <is>
          <t>Custo Mercadoria Vendida</t>
        </is>
      </c>
      <c r="M411" t="inlineStr">
        <is>
          <t>Insumos - Bebidas</t>
        </is>
      </c>
      <c r="N411" t="inlineStr">
        <is>
          <t>973062</t>
        </is>
      </c>
      <c r="O411" t="inlineStr">
        <is>
          <t>Documentação Aprovada</t>
        </is>
      </c>
      <c r="P411" t="inlineStr">
        <is>
          <t>Aprovado Diretoria</t>
        </is>
      </c>
      <c r="Q411" t="inlineStr">
        <is>
          <t>Aprovado Caixa</t>
        </is>
      </c>
      <c r="R411" t="inlineStr">
        <is>
          <t>Pago</t>
        </is>
      </c>
      <c r="S411" t="n">
        <v>164</v>
      </c>
      <c r="T411" t="inlineStr">
        <is>
          <t>Bar Brahma Granja - FDB Filial - Kamino</t>
        </is>
      </c>
    </row>
    <row r="412">
      <c r="A412" t="n">
        <v>185771</v>
      </c>
      <c r="B412" t="n">
        <v>148</v>
      </c>
      <c r="C412" t="inlineStr">
        <is>
          <t>Bar Brahma - Granja</t>
        </is>
      </c>
      <c r="D412" t="inlineStr">
        <is>
          <t>ESTAFF SOLUCOES TECNOLOGICAS DE AGENCIAMENTO LTDA</t>
        </is>
      </c>
      <c r="E412" t="n">
        <v>8983.35</v>
      </c>
      <c r="F412" s="27" t="n">
        <v>46023</v>
      </c>
      <c r="G412" s="27" t="n">
        <v>46024</v>
      </c>
      <c r="H412" s="27" t="n">
        <v>46024</v>
      </c>
      <c r="I412" s="27" t="n">
        <v>46012</v>
      </c>
      <c r="J412" s="27" t="n">
        <v>46015</v>
      </c>
      <c r="K412" t="inlineStr">
        <is>
          <t>Boleto Bancário</t>
        </is>
      </c>
      <c r="L412" t="inlineStr">
        <is>
          <t>Mão de Obra - Extra</t>
        </is>
      </c>
      <c r="M412" t="inlineStr">
        <is>
          <t>Mão de Obra Extra</t>
        </is>
      </c>
      <c r="N412" t="inlineStr">
        <is>
          <t>17139-27269</t>
        </is>
      </c>
      <c r="O412" t="inlineStr">
        <is>
          <t>Documentação Aprovada</t>
        </is>
      </c>
      <c r="P412" t="inlineStr">
        <is>
          <t>Aprovado Diretoria</t>
        </is>
      </c>
      <c r="Q412" t="inlineStr">
        <is>
          <t>Aprovado Caixa</t>
        </is>
      </c>
      <c r="R412" t="inlineStr">
        <is>
          <t>Pago</t>
        </is>
      </c>
      <c r="S412" t="n">
        <v>164</v>
      </c>
      <c r="T412" t="inlineStr">
        <is>
          <t>Bar Brahma Granja - FDB Filial - Kamino</t>
        </is>
      </c>
    </row>
    <row r="413">
      <c r="A413" t="n">
        <v>172379</v>
      </c>
      <c r="B413" t="n">
        <v>148</v>
      </c>
      <c r="C413" t="inlineStr">
        <is>
          <t>Bar Brahma - Granja</t>
        </is>
      </c>
      <c r="D413" t="inlineStr">
        <is>
          <t>ARTHUR ALVES DA SILVA</t>
        </is>
      </c>
      <c r="E413" t="n">
        <v>1502</v>
      </c>
      <c r="F413" s="27" t="n">
        <v>46023</v>
      </c>
      <c r="G413" s="27" t="n">
        <v>46024</v>
      </c>
      <c r="H413" s="27" t="n">
        <v>46024</v>
      </c>
      <c r="I413" s="27" t="n">
        <v>46020</v>
      </c>
      <c r="J413" s="27" t="n">
        <v>45965</v>
      </c>
      <c r="K413" t="inlineStr">
        <is>
          <t>Transferência Bancária ou Pix</t>
        </is>
      </c>
      <c r="L413" t="inlineStr">
        <is>
          <t>Serviços de Terceiros</t>
        </is>
      </c>
      <c r="M413" t="inlineStr">
        <is>
          <t>Valet/Motoboy</t>
        </is>
      </c>
      <c r="N413" t="inlineStr">
        <is>
          <t>85</t>
        </is>
      </c>
      <c r="O413" t="inlineStr">
        <is>
          <t>Documentação Aprovada</t>
        </is>
      </c>
      <c r="P413" t="inlineStr">
        <is>
          <t>Aprovado Diretoria</t>
        </is>
      </c>
      <c r="Q413" t="inlineStr">
        <is>
          <t>Aprovado Caixa</t>
        </is>
      </c>
      <c r="R413" t="inlineStr">
        <is>
          <t>Pago</t>
        </is>
      </c>
      <c r="S413" t="n">
        <v>164</v>
      </c>
      <c r="T413" t="inlineStr">
        <is>
          <t>Bar Brahma Granja - FDB Filial - Kamino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ID_Parcela</t>
        </is>
      </c>
      <c r="B1" t="inlineStr">
        <is>
          <t>ID_Despesa</t>
        </is>
      </c>
      <c r="C1" t="inlineStr">
        <is>
          <t>Casa</t>
        </is>
      </c>
      <c r="D1" t="inlineStr">
        <is>
          <t>ID_Casa</t>
        </is>
      </c>
      <c r="E1" t="inlineStr">
        <is>
          <t>CNPJ_Loja</t>
        </is>
      </c>
      <c r="F1" t="inlineStr">
        <is>
          <t>Fornecedor</t>
        </is>
      </c>
      <c r="G1" t="inlineStr">
        <is>
          <t>Parcelamento</t>
        </is>
      </c>
      <c r="H1" t="inlineStr">
        <is>
          <t>Qtd_Parcelas</t>
        </is>
      </c>
      <c r="I1" t="inlineStr">
        <is>
          <t>Num_Parcela</t>
        </is>
      </c>
      <c r="J1" t="inlineStr">
        <is>
          <t>Valor_Parcela</t>
        </is>
      </c>
      <c r="K1" t="inlineStr">
        <is>
          <t>Vencimento_Parcela</t>
        </is>
      </c>
      <c r="L1" t="inlineStr">
        <is>
          <t>Previsao_Parcela</t>
        </is>
      </c>
      <c r="M1" t="inlineStr">
        <is>
          <t>Realiz_Parcela</t>
        </is>
      </c>
      <c r="N1" t="inlineStr">
        <is>
          <t>Valor_Original</t>
        </is>
      </c>
      <c r="O1" t="inlineStr">
        <is>
          <t>Valor_Liquido</t>
        </is>
      </c>
      <c r="P1" t="inlineStr">
        <is>
          <t>Data_Lancamento</t>
        </is>
      </c>
      <c r="Q1" t="inlineStr">
        <is>
          <t>Forma_Pagamento</t>
        </is>
      </c>
      <c r="R1" t="inlineStr">
        <is>
          <t>Doc_NF</t>
        </is>
      </c>
      <c r="S1" t="inlineStr">
        <is>
          <t>Class_Cont_1</t>
        </is>
      </c>
      <c r="T1" t="inlineStr">
        <is>
          <t>Class_Cont_2</t>
        </is>
      </c>
      <c r="U1" t="inlineStr">
        <is>
          <t>Status_Conf_Document</t>
        </is>
      </c>
      <c r="V1" t="inlineStr">
        <is>
          <t>Status_Aprov_Diret</t>
        </is>
      </c>
      <c r="W1" t="inlineStr">
        <is>
          <t>Status_Aprov_Caixa</t>
        </is>
      </c>
      <c r="X1" t="inlineStr">
        <is>
          <t>Status_Pgto</t>
        </is>
      </c>
      <c r="Y1" t="inlineStr">
        <is>
          <t>ID_Conta_Bancaria</t>
        </is>
      </c>
      <c r="Z1" t="inlineStr">
        <is>
          <t>Conta_Bancaria</t>
        </is>
      </c>
    </row>
    <row r="2">
      <c r="A2" t="n">
        <v>12415</v>
      </c>
      <c r="B2" t="n">
        <v>182898</v>
      </c>
      <c r="C2" t="inlineStr">
        <is>
          <t>Bar Brahma - Granja</t>
        </is>
      </c>
      <c r="D2" t="n">
        <v>148</v>
      </c>
      <c r="F2" t="inlineStr">
        <is>
          <t>PLASTICOS SEGANTINI EIRELI</t>
        </is>
      </c>
      <c r="G2" t="inlineStr">
        <is>
          <t>True</t>
        </is>
      </c>
      <c r="H2" t="n">
        <v>5</v>
      </c>
      <c r="I2" t="n">
        <v>5</v>
      </c>
      <c r="J2" t="n">
        <v>1567.5</v>
      </c>
      <c r="K2" s="27" t="n">
        <v>46052</v>
      </c>
      <c r="L2" s="27" t="n">
        <v>46051</v>
      </c>
      <c r="M2" s="27" t="n">
        <v>46051</v>
      </c>
      <c r="N2" t="n">
        <v>7837.5</v>
      </c>
      <c r="O2" t="n">
        <v>7837.5</v>
      </c>
      <c r="P2" s="27" t="n">
        <v>46003</v>
      </c>
      <c r="Q2" t="inlineStr">
        <is>
          <t>Boleto Bancário</t>
        </is>
      </c>
      <c r="R2" t="inlineStr">
        <is>
          <t>56845</t>
        </is>
      </c>
      <c r="S2" t="inlineStr">
        <is>
          <t>Custo Mercadoria Vendida</t>
        </is>
      </c>
      <c r="T2" t="inlineStr">
        <is>
          <t>Insumos - Embalagens</t>
        </is>
      </c>
      <c r="U2" t="inlineStr">
        <is>
          <t>Documentação Aprovada</t>
        </is>
      </c>
      <c r="V2" t="inlineStr">
        <is>
          <t>Aprovado Diretoria</t>
        </is>
      </c>
      <c r="W2" t="inlineStr">
        <is>
          <t>Aprovado Caixa</t>
        </is>
      </c>
      <c r="X2" t="inlineStr">
        <is>
          <t>Parcela_Paga</t>
        </is>
      </c>
      <c r="Y2" t="n">
        <v>164</v>
      </c>
      <c r="Z2" t="inlineStr">
        <is>
          <t>Bar Brahma Granja - FDB Filial - Kamino</t>
        </is>
      </c>
    </row>
    <row r="3">
      <c r="A3" t="n">
        <v>12695</v>
      </c>
      <c r="B3" t="n">
        <v>185846</v>
      </c>
      <c r="C3" t="inlineStr">
        <is>
          <t>Bar Brahma - Granja</t>
        </is>
      </c>
      <c r="D3" t="n">
        <v>148</v>
      </c>
      <c r="F3" t="inlineStr">
        <is>
          <t>EVIDENCIA MODA PROFISSIONAL COMERCIO DE UNIFORMES LTDA</t>
        </is>
      </c>
      <c r="G3" t="inlineStr">
        <is>
          <t>True</t>
        </is>
      </c>
      <c r="H3" t="n">
        <v>2</v>
      </c>
      <c r="I3" t="n">
        <v>2</v>
      </c>
      <c r="J3" t="n">
        <v>652.05</v>
      </c>
      <c r="K3" s="27" t="n">
        <v>46052</v>
      </c>
      <c r="L3" s="27" t="n">
        <v>46051</v>
      </c>
      <c r="M3" s="27" t="n">
        <v>46051</v>
      </c>
      <c r="N3" t="n">
        <v>1304.1</v>
      </c>
      <c r="O3" t="n">
        <v>1304.1</v>
      </c>
      <c r="P3" s="27" t="n">
        <v>46015</v>
      </c>
      <c r="Q3" t="inlineStr">
        <is>
          <t>Boleto Bancário</t>
        </is>
      </c>
      <c r="R3" t="inlineStr">
        <is>
          <t>10410</t>
        </is>
      </c>
      <c r="S3" t="inlineStr">
        <is>
          <t>Utilidades</t>
        </is>
      </c>
      <c r="T3" t="inlineStr">
        <is>
          <t>Utensilios</t>
        </is>
      </c>
      <c r="U3" t="inlineStr">
        <is>
          <t>Documentação Aprovada</t>
        </is>
      </c>
      <c r="V3" t="inlineStr">
        <is>
          <t>Aprovado Diretoria</t>
        </is>
      </c>
      <c r="W3" t="inlineStr">
        <is>
          <t>Aprovado Caixa</t>
        </is>
      </c>
      <c r="X3" t="inlineStr">
        <is>
          <t>Parcela_Paga</t>
        </is>
      </c>
      <c r="Y3" t="n">
        <v>164</v>
      </c>
      <c r="Z3" t="inlineStr">
        <is>
          <t>Bar Brahma Granja - FDB Filial - Kamino</t>
        </is>
      </c>
    </row>
    <row r="4">
      <c r="A4" t="n">
        <v>12414</v>
      </c>
      <c r="B4" t="n">
        <v>182898</v>
      </c>
      <c r="C4" t="inlineStr">
        <is>
          <t>Bar Brahma - Granja</t>
        </is>
      </c>
      <c r="D4" t="n">
        <v>148</v>
      </c>
      <c r="F4" t="inlineStr">
        <is>
          <t>PLASTICOS SEGANTINI EIRELI</t>
        </is>
      </c>
      <c r="G4" t="inlineStr">
        <is>
          <t>True</t>
        </is>
      </c>
      <c r="H4" t="n">
        <v>5</v>
      </c>
      <c r="I4" t="n">
        <v>4</v>
      </c>
      <c r="J4" t="n">
        <v>1567.5</v>
      </c>
      <c r="K4" s="27" t="n">
        <v>46045</v>
      </c>
      <c r="L4" s="27" t="n">
        <v>46045</v>
      </c>
      <c r="M4" s="27" t="n">
        <v>46045</v>
      </c>
      <c r="N4" t="n">
        <v>7837.5</v>
      </c>
      <c r="O4" t="n">
        <v>7837.5</v>
      </c>
      <c r="P4" s="27" t="n">
        <v>46003</v>
      </c>
      <c r="Q4" t="inlineStr">
        <is>
          <t>Boleto Bancário</t>
        </is>
      </c>
      <c r="R4" t="inlineStr">
        <is>
          <t>56845</t>
        </is>
      </c>
      <c r="S4" t="inlineStr">
        <is>
          <t>Custo Mercadoria Vendida</t>
        </is>
      </c>
      <c r="T4" t="inlineStr">
        <is>
          <t>Insumos - Embalagens</t>
        </is>
      </c>
      <c r="U4" t="inlineStr">
        <is>
          <t>Documentação Aprovada</t>
        </is>
      </c>
      <c r="V4" t="inlineStr">
        <is>
          <t>Aprovado Diretoria</t>
        </is>
      </c>
      <c r="W4" t="inlineStr">
        <is>
          <t>Aprovado Caixa</t>
        </is>
      </c>
      <c r="X4" t="inlineStr">
        <is>
          <t>Parcela_Paga</t>
        </is>
      </c>
      <c r="Y4" t="n">
        <v>164</v>
      </c>
      <c r="Z4" t="inlineStr">
        <is>
          <t>Bar Brahma Granja - FDB Filial - Kamino</t>
        </is>
      </c>
    </row>
    <row r="5">
      <c r="A5" t="n">
        <v>12885</v>
      </c>
      <c r="B5" t="n">
        <v>193548</v>
      </c>
      <c r="C5" t="inlineStr">
        <is>
          <t>Bar Brahma - Granja</t>
        </is>
      </c>
      <c r="D5" t="n">
        <v>148</v>
      </c>
      <c r="F5" t="inlineStr">
        <is>
          <t>RN DISTRIBUIDORA DE UTENSILIOS DOMESTICOS LTDA</t>
        </is>
      </c>
      <c r="G5" t="inlineStr">
        <is>
          <t>True</t>
        </is>
      </c>
      <c r="H5" t="n">
        <v>2</v>
      </c>
      <c r="I5" t="n">
        <v>1</v>
      </c>
      <c r="J5" t="n">
        <v>577.03</v>
      </c>
      <c r="K5" s="27" t="n">
        <v>46041</v>
      </c>
      <c r="L5" s="27" t="n">
        <v>46041</v>
      </c>
      <c r="M5" s="27" t="n">
        <v>46041</v>
      </c>
      <c r="N5" t="n">
        <v>1147.2</v>
      </c>
      <c r="O5" t="n">
        <v>1147.2</v>
      </c>
      <c r="P5" s="27" t="n">
        <v>46037</v>
      </c>
      <c r="Q5" t="inlineStr">
        <is>
          <t>Boleto Bancário</t>
        </is>
      </c>
      <c r="R5" t="inlineStr">
        <is>
          <t>6443</t>
        </is>
      </c>
      <c r="S5" t="inlineStr">
        <is>
          <t>Utilidades</t>
        </is>
      </c>
      <c r="T5" t="inlineStr">
        <is>
          <t>Utensilios</t>
        </is>
      </c>
      <c r="U5" t="inlineStr">
        <is>
          <t>Documentação Aprovada</t>
        </is>
      </c>
      <c r="V5" t="inlineStr">
        <is>
          <t>Aprovado Diretoria</t>
        </is>
      </c>
      <c r="W5" t="inlineStr">
        <is>
          <t>Aprovado Caixa</t>
        </is>
      </c>
      <c r="X5" t="inlineStr">
        <is>
          <t>Parcela_Paga</t>
        </is>
      </c>
      <c r="Y5" t="n">
        <v>164</v>
      </c>
      <c r="Z5" t="inlineStr">
        <is>
          <t>Bar Brahma Granja - FDB Filial - Kamino</t>
        </is>
      </c>
    </row>
    <row r="6">
      <c r="A6" t="n">
        <v>12413</v>
      </c>
      <c r="B6" t="n">
        <v>182898</v>
      </c>
      <c r="C6" t="inlineStr">
        <is>
          <t>Bar Brahma - Granja</t>
        </is>
      </c>
      <c r="D6" t="n">
        <v>148</v>
      </c>
      <c r="F6" t="inlineStr">
        <is>
          <t>PLASTICOS SEGANTINI EIRELI</t>
        </is>
      </c>
      <c r="G6" t="inlineStr">
        <is>
          <t>True</t>
        </is>
      </c>
      <c r="H6" t="n">
        <v>5</v>
      </c>
      <c r="I6" t="n">
        <v>3</v>
      </c>
      <c r="J6" t="n">
        <v>1567.5</v>
      </c>
      <c r="K6" s="27" t="n">
        <v>46038</v>
      </c>
      <c r="L6" s="27" t="n">
        <v>46042</v>
      </c>
      <c r="M6" s="27" t="n">
        <v>46038</v>
      </c>
      <c r="N6" t="n">
        <v>7837.5</v>
      </c>
      <c r="O6" t="n">
        <v>7837.5</v>
      </c>
      <c r="P6" s="27" t="n">
        <v>46003</v>
      </c>
      <c r="Q6" t="inlineStr">
        <is>
          <t>Boleto Bancário</t>
        </is>
      </c>
      <c r="R6" t="inlineStr">
        <is>
          <t>56845</t>
        </is>
      </c>
      <c r="S6" t="inlineStr">
        <is>
          <t>Custo Mercadoria Vendida</t>
        </is>
      </c>
      <c r="T6" t="inlineStr">
        <is>
          <t>Insumos - Embalagens</t>
        </is>
      </c>
      <c r="U6" t="inlineStr">
        <is>
          <t>Documentação Aprovada</t>
        </is>
      </c>
      <c r="V6" t="inlineStr">
        <is>
          <t>Aprovado Diretoria</t>
        </is>
      </c>
      <c r="W6" t="inlineStr">
        <is>
          <t>Aprovado Caixa</t>
        </is>
      </c>
      <c r="X6" t="inlineStr">
        <is>
          <t>Parcela_Paga</t>
        </is>
      </c>
      <c r="Y6" t="n">
        <v>164</v>
      </c>
      <c r="Z6" t="inlineStr">
        <is>
          <t>Bar Brahma Granja - FDB Filial - Kamino</t>
        </is>
      </c>
    </row>
    <row r="7">
      <c r="A7" t="n">
        <v>12616</v>
      </c>
      <c r="B7" t="n">
        <v>185712</v>
      </c>
      <c r="C7" t="inlineStr">
        <is>
          <t>Bar Brahma - Granja</t>
        </is>
      </c>
      <c r="D7" t="n">
        <v>148</v>
      </c>
      <c r="F7" t="inlineStr">
        <is>
          <t>PJ 51165924000189</t>
        </is>
      </c>
      <c r="G7" t="inlineStr">
        <is>
          <t>True</t>
        </is>
      </c>
      <c r="H7" t="n">
        <v>2</v>
      </c>
      <c r="I7" t="n">
        <v>2</v>
      </c>
      <c r="J7" t="n">
        <v>3300</v>
      </c>
      <c r="K7" s="27" t="n">
        <v>46037</v>
      </c>
      <c r="L7" s="27" t="n">
        <v>46037</v>
      </c>
      <c r="M7" s="27" t="n">
        <v>46037</v>
      </c>
      <c r="N7" t="n">
        <v>6600</v>
      </c>
      <c r="O7" t="n">
        <v>6600</v>
      </c>
      <c r="P7" s="27" t="n">
        <v>46015</v>
      </c>
      <c r="Q7" t="inlineStr">
        <is>
          <t>Transferência Bancária ou Pix</t>
        </is>
      </c>
      <c r="R7" t="inlineStr">
        <is>
          <t>81</t>
        </is>
      </c>
      <c r="S7" t="inlineStr">
        <is>
          <t>Mão de Obra - PJ</t>
        </is>
      </c>
      <c r="T7" t="inlineStr">
        <is>
          <t>MDO PJ Fixo</t>
        </is>
      </c>
      <c r="U7" t="inlineStr">
        <is>
          <t>Documentação Aprovada</t>
        </is>
      </c>
      <c r="V7" t="inlineStr">
        <is>
          <t>Aprovado Diretoria</t>
        </is>
      </c>
      <c r="W7" t="inlineStr">
        <is>
          <t>Aprovado Caixa</t>
        </is>
      </c>
      <c r="X7" t="inlineStr">
        <is>
          <t>Parcela_Paga</t>
        </is>
      </c>
      <c r="Y7" t="n">
        <v>148</v>
      </c>
      <c r="Z7" t="inlineStr">
        <is>
          <t>Bar Brahma Granja - Tutum Filial - Kamino</t>
        </is>
      </c>
    </row>
    <row r="8">
      <c r="A8" t="n">
        <v>12618</v>
      </c>
      <c r="B8" t="n">
        <v>185713</v>
      </c>
      <c r="C8" t="inlineStr">
        <is>
          <t>Bar Brahma - Granja</t>
        </is>
      </c>
      <c r="D8" t="n">
        <v>148</v>
      </c>
      <c r="F8" t="inlineStr">
        <is>
          <t>PJ 57124624000138</t>
        </is>
      </c>
      <c r="G8" t="inlineStr">
        <is>
          <t>True</t>
        </is>
      </c>
      <c r="H8" t="n">
        <v>2</v>
      </c>
      <c r="I8" t="n">
        <v>2</v>
      </c>
      <c r="J8" t="n">
        <v>2000</v>
      </c>
      <c r="K8" s="27" t="n">
        <v>46037</v>
      </c>
      <c r="L8" s="27" t="n">
        <v>46037</v>
      </c>
      <c r="M8" s="27" t="n">
        <v>46037</v>
      </c>
      <c r="N8" t="n">
        <v>4000</v>
      </c>
      <c r="O8" t="n">
        <v>4000</v>
      </c>
      <c r="P8" s="27" t="n">
        <v>46015</v>
      </c>
      <c r="Q8" t="inlineStr">
        <is>
          <t>Transferência Bancária ou Pix</t>
        </is>
      </c>
      <c r="R8" t="inlineStr">
        <is>
          <t>33</t>
        </is>
      </c>
      <c r="S8" t="inlineStr">
        <is>
          <t>Mão de Obra - PJ</t>
        </is>
      </c>
      <c r="T8" t="inlineStr">
        <is>
          <t>MDO PJ Fixo</t>
        </is>
      </c>
      <c r="U8" t="inlineStr">
        <is>
          <t>Documentação Aprovada</t>
        </is>
      </c>
      <c r="V8" t="inlineStr">
        <is>
          <t>Aprovado Diretoria</t>
        </is>
      </c>
      <c r="W8" t="inlineStr">
        <is>
          <t>Aprovado Caixa</t>
        </is>
      </c>
      <c r="X8" t="inlineStr">
        <is>
          <t>Parcela_Paga</t>
        </is>
      </c>
      <c r="Y8" t="n">
        <v>148</v>
      </c>
      <c r="Z8" t="inlineStr">
        <is>
          <t>Bar Brahma Granja - Tutum Filial - Kamino</t>
        </is>
      </c>
    </row>
    <row r="9">
      <c r="A9" t="n">
        <v>12614</v>
      </c>
      <c r="B9" t="n">
        <v>185711</v>
      </c>
      <c r="C9" t="inlineStr">
        <is>
          <t>Bar Brahma - Granja</t>
        </is>
      </c>
      <c r="D9" t="n">
        <v>148</v>
      </c>
      <c r="F9" t="inlineStr">
        <is>
          <t>PJ 57139881000143</t>
        </is>
      </c>
      <c r="G9" t="inlineStr">
        <is>
          <t>True</t>
        </is>
      </c>
      <c r="H9" t="n">
        <v>2</v>
      </c>
      <c r="I9" t="n">
        <v>2</v>
      </c>
      <c r="J9" t="n">
        <v>3300</v>
      </c>
      <c r="K9" s="27" t="n">
        <v>46037</v>
      </c>
      <c r="L9" s="27" t="n">
        <v>46037</v>
      </c>
      <c r="M9" s="27" t="n">
        <v>46037</v>
      </c>
      <c r="N9" t="n">
        <v>6600</v>
      </c>
      <c r="O9" t="n">
        <v>6600</v>
      </c>
      <c r="P9" s="27" t="n">
        <v>46015</v>
      </c>
      <c r="Q9" t="inlineStr">
        <is>
          <t>Transferência Bancária ou Pix</t>
        </is>
      </c>
      <c r="R9" t="inlineStr">
        <is>
          <t>29</t>
        </is>
      </c>
      <c r="S9" t="inlineStr">
        <is>
          <t>Mão de Obra - PJ</t>
        </is>
      </c>
      <c r="T9" t="inlineStr">
        <is>
          <t>MDO PJ Fixo</t>
        </is>
      </c>
      <c r="U9" t="inlineStr">
        <is>
          <t>Documentação Aprovada</t>
        </is>
      </c>
      <c r="V9" t="inlineStr">
        <is>
          <t>Aprovado Diretoria</t>
        </is>
      </c>
      <c r="W9" t="inlineStr">
        <is>
          <t>Aprovado Caixa</t>
        </is>
      </c>
      <c r="X9" t="inlineStr">
        <is>
          <t>Parcela_Paga</t>
        </is>
      </c>
      <c r="Y9" t="n">
        <v>148</v>
      </c>
      <c r="Z9" t="inlineStr">
        <is>
          <t>Bar Brahma Granja - Tutum Filial - Kamino</t>
        </is>
      </c>
    </row>
    <row r="10">
      <c r="A10" t="n">
        <v>12622</v>
      </c>
      <c r="B10" t="n">
        <v>185715</v>
      </c>
      <c r="C10" t="inlineStr">
        <is>
          <t>Bar Brahma - Granja</t>
        </is>
      </c>
      <c r="D10" t="n">
        <v>148</v>
      </c>
      <c r="F10" t="inlineStr">
        <is>
          <t>PJ40068068000127</t>
        </is>
      </c>
      <c r="G10" t="inlineStr">
        <is>
          <t>True</t>
        </is>
      </c>
      <c r="H10" t="n">
        <v>2</v>
      </c>
      <c r="I10" t="n">
        <v>2</v>
      </c>
      <c r="J10" t="n">
        <v>2100</v>
      </c>
      <c r="K10" s="27" t="n">
        <v>46037</v>
      </c>
      <c r="L10" s="27" t="n">
        <v>46037</v>
      </c>
      <c r="M10" s="27" t="n">
        <v>46037</v>
      </c>
      <c r="N10" t="n">
        <v>4200</v>
      </c>
      <c r="O10" t="n">
        <v>4200</v>
      </c>
      <c r="P10" s="27" t="n">
        <v>46015</v>
      </c>
      <c r="Q10" t="inlineStr">
        <is>
          <t>Transferência Bancária ou Pix</t>
        </is>
      </c>
      <c r="R10" t="inlineStr">
        <is>
          <t>67</t>
        </is>
      </c>
      <c r="S10" t="inlineStr">
        <is>
          <t>Mão de Obra - PJ</t>
        </is>
      </c>
      <c r="T10" t="inlineStr">
        <is>
          <t>MDO PJ Fixo</t>
        </is>
      </c>
      <c r="U10" t="inlineStr">
        <is>
          <t>Documentação Aprovada</t>
        </is>
      </c>
      <c r="V10" t="inlineStr">
        <is>
          <t>Aprovado Diretoria</t>
        </is>
      </c>
      <c r="W10" t="inlineStr">
        <is>
          <t>Aprovado Caixa</t>
        </is>
      </c>
      <c r="X10" t="inlineStr">
        <is>
          <t>Parcela_Paga</t>
        </is>
      </c>
      <c r="Y10" t="n">
        <v>148</v>
      </c>
      <c r="Z10" t="inlineStr">
        <is>
          <t>Bar Brahma Granja - Tutum Filial - Kamino</t>
        </is>
      </c>
    </row>
    <row r="11">
      <c r="A11" t="n">
        <v>12620</v>
      </c>
      <c r="B11" t="n">
        <v>185714</v>
      </c>
      <c r="C11" t="inlineStr">
        <is>
          <t>Bar Brahma - Granja</t>
        </is>
      </c>
      <c r="D11" t="n">
        <v>148</v>
      </c>
      <c r="F11" t="inlineStr">
        <is>
          <t>PJ 56108101000135</t>
        </is>
      </c>
      <c r="G11" t="inlineStr">
        <is>
          <t>True</t>
        </is>
      </c>
      <c r="H11" t="n">
        <v>2</v>
      </c>
      <c r="I11" t="n">
        <v>2</v>
      </c>
      <c r="J11" t="n">
        <v>2100</v>
      </c>
      <c r="K11" s="27" t="n">
        <v>46037</v>
      </c>
      <c r="L11" s="27" t="n">
        <v>46037</v>
      </c>
      <c r="M11" s="27" t="n">
        <v>46037</v>
      </c>
      <c r="N11" t="n">
        <v>4200</v>
      </c>
      <c r="O11" t="n">
        <v>4200</v>
      </c>
      <c r="P11" s="27" t="n">
        <v>46015</v>
      </c>
      <c r="Q11" t="inlineStr">
        <is>
          <t>Transferência Bancária ou Pix</t>
        </is>
      </c>
      <c r="R11" t="inlineStr">
        <is>
          <t>37</t>
        </is>
      </c>
      <c r="S11" t="inlineStr">
        <is>
          <t>Mão de Obra - PJ</t>
        </is>
      </c>
      <c r="T11" t="inlineStr">
        <is>
          <t>MDO PJ Fixo</t>
        </is>
      </c>
      <c r="U11" t="inlineStr">
        <is>
          <t>Documentação Aprovada</t>
        </is>
      </c>
      <c r="V11" t="inlineStr">
        <is>
          <t>Aprovado Diretoria</t>
        </is>
      </c>
      <c r="W11" t="inlineStr">
        <is>
          <t>Aprovado Caixa</t>
        </is>
      </c>
      <c r="X11" t="inlineStr">
        <is>
          <t>Parcela_Paga</t>
        </is>
      </c>
      <c r="Y11" t="n">
        <v>148</v>
      </c>
      <c r="Z11" t="inlineStr">
        <is>
          <t>Bar Brahma Granja - Tutum Filial - Kamino</t>
        </is>
      </c>
    </row>
    <row r="12">
      <c r="A12" t="n">
        <v>12738</v>
      </c>
      <c r="B12" t="n">
        <v>187408</v>
      </c>
      <c r="C12" t="inlineStr">
        <is>
          <t>Bar Brahma - Granja</t>
        </is>
      </c>
      <c r="D12" t="n">
        <v>148</v>
      </c>
      <c r="F12" t="inlineStr">
        <is>
          <t>PSSS LTDA</t>
        </is>
      </c>
      <c r="G12" t="inlineStr">
        <is>
          <t>True</t>
        </is>
      </c>
      <c r="H12" t="n">
        <v>2</v>
      </c>
      <c r="I12" t="n">
        <v>2</v>
      </c>
      <c r="J12" t="n">
        <v>1688.94</v>
      </c>
      <c r="K12" s="27" t="n">
        <v>46037</v>
      </c>
      <c r="L12" s="27" t="n">
        <v>46037</v>
      </c>
      <c r="M12" s="27" t="n">
        <v>46037</v>
      </c>
      <c r="N12" t="n">
        <v>3377.88</v>
      </c>
      <c r="O12" t="n">
        <v>3377.88</v>
      </c>
      <c r="P12" s="27" t="n">
        <v>46023</v>
      </c>
      <c r="Q12" t="inlineStr">
        <is>
          <t>Boleto Bancário</t>
        </is>
      </c>
      <c r="R12" t="inlineStr">
        <is>
          <t>2854</t>
        </is>
      </c>
      <c r="S12" t="inlineStr">
        <is>
          <t>Utilidades</t>
        </is>
      </c>
      <c r="T12" t="inlineStr">
        <is>
          <t>Higiene e Limpeza</t>
        </is>
      </c>
      <c r="U12" t="inlineStr">
        <is>
          <t>Documentação Aprovada</t>
        </is>
      </c>
      <c r="V12" t="inlineStr">
        <is>
          <t>Aprovado Diretoria</t>
        </is>
      </c>
      <c r="W12" t="inlineStr">
        <is>
          <t>Aprovado Caixa</t>
        </is>
      </c>
      <c r="X12" t="inlineStr">
        <is>
          <t>Parcela_Paga</t>
        </is>
      </c>
      <c r="Y12" t="n">
        <v>164</v>
      </c>
      <c r="Z12" t="inlineStr">
        <is>
          <t>Bar Brahma Granja - FDB Filial - Kamino</t>
        </is>
      </c>
    </row>
    <row r="13">
      <c r="A13" t="n">
        <v>12737</v>
      </c>
      <c r="B13" t="n">
        <v>187408</v>
      </c>
      <c r="C13" t="inlineStr">
        <is>
          <t>Bar Brahma - Granja</t>
        </is>
      </c>
      <c r="D13" t="n">
        <v>148</v>
      </c>
      <c r="F13" t="inlineStr">
        <is>
          <t>PSSS LTDA</t>
        </is>
      </c>
      <c r="G13" t="inlineStr">
        <is>
          <t>True</t>
        </is>
      </c>
      <c r="H13" t="n">
        <v>2</v>
      </c>
      <c r="I13" t="n">
        <v>1</v>
      </c>
      <c r="J13" t="n">
        <v>1688.94</v>
      </c>
      <c r="K13" s="27" t="n">
        <v>46030</v>
      </c>
      <c r="L13" s="27" t="n">
        <v>46030</v>
      </c>
      <c r="M13" s="27" t="n">
        <v>46030</v>
      </c>
      <c r="N13" t="n">
        <v>3377.88</v>
      </c>
      <c r="O13" t="n">
        <v>3377.88</v>
      </c>
      <c r="P13" s="27" t="n">
        <v>46023</v>
      </c>
      <c r="Q13" t="inlineStr">
        <is>
          <t>Boleto Bancário</t>
        </is>
      </c>
      <c r="R13" t="inlineStr">
        <is>
          <t>2854</t>
        </is>
      </c>
      <c r="S13" t="inlineStr">
        <is>
          <t>Utilidades</t>
        </is>
      </c>
      <c r="T13" t="inlineStr">
        <is>
          <t>Higiene e Limpeza</t>
        </is>
      </c>
      <c r="U13" t="inlineStr">
        <is>
          <t>Documentação Aprovada</t>
        </is>
      </c>
      <c r="V13" t="inlineStr">
        <is>
          <t>Aprovado Diretoria</t>
        </is>
      </c>
      <c r="W13" t="inlineStr">
        <is>
          <t>Aprovado Caixa</t>
        </is>
      </c>
      <c r="X13" t="inlineStr">
        <is>
          <t>Parcela_Paga</t>
        </is>
      </c>
      <c r="Y13" t="n">
        <v>164</v>
      </c>
      <c r="Z13" t="inlineStr">
        <is>
          <t>Bar Brahma Granja - FDB Filial - Kamino</t>
        </is>
      </c>
    </row>
    <row r="14">
      <c r="A14" t="n">
        <v>12412</v>
      </c>
      <c r="B14" t="n">
        <v>182898</v>
      </c>
      <c r="C14" t="inlineStr">
        <is>
          <t>Bar Brahma - Granja</t>
        </is>
      </c>
      <c r="D14" t="n">
        <v>148</v>
      </c>
      <c r="F14" t="inlineStr">
        <is>
          <t>PLASTICOS SEGANTINI EIRELI</t>
        </is>
      </c>
      <c r="G14" t="inlineStr">
        <is>
          <t>True</t>
        </is>
      </c>
      <c r="H14" t="n">
        <v>5</v>
      </c>
      <c r="I14" t="n">
        <v>2</v>
      </c>
      <c r="J14" t="n">
        <v>1567.5</v>
      </c>
      <c r="K14" s="27" t="n">
        <v>46031</v>
      </c>
      <c r="L14" s="27" t="n">
        <v>46030</v>
      </c>
      <c r="M14" s="27" t="n">
        <v>46030</v>
      </c>
      <c r="N14" t="n">
        <v>7837.5</v>
      </c>
      <c r="O14" t="n">
        <v>7837.5</v>
      </c>
      <c r="P14" s="27" t="n">
        <v>46003</v>
      </c>
      <c r="Q14" t="inlineStr">
        <is>
          <t>Boleto Bancário</t>
        </is>
      </c>
      <c r="R14" t="inlineStr">
        <is>
          <t>56845</t>
        </is>
      </c>
      <c r="S14" t="inlineStr">
        <is>
          <t>Custo Mercadoria Vendida</t>
        </is>
      </c>
      <c r="T14" t="inlineStr">
        <is>
          <t>Insumos - Embalagens</t>
        </is>
      </c>
      <c r="U14" t="inlineStr">
        <is>
          <t>Documentação Aprovada</t>
        </is>
      </c>
      <c r="V14" t="inlineStr">
        <is>
          <t>Aprovado Diretoria</t>
        </is>
      </c>
      <c r="W14" t="inlineStr">
        <is>
          <t>Aprovado Caixa</t>
        </is>
      </c>
      <c r="X14" t="inlineStr">
        <is>
          <t>Parcela_Paga</t>
        </is>
      </c>
      <c r="Y14" t="n">
        <v>164</v>
      </c>
      <c r="Z14" t="inlineStr">
        <is>
          <t>Bar Brahma Granja - FDB Filial - Kamino</t>
        </is>
      </c>
    </row>
    <row r="15">
      <c r="A15" t="n">
        <v>12411</v>
      </c>
      <c r="B15" t="n">
        <v>182898</v>
      </c>
      <c r="C15" t="inlineStr">
        <is>
          <t>Bar Brahma - Granja</t>
        </is>
      </c>
      <c r="D15" t="n">
        <v>148</v>
      </c>
      <c r="F15" t="inlineStr">
        <is>
          <t>PLASTICOS SEGANTINI EIRELI</t>
        </is>
      </c>
      <c r="G15" t="inlineStr">
        <is>
          <t>True</t>
        </is>
      </c>
      <c r="H15" t="n">
        <v>5</v>
      </c>
      <c r="I15" t="n">
        <v>1</v>
      </c>
      <c r="J15" t="n">
        <v>1567.5</v>
      </c>
      <c r="K15" s="27" t="n">
        <v>46024</v>
      </c>
      <c r="L15" s="27" t="n">
        <v>46024</v>
      </c>
      <c r="M15" s="27" t="n">
        <v>46024</v>
      </c>
      <c r="N15" t="n">
        <v>7837.5</v>
      </c>
      <c r="O15" t="n">
        <v>7837.5</v>
      </c>
      <c r="P15" s="27" t="n">
        <v>46003</v>
      </c>
      <c r="Q15" t="inlineStr">
        <is>
          <t>Boleto Bancário</t>
        </is>
      </c>
      <c r="R15" t="inlineStr">
        <is>
          <t>56845</t>
        </is>
      </c>
      <c r="S15" t="inlineStr">
        <is>
          <t>Custo Mercadoria Vendida</t>
        </is>
      </c>
      <c r="T15" t="inlineStr">
        <is>
          <t>Insumos - Embalagens</t>
        </is>
      </c>
      <c r="U15" t="inlineStr">
        <is>
          <t>Documentação Aprovada</t>
        </is>
      </c>
      <c r="V15" t="inlineStr">
        <is>
          <t>Aprovado Diretoria</t>
        </is>
      </c>
      <c r="W15" t="inlineStr">
        <is>
          <t>Aprovado Caixa</t>
        </is>
      </c>
      <c r="X15" t="inlineStr">
        <is>
          <t>Parcela_Paga</t>
        </is>
      </c>
      <c r="Y15" t="n">
        <v>164</v>
      </c>
      <c r="Z15" t="inlineStr">
        <is>
          <t>Bar Brahma Granja - FDB Filial - Kamino</t>
        </is>
      </c>
    </row>
    <row r="16">
      <c r="A16" t="n">
        <v>12613</v>
      </c>
      <c r="B16" t="n">
        <v>185711</v>
      </c>
      <c r="C16" t="inlineStr">
        <is>
          <t>Bar Brahma - Granja</t>
        </is>
      </c>
      <c r="D16" t="n">
        <v>148</v>
      </c>
      <c r="F16" t="inlineStr">
        <is>
          <t>PJ 57139881000143</t>
        </is>
      </c>
      <c r="G16" t="inlineStr">
        <is>
          <t>True</t>
        </is>
      </c>
      <c r="H16" t="n">
        <v>2</v>
      </c>
      <c r="I16" t="n">
        <v>1</v>
      </c>
      <c r="J16" t="n">
        <v>3300</v>
      </c>
      <c r="K16" s="27" t="n">
        <v>46023</v>
      </c>
      <c r="L16" s="27" t="n">
        <v>46024</v>
      </c>
      <c r="M16" s="27" t="n">
        <v>46024</v>
      </c>
      <c r="N16" t="n">
        <v>6600</v>
      </c>
      <c r="O16" t="n">
        <v>6600</v>
      </c>
      <c r="P16" s="27" t="n">
        <v>46015</v>
      </c>
      <c r="Q16" t="inlineStr">
        <is>
          <t>Transferência Bancária ou Pix</t>
        </is>
      </c>
      <c r="R16" t="inlineStr">
        <is>
          <t>29</t>
        </is>
      </c>
      <c r="S16" t="inlineStr">
        <is>
          <t>Mão de Obra - PJ</t>
        </is>
      </c>
      <c r="T16" t="inlineStr">
        <is>
          <t>MDO PJ Fixo</t>
        </is>
      </c>
      <c r="U16" t="inlineStr">
        <is>
          <t>Documentação Aprovada</t>
        </is>
      </c>
      <c r="V16" t="inlineStr">
        <is>
          <t>Aprovado Diretoria</t>
        </is>
      </c>
      <c r="W16" t="inlineStr">
        <is>
          <t>Aprovado Caixa</t>
        </is>
      </c>
      <c r="X16" t="inlineStr">
        <is>
          <t>Parcela_Paga</t>
        </is>
      </c>
      <c r="Y16" t="n">
        <v>148</v>
      </c>
      <c r="Z16" t="inlineStr">
        <is>
          <t>Bar Brahma Granja - Tutum Filial - Kamino</t>
        </is>
      </c>
    </row>
    <row r="17">
      <c r="A17" t="n">
        <v>12619</v>
      </c>
      <c r="B17" t="n">
        <v>185714</v>
      </c>
      <c r="C17" t="inlineStr">
        <is>
          <t>Bar Brahma - Granja</t>
        </is>
      </c>
      <c r="D17" t="n">
        <v>148</v>
      </c>
      <c r="F17" t="inlineStr">
        <is>
          <t>PJ 56108101000135</t>
        </is>
      </c>
      <c r="G17" t="inlineStr">
        <is>
          <t>True</t>
        </is>
      </c>
      <c r="H17" t="n">
        <v>2</v>
      </c>
      <c r="I17" t="n">
        <v>1</v>
      </c>
      <c r="J17" t="n">
        <v>2100</v>
      </c>
      <c r="K17" s="27" t="n">
        <v>46023</v>
      </c>
      <c r="L17" s="27" t="n">
        <v>46024</v>
      </c>
      <c r="M17" s="27" t="n">
        <v>46024</v>
      </c>
      <c r="N17" t="n">
        <v>4200</v>
      </c>
      <c r="O17" t="n">
        <v>4200</v>
      </c>
      <c r="P17" s="27" t="n">
        <v>46015</v>
      </c>
      <c r="Q17" t="inlineStr">
        <is>
          <t>Transferência Bancária ou Pix</t>
        </is>
      </c>
      <c r="R17" t="inlineStr">
        <is>
          <t>37</t>
        </is>
      </c>
      <c r="S17" t="inlineStr">
        <is>
          <t>Mão de Obra - PJ</t>
        </is>
      </c>
      <c r="T17" t="inlineStr">
        <is>
          <t>MDO PJ Fixo</t>
        </is>
      </c>
      <c r="U17" t="inlineStr">
        <is>
          <t>Documentação Aprovada</t>
        </is>
      </c>
      <c r="V17" t="inlineStr">
        <is>
          <t>Aprovado Diretoria</t>
        </is>
      </c>
      <c r="W17" t="inlineStr">
        <is>
          <t>Aprovado Caixa</t>
        </is>
      </c>
      <c r="X17" t="inlineStr">
        <is>
          <t>Parcela_Paga</t>
        </is>
      </c>
      <c r="Y17" t="n">
        <v>148</v>
      </c>
      <c r="Z17" t="inlineStr">
        <is>
          <t>Bar Brahma Granja - Tutum Filial - Kamino</t>
        </is>
      </c>
    </row>
    <row r="18">
      <c r="A18" t="n">
        <v>12615</v>
      </c>
      <c r="B18" t="n">
        <v>185712</v>
      </c>
      <c r="C18" t="inlineStr">
        <is>
          <t>Bar Brahma - Granja</t>
        </is>
      </c>
      <c r="D18" t="n">
        <v>148</v>
      </c>
      <c r="F18" t="inlineStr">
        <is>
          <t>PJ 51165924000189</t>
        </is>
      </c>
      <c r="G18" t="inlineStr">
        <is>
          <t>True</t>
        </is>
      </c>
      <c r="H18" t="n">
        <v>2</v>
      </c>
      <c r="I18" t="n">
        <v>1</v>
      </c>
      <c r="J18" t="n">
        <v>3300</v>
      </c>
      <c r="K18" s="27" t="n">
        <v>46023</v>
      </c>
      <c r="L18" s="27" t="n">
        <v>46024</v>
      </c>
      <c r="M18" s="27" t="n">
        <v>46024</v>
      </c>
      <c r="N18" t="n">
        <v>6600</v>
      </c>
      <c r="O18" t="n">
        <v>6600</v>
      </c>
      <c r="P18" s="27" t="n">
        <v>46015</v>
      </c>
      <c r="Q18" t="inlineStr">
        <is>
          <t>Transferência Bancária ou Pix</t>
        </is>
      </c>
      <c r="R18" t="inlineStr">
        <is>
          <t>81</t>
        </is>
      </c>
      <c r="S18" t="inlineStr">
        <is>
          <t>Mão de Obra - PJ</t>
        </is>
      </c>
      <c r="T18" t="inlineStr">
        <is>
          <t>MDO PJ Fixo</t>
        </is>
      </c>
      <c r="U18" t="inlineStr">
        <is>
          <t>Documentação Aprovada</t>
        </is>
      </c>
      <c r="V18" t="inlineStr">
        <is>
          <t>Aprovado Diretoria</t>
        </is>
      </c>
      <c r="W18" t="inlineStr">
        <is>
          <t>Aprovado Caixa</t>
        </is>
      </c>
      <c r="X18" t="inlineStr">
        <is>
          <t>Parcela_Paga</t>
        </is>
      </c>
      <c r="Y18" t="n">
        <v>148</v>
      </c>
      <c r="Z18" t="inlineStr">
        <is>
          <t>Bar Brahma Granja - Tutum Filial - Kamino</t>
        </is>
      </c>
    </row>
    <row r="19">
      <c r="A19" t="n">
        <v>12621</v>
      </c>
      <c r="B19" t="n">
        <v>185715</v>
      </c>
      <c r="C19" t="inlineStr">
        <is>
          <t>Bar Brahma - Granja</t>
        </is>
      </c>
      <c r="D19" t="n">
        <v>148</v>
      </c>
      <c r="F19" t="inlineStr">
        <is>
          <t>PJ40068068000127</t>
        </is>
      </c>
      <c r="G19" t="inlineStr">
        <is>
          <t>True</t>
        </is>
      </c>
      <c r="H19" t="n">
        <v>2</v>
      </c>
      <c r="I19" t="n">
        <v>1</v>
      </c>
      <c r="J19" t="n">
        <v>2100</v>
      </c>
      <c r="K19" s="27" t="n">
        <v>46023</v>
      </c>
      <c r="L19" s="27" t="n">
        <v>46024</v>
      </c>
      <c r="M19" s="27" t="n">
        <v>46024</v>
      </c>
      <c r="N19" t="n">
        <v>4200</v>
      </c>
      <c r="O19" t="n">
        <v>4200</v>
      </c>
      <c r="P19" s="27" t="n">
        <v>46015</v>
      </c>
      <c r="Q19" t="inlineStr">
        <is>
          <t>Transferência Bancária ou Pix</t>
        </is>
      </c>
      <c r="R19" t="inlineStr">
        <is>
          <t>67</t>
        </is>
      </c>
      <c r="S19" t="inlineStr">
        <is>
          <t>Mão de Obra - PJ</t>
        </is>
      </c>
      <c r="T19" t="inlineStr">
        <is>
          <t>MDO PJ Fixo</t>
        </is>
      </c>
      <c r="U19" t="inlineStr">
        <is>
          <t>Documentação Aprovada</t>
        </is>
      </c>
      <c r="V19" t="inlineStr">
        <is>
          <t>Aprovado Diretoria</t>
        </is>
      </c>
      <c r="W19" t="inlineStr">
        <is>
          <t>Aprovado Caixa</t>
        </is>
      </c>
      <c r="X19" t="inlineStr">
        <is>
          <t>Parcela_Paga</t>
        </is>
      </c>
      <c r="Y19" t="n">
        <v>148</v>
      </c>
      <c r="Z19" t="inlineStr">
        <is>
          <t>Bar Brahma Granja - Tutum Filial - Kamino</t>
        </is>
      </c>
    </row>
    <row r="20">
      <c r="A20" t="n">
        <v>12617</v>
      </c>
      <c r="B20" t="n">
        <v>185713</v>
      </c>
      <c r="C20" t="inlineStr">
        <is>
          <t>Bar Brahma - Granja</t>
        </is>
      </c>
      <c r="D20" t="n">
        <v>148</v>
      </c>
      <c r="F20" t="inlineStr">
        <is>
          <t>PJ 57124624000138</t>
        </is>
      </c>
      <c r="G20" t="inlineStr">
        <is>
          <t>True</t>
        </is>
      </c>
      <c r="H20" t="n">
        <v>2</v>
      </c>
      <c r="I20" t="n">
        <v>1</v>
      </c>
      <c r="J20" t="n">
        <v>2000</v>
      </c>
      <c r="K20" s="27" t="n">
        <v>46023</v>
      </c>
      <c r="L20" s="27" t="n">
        <v>46024</v>
      </c>
      <c r="M20" s="27" t="n">
        <v>46024</v>
      </c>
      <c r="N20" t="n">
        <v>4000</v>
      </c>
      <c r="O20" t="n">
        <v>4000</v>
      </c>
      <c r="P20" s="27" t="n">
        <v>46015</v>
      </c>
      <c r="Q20" t="inlineStr">
        <is>
          <t>Transferência Bancária ou Pix</t>
        </is>
      </c>
      <c r="R20" t="inlineStr">
        <is>
          <t>33</t>
        </is>
      </c>
      <c r="S20" t="inlineStr">
        <is>
          <t>Mão de Obra - PJ</t>
        </is>
      </c>
      <c r="T20" t="inlineStr">
        <is>
          <t>MDO PJ Fixo</t>
        </is>
      </c>
      <c r="U20" t="inlineStr">
        <is>
          <t>Documentação Aprovada</t>
        </is>
      </c>
      <c r="V20" t="inlineStr">
        <is>
          <t>Aprovado Diretoria</t>
        </is>
      </c>
      <c r="W20" t="inlineStr">
        <is>
          <t>Aprovado Caixa</t>
        </is>
      </c>
      <c r="X20" t="inlineStr">
        <is>
          <t>Parcela_Paga</t>
        </is>
      </c>
      <c r="Y20" t="n">
        <v>148</v>
      </c>
      <c r="Z20" t="inlineStr">
        <is>
          <t>Bar Brahma Granja - Tutum Filial - Kamino</t>
        </is>
      </c>
    </row>
    <row r="21">
      <c r="A21" t="n">
        <v>12694</v>
      </c>
      <c r="B21" t="n">
        <v>185846</v>
      </c>
      <c r="C21" t="inlineStr">
        <is>
          <t>Bar Brahma - Granja</t>
        </is>
      </c>
      <c r="D21" t="n">
        <v>148</v>
      </c>
      <c r="F21" t="inlineStr">
        <is>
          <t>EVIDENCIA MODA PROFISSIONAL COMERCIO DE UNIFORMES LTDA</t>
        </is>
      </c>
      <c r="G21" t="inlineStr">
        <is>
          <t>True</t>
        </is>
      </c>
      <c r="H21" t="n">
        <v>2</v>
      </c>
      <c r="I21" t="n">
        <v>1</v>
      </c>
      <c r="J21" t="n">
        <v>652.05</v>
      </c>
      <c r="K21" s="27" t="n">
        <v>46024</v>
      </c>
      <c r="L21" s="27" t="n">
        <v>46024</v>
      </c>
      <c r="M21" s="27" t="n">
        <v>46024</v>
      </c>
      <c r="N21" t="n">
        <v>1304.1</v>
      </c>
      <c r="O21" t="n">
        <v>1304.1</v>
      </c>
      <c r="P21" s="27" t="n">
        <v>46015</v>
      </c>
      <c r="Q21" t="inlineStr">
        <is>
          <t>Boleto Bancário</t>
        </is>
      </c>
      <c r="R21" t="inlineStr">
        <is>
          <t>10410</t>
        </is>
      </c>
      <c r="S21" t="inlineStr">
        <is>
          <t>Utilidades</t>
        </is>
      </c>
      <c r="T21" t="inlineStr">
        <is>
          <t>Utensilios</t>
        </is>
      </c>
      <c r="U21" t="inlineStr">
        <is>
          <t>Documentação Aprovada</t>
        </is>
      </c>
      <c r="V21" t="inlineStr">
        <is>
          <t>Aprovado Diretoria</t>
        </is>
      </c>
      <c r="W21" t="inlineStr">
        <is>
          <t>Aprovado Caixa</t>
        </is>
      </c>
      <c r="X21" t="inlineStr">
        <is>
          <t>Parcela_Paga</t>
        </is>
      </c>
      <c r="Y21" t="n">
        <v>164</v>
      </c>
      <c r="Z21" t="inlineStr">
        <is>
          <t>Bar Brahma Granja - FDB Filial - Kamino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ID_Extrato_Bancario</t>
        </is>
      </c>
      <c r="B1" t="inlineStr">
        <is>
          <t>ID_Conta_Bancaria</t>
        </is>
      </c>
      <c r="C1" t="inlineStr">
        <is>
          <t>Nome_Conta_Bancaria</t>
        </is>
      </c>
      <c r="D1" t="inlineStr">
        <is>
          <t>ID_Casa</t>
        </is>
      </c>
      <c r="E1" t="inlineStr">
        <is>
          <t>Casa</t>
        </is>
      </c>
      <c r="F1" t="inlineStr">
        <is>
          <t>Data_Transacao</t>
        </is>
      </c>
      <c r="G1" t="inlineStr">
        <is>
          <t>Tipo_Credito_Debito</t>
        </is>
      </c>
      <c r="H1" t="inlineStr">
        <is>
          <t>Descricao_Transacao</t>
        </is>
      </c>
      <c r="I1" t="inlineStr">
        <is>
          <t>Valor</t>
        </is>
      </c>
    </row>
    <row r="2">
      <c r="A2" t="n">
        <v>237065</v>
      </c>
      <c r="B2" t="n">
        <v>148</v>
      </c>
      <c r="C2" t="inlineStr">
        <is>
          <t>Bar Brahma Granja - Tutum Filial - Kamino</t>
        </is>
      </c>
      <c r="D2" t="n">
        <v>148</v>
      </c>
      <c r="E2" t="inlineStr">
        <is>
          <t>Bar Brahma - Granja</t>
        </is>
      </c>
      <c r="F2" s="27" t="n">
        <v>46051</v>
      </c>
      <c r="G2" t="inlineStr">
        <is>
          <t>DEBITO</t>
        </is>
      </c>
      <c r="H2" t="inlineStr">
        <is>
          <t>Flash Tec e Pagamentos Ltda.</t>
        </is>
      </c>
      <c r="I2" t="n">
        <v>-2350</v>
      </c>
    </row>
    <row r="3">
      <c r="A3" t="n">
        <v>237021</v>
      </c>
      <c r="B3" t="n">
        <v>164</v>
      </c>
      <c r="C3" t="inlineStr">
        <is>
          <t>Bar Brahma Granja - FDB Filial - Kamino</t>
        </is>
      </c>
      <c r="D3" t="n">
        <v>148</v>
      </c>
      <c r="E3" t="inlineStr">
        <is>
          <t>Bar Brahma - Granja</t>
        </is>
      </c>
      <c r="F3" s="27" t="n">
        <v>46051</v>
      </c>
      <c r="G3" t="inlineStr">
        <is>
          <t>DEBITO</t>
        </is>
      </c>
      <c r="H3" t="inlineStr">
        <is>
          <t>Bb Dist de Carnes Ltda</t>
        </is>
      </c>
      <c r="I3" t="n">
        <v>-3372</v>
      </c>
    </row>
    <row r="4">
      <c r="A4" t="n">
        <v>237062</v>
      </c>
      <c r="B4" t="n">
        <v>148</v>
      </c>
      <c r="C4" t="inlineStr">
        <is>
          <t>Bar Brahma Granja - Tutum Filial - Kamino</t>
        </is>
      </c>
      <c r="D4" t="n">
        <v>148</v>
      </c>
      <c r="E4" t="inlineStr">
        <is>
          <t>Bar Brahma - Granja</t>
        </is>
      </c>
      <c r="F4" s="27" t="n">
        <v>46051</v>
      </c>
      <c r="G4" t="inlineStr">
        <is>
          <t>CREDITO</t>
        </is>
      </c>
      <c r="H4" t="inlineStr">
        <is>
          <t>TEMPUS FUGIT PARTICIPACOES E EMPREENDIMENTOS LTDA</t>
        </is>
      </c>
      <c r="I4" t="n">
        <v>3000</v>
      </c>
    </row>
    <row r="5">
      <c r="A5" t="n">
        <v>237063</v>
      </c>
      <c r="B5" t="n">
        <v>148</v>
      </c>
      <c r="C5" t="inlineStr">
        <is>
          <t>Bar Brahma Granja - Tutum Filial - Kamino</t>
        </is>
      </c>
      <c r="D5" t="n">
        <v>148</v>
      </c>
      <c r="E5" t="inlineStr">
        <is>
          <t>Bar Brahma - Granja</t>
        </is>
      </c>
      <c r="F5" s="27" t="n">
        <v>46051</v>
      </c>
      <c r="G5" t="inlineStr">
        <is>
          <t>DEBITO</t>
        </is>
      </c>
      <c r="H5" t="inlineStr">
        <is>
          <t>Porto Seguro Cia de Seguros Gerais</t>
        </is>
      </c>
      <c r="I5" t="n">
        <v>-332.24</v>
      </c>
    </row>
    <row r="6">
      <c r="A6" t="n">
        <v>237064</v>
      </c>
      <c r="B6" t="n">
        <v>148</v>
      </c>
      <c r="C6" t="inlineStr">
        <is>
          <t>Bar Brahma Granja - Tutum Filial - Kamino</t>
        </is>
      </c>
      <c r="D6" t="n">
        <v>148</v>
      </c>
      <c r="E6" t="inlineStr">
        <is>
          <t>Bar Brahma - Granja</t>
        </is>
      </c>
      <c r="F6" s="27" t="n">
        <v>46051</v>
      </c>
      <c r="G6" t="inlineStr">
        <is>
          <t>DEBITO</t>
        </is>
      </c>
      <c r="H6" t="inlineStr">
        <is>
          <t>Sao Paulo Transporte Sa</t>
        </is>
      </c>
      <c r="I6" t="n">
        <v>-286.34</v>
      </c>
    </row>
    <row r="7">
      <c r="A7" t="n">
        <v>237017</v>
      </c>
      <c r="B7" t="n">
        <v>164</v>
      </c>
      <c r="C7" t="inlineStr">
        <is>
          <t>Bar Brahma Granja - FDB Filial - Kamino</t>
        </is>
      </c>
      <c r="D7" t="n">
        <v>148</v>
      </c>
      <c r="E7" t="inlineStr">
        <is>
          <t>Bar Brahma - Granja</t>
        </is>
      </c>
      <c r="F7" s="27" t="n">
        <v>46051</v>
      </c>
      <c r="G7" t="inlineStr">
        <is>
          <t>DEBITO</t>
        </is>
      </c>
      <c r="H7" t="inlineStr">
        <is>
          <t>Cia do Whisky</t>
        </is>
      </c>
      <c r="I7" t="n">
        <v>-812.52</v>
      </c>
    </row>
    <row r="8">
      <c r="A8" t="n">
        <v>237024</v>
      </c>
      <c r="B8" t="n">
        <v>164</v>
      </c>
      <c r="C8" t="inlineStr">
        <is>
          <t>Bar Brahma Granja - FDB Filial - Kamino</t>
        </is>
      </c>
      <c r="D8" t="n">
        <v>148</v>
      </c>
      <c r="E8" t="inlineStr">
        <is>
          <t>Bar Brahma - Granja</t>
        </is>
      </c>
      <c r="F8" s="27" t="n">
        <v>46051</v>
      </c>
      <c r="G8" t="inlineStr">
        <is>
          <t>DEBITO</t>
        </is>
      </c>
      <c r="H8" t="inlineStr">
        <is>
          <t>Premier Pescados Comercio e Im</t>
        </is>
      </c>
      <c r="I8" t="n">
        <v>-468</v>
      </c>
    </row>
    <row r="9">
      <c r="A9" t="n">
        <v>237016</v>
      </c>
      <c r="B9" t="n">
        <v>164</v>
      </c>
      <c r="C9" t="inlineStr">
        <is>
          <t>Bar Brahma Granja - FDB Filial - Kamino</t>
        </is>
      </c>
      <c r="D9" t="n">
        <v>148</v>
      </c>
      <c r="E9" t="inlineStr">
        <is>
          <t>Bar Brahma - Granja</t>
        </is>
      </c>
      <c r="F9" s="27" t="n">
        <v>46051</v>
      </c>
      <c r="G9" t="inlineStr">
        <is>
          <t>DEBITO</t>
        </is>
      </c>
      <c r="H9" t="inlineStr">
        <is>
          <t>Reginaldo Silva do Nascimento</t>
        </is>
      </c>
      <c r="I9" t="n">
        <v>-1000</v>
      </c>
    </row>
    <row r="10">
      <c r="A10" t="n">
        <v>237015</v>
      </c>
      <c r="B10" t="n">
        <v>164</v>
      </c>
      <c r="C10" t="inlineStr">
        <is>
          <t>Bar Brahma Granja - FDB Filial - Kamino</t>
        </is>
      </c>
      <c r="D10" t="n">
        <v>148</v>
      </c>
      <c r="E10" t="inlineStr">
        <is>
          <t>Bar Brahma - Granja</t>
        </is>
      </c>
      <c r="F10" s="27" t="n">
        <v>46051</v>
      </c>
      <c r="G10" t="inlineStr">
        <is>
          <t>DEBITO</t>
        </is>
      </c>
      <c r="H10" t="inlineStr">
        <is>
          <t>Nova Comercial do Peixe Eireli</t>
        </is>
      </c>
      <c r="I10" t="n">
        <v>-1018.5</v>
      </c>
    </row>
    <row r="11">
      <c r="A11" t="n">
        <v>237014</v>
      </c>
      <c r="B11" t="n">
        <v>164</v>
      </c>
      <c r="C11" t="inlineStr">
        <is>
          <t>Bar Brahma Granja - FDB Filial - Kamino</t>
        </is>
      </c>
      <c r="D11" t="n">
        <v>148</v>
      </c>
      <c r="E11" t="inlineStr">
        <is>
          <t>Bar Brahma - Granja</t>
        </is>
      </c>
      <c r="F11" s="27" t="n">
        <v>46051</v>
      </c>
      <c r="G11" t="inlineStr">
        <is>
          <t>DEBITO</t>
        </is>
      </c>
      <c r="H11" t="inlineStr">
        <is>
          <t>Dtk Comercio de Alimentos Ltda Epp</t>
        </is>
      </c>
      <c r="I11" t="n">
        <v>-104.1</v>
      </c>
    </row>
    <row r="12">
      <c r="A12" t="n">
        <v>237013</v>
      </c>
      <c r="B12" t="n">
        <v>164</v>
      </c>
      <c r="C12" t="inlineStr">
        <is>
          <t>Bar Brahma Granja - FDB Filial - Kamino</t>
        </is>
      </c>
      <c r="D12" t="n">
        <v>148</v>
      </c>
      <c r="E12" t="inlineStr">
        <is>
          <t>Bar Brahma - Granja</t>
        </is>
      </c>
      <c r="F12" s="27" t="n">
        <v>46051</v>
      </c>
      <c r="G12" t="inlineStr">
        <is>
          <t>DEBITO</t>
        </is>
      </c>
      <c r="H12" t="inlineStr">
        <is>
          <t>Evidencia Moda P C U Ltda</t>
        </is>
      </c>
      <c r="I12" t="n">
        <v>-652.05</v>
      </c>
    </row>
    <row r="13">
      <c r="A13" t="n">
        <v>237012</v>
      </c>
      <c r="B13" t="n">
        <v>164</v>
      </c>
      <c r="C13" t="inlineStr">
        <is>
          <t>Bar Brahma Granja - FDB Filial - Kamino</t>
        </is>
      </c>
      <c r="D13" t="n">
        <v>148</v>
      </c>
      <c r="E13" t="inlineStr">
        <is>
          <t>Bar Brahma - Granja</t>
        </is>
      </c>
      <c r="F13" s="27" t="n">
        <v>46051</v>
      </c>
      <c r="G13" t="inlineStr">
        <is>
          <t>DEBITO</t>
        </is>
      </c>
      <c r="H13" t="inlineStr">
        <is>
          <t>Cia do Whisky</t>
        </is>
      </c>
      <c r="I13" t="n">
        <v>-4258.77</v>
      </c>
    </row>
    <row r="14">
      <c r="A14" t="n">
        <v>237011</v>
      </c>
      <c r="B14" t="n">
        <v>164</v>
      </c>
      <c r="C14" t="inlineStr">
        <is>
          <t>Bar Brahma Granja - FDB Filial - Kamino</t>
        </is>
      </c>
      <c r="D14" t="n">
        <v>148</v>
      </c>
      <c r="E14" t="inlineStr">
        <is>
          <t>Bar Brahma - Granja</t>
        </is>
      </c>
      <c r="F14" s="27" t="n">
        <v>46051</v>
      </c>
      <c r="G14" t="inlineStr">
        <is>
          <t>CREDITO</t>
        </is>
      </c>
      <c r="H14" t="inlineStr">
        <is>
          <t>TEMPUS FUGIT PARTICIPACOES E EMPREENDIMENTOS LTDA</t>
        </is>
      </c>
      <c r="I14" t="n">
        <v>3200</v>
      </c>
    </row>
    <row r="15">
      <c r="A15" t="n">
        <v>237010</v>
      </c>
      <c r="B15" t="n">
        <v>164</v>
      </c>
      <c r="C15" t="inlineStr">
        <is>
          <t>Bar Brahma Granja - FDB Filial - Kamino</t>
        </is>
      </c>
      <c r="D15" t="n">
        <v>148</v>
      </c>
      <c r="E15" t="inlineStr">
        <is>
          <t>Bar Brahma - Granja</t>
        </is>
      </c>
      <c r="F15" s="27" t="n">
        <v>46051</v>
      </c>
      <c r="G15" t="inlineStr">
        <is>
          <t>CREDITO</t>
        </is>
      </c>
      <c r="H15" t="inlineStr">
        <is>
          <t>Zig Tecnologia S.A.</t>
        </is>
      </c>
      <c r="I15" t="n">
        <v>8313</v>
      </c>
    </row>
    <row r="16">
      <c r="A16" t="n">
        <v>237018</v>
      </c>
      <c r="B16" t="n">
        <v>164</v>
      </c>
      <c r="C16" t="inlineStr">
        <is>
          <t>Bar Brahma Granja - FDB Filial - Kamino</t>
        </is>
      </c>
      <c r="D16" t="n">
        <v>148</v>
      </c>
      <c r="E16" t="inlineStr">
        <is>
          <t>Bar Brahma - Granja</t>
        </is>
      </c>
      <c r="F16" s="27" t="n">
        <v>46051</v>
      </c>
      <c r="G16" t="inlineStr">
        <is>
          <t>DEBITO</t>
        </is>
      </c>
      <c r="H16" t="inlineStr">
        <is>
          <t>Cecilia Tsuyaco Araki Silva Ltda</t>
        </is>
      </c>
      <c r="I16" t="n">
        <v>-326.33</v>
      </c>
    </row>
    <row r="17">
      <c r="A17" t="n">
        <v>237022</v>
      </c>
      <c r="B17" t="n">
        <v>164</v>
      </c>
      <c r="C17" t="inlineStr">
        <is>
          <t>Bar Brahma Granja - FDB Filial - Kamino</t>
        </is>
      </c>
      <c r="D17" t="n">
        <v>148</v>
      </c>
      <c r="E17" t="inlineStr">
        <is>
          <t>Bar Brahma - Granja</t>
        </is>
      </c>
      <c r="F17" s="27" t="n">
        <v>46051</v>
      </c>
      <c r="G17" t="inlineStr">
        <is>
          <t>DEBITO</t>
        </is>
      </c>
      <c r="H17" t="inlineStr">
        <is>
          <t>Ministerio da Fazenda</t>
        </is>
      </c>
      <c r="I17" t="n">
        <v>-2502.22</v>
      </c>
    </row>
    <row r="18">
      <c r="A18" t="n">
        <v>237023</v>
      </c>
      <c r="B18" t="n">
        <v>164</v>
      </c>
      <c r="C18" t="inlineStr">
        <is>
          <t>Bar Brahma Granja - FDB Filial - Kamino</t>
        </is>
      </c>
      <c r="D18" t="n">
        <v>148</v>
      </c>
      <c r="E18" t="inlineStr">
        <is>
          <t>Bar Brahma - Granja</t>
        </is>
      </c>
      <c r="F18" s="27" t="n">
        <v>46051</v>
      </c>
      <c r="G18" t="inlineStr">
        <is>
          <t>DEBITO</t>
        </is>
      </c>
      <c r="H18" t="inlineStr">
        <is>
          <t>Plasticos Segantini Eireli</t>
        </is>
      </c>
      <c r="I18" t="n">
        <v>-1567.5</v>
      </c>
    </row>
    <row r="19">
      <c r="A19" t="n">
        <v>237020</v>
      </c>
      <c r="B19" t="n">
        <v>164</v>
      </c>
      <c r="C19" t="inlineStr">
        <is>
          <t>Bar Brahma Granja - FDB Filial - Kamino</t>
        </is>
      </c>
      <c r="D19" t="n">
        <v>148</v>
      </c>
      <c r="E19" t="inlineStr">
        <is>
          <t>Bar Brahma - Granja</t>
        </is>
      </c>
      <c r="F19" s="27" t="n">
        <v>46051</v>
      </c>
      <c r="G19" t="inlineStr">
        <is>
          <t>DEBITO</t>
        </is>
      </c>
      <c r="H19" t="inlineStr">
        <is>
          <t>Estaff Solucoes Tecnologicas de Agenciam</t>
        </is>
      </c>
      <c r="I19" t="n">
        <v>-7406.67</v>
      </c>
    </row>
    <row r="20">
      <c r="A20" t="n">
        <v>237025</v>
      </c>
      <c r="B20" t="n">
        <v>164</v>
      </c>
      <c r="C20" t="inlineStr">
        <is>
          <t>Bar Brahma Granja - FDB Filial - Kamino</t>
        </is>
      </c>
      <c r="D20" t="n">
        <v>148</v>
      </c>
      <c r="E20" t="inlineStr">
        <is>
          <t>Bar Brahma - Granja</t>
        </is>
      </c>
      <c r="F20" s="27" t="n">
        <v>46051</v>
      </c>
      <c r="G20" t="inlineStr">
        <is>
          <t>DEBITO</t>
        </is>
      </c>
      <c r="H20" t="inlineStr">
        <is>
          <t>Cecilia Tsuyaco Araki Silva Ltda</t>
        </is>
      </c>
      <c r="I20" t="n">
        <v>-225.03</v>
      </c>
    </row>
    <row r="21">
      <c r="A21" t="n">
        <v>237026</v>
      </c>
      <c r="B21" t="n">
        <v>164</v>
      </c>
      <c r="C21" t="inlineStr">
        <is>
          <t>Bar Brahma Granja - FDB Filial - Kamino</t>
        </is>
      </c>
      <c r="D21" t="n">
        <v>148</v>
      </c>
      <c r="E21" t="inlineStr">
        <is>
          <t>Bar Brahma - Granja</t>
        </is>
      </c>
      <c r="F21" s="27" t="n">
        <v>46051</v>
      </c>
      <c r="G21" t="inlineStr">
        <is>
          <t>DEBITO</t>
        </is>
      </c>
      <c r="H21" t="inlineStr">
        <is>
          <t>Companhia de Gas de Sp Comgas</t>
        </is>
      </c>
      <c r="I21" t="n">
        <v>-8786.51</v>
      </c>
    </row>
    <row r="22">
      <c r="A22" t="n">
        <v>237027</v>
      </c>
      <c r="B22" t="n">
        <v>164</v>
      </c>
      <c r="C22" t="inlineStr">
        <is>
          <t>Bar Brahma Granja - FDB Filial - Kamino</t>
        </is>
      </c>
      <c r="D22" t="n">
        <v>148</v>
      </c>
      <c r="E22" t="inlineStr">
        <is>
          <t>Bar Brahma - Granja</t>
        </is>
      </c>
      <c r="F22" s="27" t="n">
        <v>46051</v>
      </c>
      <c r="G22" t="inlineStr">
        <is>
          <t>DEBITO</t>
        </is>
      </c>
      <c r="H22" t="inlineStr">
        <is>
          <t>Mario Pedro Feliciano Hortifru</t>
        </is>
      </c>
      <c r="I22" t="n">
        <v>-440.5</v>
      </c>
    </row>
    <row r="23">
      <c r="A23" t="n">
        <v>237028</v>
      </c>
      <c r="B23" t="n">
        <v>164</v>
      </c>
      <c r="C23" t="inlineStr">
        <is>
          <t>Bar Brahma Granja - FDB Filial - Kamino</t>
        </is>
      </c>
      <c r="D23" t="n">
        <v>148</v>
      </c>
      <c r="E23" t="inlineStr">
        <is>
          <t>Bar Brahma - Granja</t>
        </is>
      </c>
      <c r="F23" s="27" t="n">
        <v>46051</v>
      </c>
      <c r="G23" t="inlineStr">
        <is>
          <t>DEBITO</t>
        </is>
      </c>
      <c r="H23" t="inlineStr">
        <is>
          <t>Laticinios Piramide Ltda</t>
        </is>
      </c>
      <c r="I23" t="n">
        <v>-2309.6</v>
      </c>
    </row>
    <row r="24">
      <c r="A24" t="n">
        <v>237029</v>
      </c>
      <c r="B24" t="n">
        <v>164</v>
      </c>
      <c r="C24" t="inlineStr">
        <is>
          <t>Bar Brahma Granja - FDB Filial - Kamino</t>
        </is>
      </c>
      <c r="D24" t="n">
        <v>148</v>
      </c>
      <c r="E24" t="inlineStr">
        <is>
          <t>Bar Brahma - Granja</t>
        </is>
      </c>
      <c r="F24" s="27" t="n">
        <v>46051</v>
      </c>
      <c r="G24" t="inlineStr">
        <is>
          <t>DEBITO</t>
        </is>
      </c>
      <c r="H24" t="inlineStr">
        <is>
          <t>Multifrangos com Alim Ltda Me</t>
        </is>
      </c>
      <c r="I24" t="n">
        <v>-723.61</v>
      </c>
    </row>
    <row r="25">
      <c r="A25" t="n">
        <v>237030</v>
      </c>
      <c r="B25" t="n">
        <v>164</v>
      </c>
      <c r="C25" t="inlineStr">
        <is>
          <t>Bar Brahma Granja - FDB Filial - Kamino</t>
        </is>
      </c>
      <c r="D25" t="n">
        <v>148</v>
      </c>
      <c r="E25" t="inlineStr">
        <is>
          <t>Bar Brahma - Granja</t>
        </is>
      </c>
      <c r="F25" s="27" t="n">
        <v>46051</v>
      </c>
      <c r="G25" t="inlineStr">
        <is>
          <t>CREDITO</t>
        </is>
      </c>
      <c r="H25" t="inlineStr">
        <is>
          <t>TEMPUS FUGIT PARTICIPACOES E EMPREENDIMENTOS LTDA</t>
        </is>
      </c>
      <c r="I25" t="n">
        <v>50</v>
      </c>
    </row>
    <row r="26">
      <c r="A26" t="n">
        <v>237031</v>
      </c>
      <c r="B26" t="n">
        <v>164</v>
      </c>
      <c r="C26" t="inlineStr">
        <is>
          <t>Bar Brahma Granja - FDB Filial - Kamino</t>
        </is>
      </c>
      <c r="D26" t="n">
        <v>148</v>
      </c>
      <c r="E26" t="inlineStr">
        <is>
          <t>Bar Brahma - Granja</t>
        </is>
      </c>
      <c r="F26" s="27" t="n">
        <v>46051</v>
      </c>
      <c r="G26" t="inlineStr">
        <is>
          <t>DEBITO</t>
        </is>
      </c>
      <c r="H26" t="inlineStr">
        <is>
          <t>Desentupidora Pinheiros e Comercio Ltda</t>
        </is>
      </c>
      <c r="I26" t="n">
        <v>-28</v>
      </c>
    </row>
    <row r="27">
      <c r="A27" t="n">
        <v>237040</v>
      </c>
      <c r="B27" t="n">
        <v>153</v>
      </c>
      <c r="C27" t="inlineStr">
        <is>
          <t>Bar Brahma Granja - FDB Novo - Banco do Brasil</t>
        </is>
      </c>
      <c r="D27" t="n">
        <v>148</v>
      </c>
      <c r="E27" t="inlineStr">
        <is>
          <t>Bar Brahma - Granja</t>
        </is>
      </c>
      <c r="F27" s="27" t="n">
        <v>46051</v>
      </c>
      <c r="G27" t="inlineStr">
        <is>
          <t>CREDITO</t>
        </is>
      </c>
      <c r="H27" t="inlineStr">
        <is>
          <t>RECEBIMENTO FORNECEDOR - 04.740.876/0001-25 ALELO INSTITUICAO D</t>
        </is>
      </c>
      <c r="I27" t="n">
        <v>239.87</v>
      </c>
    </row>
    <row r="28">
      <c r="A28" t="n">
        <v>237041</v>
      </c>
      <c r="B28" t="n">
        <v>153</v>
      </c>
      <c r="C28" t="inlineStr">
        <is>
          <t>Bar Brahma Granja - FDB Novo - Banco do Brasil</t>
        </is>
      </c>
      <c r="D28" t="n">
        <v>148</v>
      </c>
      <c r="E28" t="inlineStr">
        <is>
          <t>Bar Brahma - Granja</t>
        </is>
      </c>
      <c r="F28" s="27" t="n">
        <v>46051</v>
      </c>
      <c r="G28" t="inlineStr">
        <is>
          <t>CREDITO</t>
        </is>
      </c>
      <c r="H28" t="inlineStr">
        <is>
          <t>TED-CRDITO EM CONTA - 341 0073 20959269000107 DIVERTI TICKET</t>
        </is>
      </c>
      <c r="I28" t="n">
        <v>1594.5</v>
      </c>
    </row>
    <row r="29">
      <c r="A29" t="n">
        <v>237019</v>
      </c>
      <c r="B29" t="n">
        <v>164</v>
      </c>
      <c r="C29" t="inlineStr">
        <is>
          <t>Bar Brahma Granja - FDB Filial - Kamino</t>
        </is>
      </c>
      <c r="D29" t="n">
        <v>148</v>
      </c>
      <c r="E29" t="inlineStr">
        <is>
          <t>Bar Brahma - Granja</t>
        </is>
      </c>
      <c r="F29" s="27" t="n">
        <v>46051</v>
      </c>
      <c r="G29" t="inlineStr">
        <is>
          <t>DEBITO</t>
        </is>
      </c>
      <c r="H29" t="inlineStr">
        <is>
          <t>Bb Dist de Carnes Ltda</t>
        </is>
      </c>
      <c r="I29" t="n">
        <v>-4638.12</v>
      </c>
    </row>
    <row r="30">
      <c r="A30" t="n">
        <v>239728</v>
      </c>
      <c r="B30" t="n">
        <v>187</v>
      </c>
      <c r="C30" t="inlineStr">
        <is>
          <t>Bar Brahma Granja - FDB Novo - Caixa</t>
        </is>
      </c>
      <c r="D30" t="n">
        <v>148</v>
      </c>
      <c r="E30" t="inlineStr">
        <is>
          <t>Bar Brahma - Granja</t>
        </is>
      </c>
      <c r="F30" s="27" t="n">
        <v>46050.625</v>
      </c>
      <c r="G30" t="inlineStr">
        <is>
          <t>CREDITO</t>
        </is>
      </c>
      <c r="H30" t="inlineStr">
        <is>
          <t>CRED TED</t>
        </is>
      </c>
      <c r="I30" t="n">
        <v>495.84</v>
      </c>
    </row>
    <row r="31">
      <c r="A31" t="n">
        <v>237061</v>
      </c>
      <c r="B31" t="n">
        <v>148</v>
      </c>
      <c r="C31" t="inlineStr">
        <is>
          <t>Bar Brahma Granja - Tutum Filial - Kamino</t>
        </is>
      </c>
      <c r="D31" t="n">
        <v>148</v>
      </c>
      <c r="E31" t="inlineStr">
        <is>
          <t>Bar Brahma - Granja</t>
        </is>
      </c>
      <c r="F31" s="27" t="n">
        <v>46050</v>
      </c>
      <c r="G31" t="inlineStr">
        <is>
          <t>DEBITO</t>
        </is>
      </c>
      <c r="H31" t="inlineStr">
        <is>
          <t>Tarifa Pix Enviado-PJ</t>
        </is>
      </c>
      <c r="I31" t="n">
        <v>-0.5</v>
      </c>
    </row>
    <row r="32">
      <c r="A32" t="n">
        <v>237060</v>
      </c>
      <c r="B32" t="n">
        <v>148</v>
      </c>
      <c r="C32" t="inlineStr">
        <is>
          <t>Bar Brahma Granja - Tutum Filial - Kamino</t>
        </is>
      </c>
      <c r="D32" t="n">
        <v>148</v>
      </c>
      <c r="E32" t="inlineStr">
        <is>
          <t>Bar Brahma - Granja</t>
        </is>
      </c>
      <c r="F32" s="27" t="n">
        <v>46050</v>
      </c>
      <c r="G32" t="inlineStr">
        <is>
          <t>DEBITO</t>
        </is>
      </c>
      <c r="H32" t="inlineStr">
        <is>
          <t>Maicon Santos Luz Silva</t>
        </is>
      </c>
      <c r="I32" t="n">
        <v>-2270</v>
      </c>
    </row>
    <row r="33">
      <c r="A33" t="n">
        <v>237059</v>
      </c>
      <c r="B33" t="n">
        <v>148</v>
      </c>
      <c r="C33" t="inlineStr">
        <is>
          <t>Bar Brahma Granja - Tutum Filial - Kamino</t>
        </is>
      </c>
      <c r="D33" t="n">
        <v>148</v>
      </c>
      <c r="E33" t="inlineStr">
        <is>
          <t>Bar Brahma - Granja</t>
        </is>
      </c>
      <c r="F33" s="27" t="n">
        <v>46050</v>
      </c>
      <c r="G33" t="inlineStr">
        <is>
          <t>CREDITO</t>
        </is>
      </c>
      <c r="H33" t="inlineStr">
        <is>
          <t>FDB BAR NOVO COMERCIO E EVENTOS LTDA</t>
        </is>
      </c>
      <c r="I33" t="n">
        <v>2100</v>
      </c>
    </row>
    <row r="34">
      <c r="A34" t="n">
        <v>237039</v>
      </c>
      <c r="B34" t="n">
        <v>153</v>
      </c>
      <c r="C34" t="inlineStr">
        <is>
          <t>Bar Brahma Granja - FDB Novo - Banco do Brasil</t>
        </is>
      </c>
      <c r="D34" t="n">
        <v>148</v>
      </c>
      <c r="E34" t="inlineStr">
        <is>
          <t>Bar Brahma - Granja</t>
        </is>
      </c>
      <c r="F34" s="27" t="n">
        <v>46050</v>
      </c>
      <c r="G34" t="inlineStr">
        <is>
          <t>CREDITO</t>
        </is>
      </c>
      <c r="H34" t="inlineStr">
        <is>
          <t>RECEBIMENTO FORNECEDOR - 04.740.876/0001-25 ALELO INSTITUICAO D</t>
        </is>
      </c>
      <c r="I34" t="n">
        <v>782.86</v>
      </c>
    </row>
    <row r="35">
      <c r="A35" t="n">
        <v>237007</v>
      </c>
      <c r="B35" t="n">
        <v>164</v>
      </c>
      <c r="C35" t="inlineStr">
        <is>
          <t>Bar Brahma Granja - FDB Filial - Kamino</t>
        </is>
      </c>
      <c r="D35" t="n">
        <v>148</v>
      </c>
      <c r="E35" t="inlineStr">
        <is>
          <t>Bar Brahma - Granja</t>
        </is>
      </c>
      <c r="F35" s="27" t="n">
        <v>46050</v>
      </c>
      <c r="G35" t="inlineStr">
        <is>
          <t>CREDITO</t>
        </is>
      </c>
      <c r="H35" t="inlineStr">
        <is>
          <t>Zig Tecnologia S.A.</t>
        </is>
      </c>
      <c r="I35" t="n">
        <v>5319</v>
      </c>
    </row>
    <row r="36">
      <c r="A36" t="n">
        <v>237008</v>
      </c>
      <c r="B36" t="n">
        <v>164</v>
      </c>
      <c r="C36" t="inlineStr">
        <is>
          <t>Bar Brahma Granja - FDB Filial - Kamino</t>
        </is>
      </c>
      <c r="D36" t="n">
        <v>148</v>
      </c>
      <c r="E36" t="inlineStr">
        <is>
          <t>Bar Brahma - Granja</t>
        </is>
      </c>
      <c r="F36" s="27" t="n">
        <v>46050</v>
      </c>
      <c r="G36" t="inlineStr">
        <is>
          <t>DEBITO</t>
        </is>
      </c>
      <c r="H36" t="inlineStr">
        <is>
          <t>Tutum Bar e Eventos Ltda</t>
        </is>
      </c>
      <c r="I36" t="n">
        <v>-2100</v>
      </c>
    </row>
    <row r="37">
      <c r="A37" t="n">
        <v>237009</v>
      </c>
      <c r="B37" t="n">
        <v>164</v>
      </c>
      <c r="C37" t="inlineStr">
        <is>
          <t>Bar Brahma Granja - FDB Filial - Kamino</t>
        </is>
      </c>
      <c r="D37" t="n">
        <v>148</v>
      </c>
      <c r="E37" t="inlineStr">
        <is>
          <t>Bar Brahma - Granja</t>
        </is>
      </c>
      <c r="F37" s="27" t="n">
        <v>46050</v>
      </c>
      <c r="G37" t="inlineStr">
        <is>
          <t>DEBITO</t>
        </is>
      </c>
      <c r="H37" t="inlineStr">
        <is>
          <t>Inst Estudos Protesto Titulos</t>
        </is>
      </c>
      <c r="I37" t="n">
        <v>-19.66</v>
      </c>
    </row>
    <row r="38">
      <c r="A38" t="n">
        <v>236989</v>
      </c>
      <c r="B38" t="n">
        <v>164</v>
      </c>
      <c r="C38" t="inlineStr">
        <is>
          <t>Bar Brahma Granja - FDB Filial - Kamino</t>
        </is>
      </c>
      <c r="D38" t="n">
        <v>148</v>
      </c>
      <c r="E38" t="inlineStr">
        <is>
          <t>Bar Brahma - Granja</t>
        </is>
      </c>
      <c r="F38" s="27" t="n">
        <v>46049</v>
      </c>
      <c r="G38" t="inlineStr">
        <is>
          <t>DEBITO</t>
        </is>
      </c>
      <c r="H38" t="inlineStr">
        <is>
          <t>Wide Stock com e Rep Ltda</t>
        </is>
      </c>
      <c r="I38" t="n">
        <v>-125.7</v>
      </c>
    </row>
    <row r="39">
      <c r="A39" t="n">
        <v>237000</v>
      </c>
      <c r="B39" t="n">
        <v>164</v>
      </c>
      <c r="C39" t="inlineStr">
        <is>
          <t>Bar Brahma Granja - FDB Filial - Kamino</t>
        </is>
      </c>
      <c r="D39" t="n">
        <v>148</v>
      </c>
      <c r="E39" t="inlineStr">
        <is>
          <t>Bar Brahma - Granja</t>
        </is>
      </c>
      <c r="F39" s="27" t="n">
        <v>46049</v>
      </c>
      <c r="G39" t="inlineStr">
        <is>
          <t>DEBITO</t>
        </is>
      </c>
      <c r="H39" t="inlineStr">
        <is>
          <t>Mar Direto Poc Comercio de Peixes Ltda</t>
        </is>
      </c>
      <c r="I39" t="n">
        <v>-620</v>
      </c>
    </row>
    <row r="40">
      <c r="A40" t="n">
        <v>236988</v>
      </c>
      <c r="B40" t="n">
        <v>164</v>
      </c>
      <c r="C40" t="inlineStr">
        <is>
          <t>Bar Brahma Granja - FDB Filial - Kamino</t>
        </is>
      </c>
      <c r="D40" t="n">
        <v>148</v>
      </c>
      <c r="E40" t="inlineStr">
        <is>
          <t>Bar Brahma - Granja</t>
        </is>
      </c>
      <c r="F40" s="27" t="n">
        <v>46049</v>
      </c>
      <c r="G40" t="inlineStr">
        <is>
          <t>DEBITO</t>
        </is>
      </c>
      <c r="H40" t="inlineStr">
        <is>
          <t>Horta Nova Distribuidora de Hortifruti Ltda</t>
        </is>
      </c>
      <c r="I40" t="n">
        <v>-405.75</v>
      </c>
    </row>
    <row r="41">
      <c r="A41" t="n">
        <v>236987</v>
      </c>
      <c r="B41" t="n">
        <v>164</v>
      </c>
      <c r="C41" t="inlineStr">
        <is>
          <t>Bar Brahma Granja - FDB Filial - Kamino</t>
        </is>
      </c>
      <c r="D41" t="n">
        <v>148</v>
      </c>
      <c r="E41" t="inlineStr">
        <is>
          <t>Bar Brahma - Granja</t>
        </is>
      </c>
      <c r="F41" s="27" t="n">
        <v>46049</v>
      </c>
      <c r="G41" t="inlineStr">
        <is>
          <t>DEBITO</t>
        </is>
      </c>
      <c r="H41" t="inlineStr">
        <is>
          <t>49 564 207 Denis dos Santos</t>
        </is>
      </c>
      <c r="I41" t="n">
        <v>-2140</v>
      </c>
    </row>
    <row r="42">
      <c r="A42" t="n">
        <v>237001</v>
      </c>
      <c r="B42" t="n">
        <v>164</v>
      </c>
      <c r="C42" t="inlineStr">
        <is>
          <t>Bar Brahma Granja - FDB Filial - Kamino</t>
        </is>
      </c>
      <c r="D42" t="n">
        <v>148</v>
      </c>
      <c r="E42" t="inlineStr">
        <is>
          <t>Bar Brahma - Granja</t>
        </is>
      </c>
      <c r="F42" s="27" t="n">
        <v>46049</v>
      </c>
      <c r="G42" t="inlineStr">
        <is>
          <t>DEBITO</t>
        </is>
      </c>
      <c r="H42" t="inlineStr">
        <is>
          <t>Bb Dist de Carnes Ltda</t>
        </is>
      </c>
      <c r="I42" t="n">
        <v>-3205.91</v>
      </c>
    </row>
    <row r="43">
      <c r="A43" t="n">
        <v>237002</v>
      </c>
      <c r="B43" t="n">
        <v>164</v>
      </c>
      <c r="C43" t="inlineStr">
        <is>
          <t>Bar Brahma Granja - FDB Filial - Kamino</t>
        </is>
      </c>
      <c r="D43" t="n">
        <v>148</v>
      </c>
      <c r="E43" t="inlineStr">
        <is>
          <t>Bar Brahma - Granja</t>
        </is>
      </c>
      <c r="F43" s="27" t="n">
        <v>46049</v>
      </c>
      <c r="G43" t="inlineStr">
        <is>
          <t>DEBITO</t>
        </is>
      </c>
      <c r="H43" t="inlineStr">
        <is>
          <t>Bb Dist de Carnes Ltda</t>
        </is>
      </c>
      <c r="I43" t="n">
        <v>-3437.52</v>
      </c>
    </row>
    <row r="44">
      <c r="A44" t="n">
        <v>236986</v>
      </c>
      <c r="B44" t="n">
        <v>164</v>
      </c>
      <c r="C44" t="inlineStr">
        <is>
          <t>Bar Brahma Granja - FDB Filial - Kamino</t>
        </is>
      </c>
      <c r="D44" t="n">
        <v>148</v>
      </c>
      <c r="E44" t="inlineStr">
        <is>
          <t>Bar Brahma - Granja</t>
        </is>
      </c>
      <c r="F44" s="27" t="n">
        <v>46049</v>
      </c>
      <c r="G44" t="inlineStr">
        <is>
          <t>CREDITO</t>
        </is>
      </c>
      <c r="H44" t="inlineStr">
        <is>
          <t>Zig Tecnologia S.A.</t>
        </is>
      </c>
      <c r="I44" t="n">
        <v>3889</v>
      </c>
    </row>
    <row r="45">
      <c r="A45" t="n">
        <v>237056</v>
      </c>
      <c r="B45" t="n">
        <v>148</v>
      </c>
      <c r="C45" t="inlineStr">
        <is>
          <t>Bar Brahma Granja - Tutum Filial - Kamino</t>
        </is>
      </c>
      <c r="D45" t="n">
        <v>148</v>
      </c>
      <c r="E45" t="inlineStr">
        <is>
          <t>Bar Brahma - Granja</t>
        </is>
      </c>
      <c r="F45" s="27" t="n">
        <v>46049</v>
      </c>
      <c r="G45" t="inlineStr">
        <is>
          <t>DEBITO</t>
        </is>
      </c>
      <c r="H45" t="inlineStr">
        <is>
          <t>Sao Paulo Transporte Sa</t>
        </is>
      </c>
      <c r="I45" t="n">
        <v>-18.27</v>
      </c>
    </row>
    <row r="46">
      <c r="A46" t="n">
        <v>237037</v>
      </c>
      <c r="B46" t="n">
        <v>153</v>
      </c>
      <c r="C46" t="inlineStr">
        <is>
          <t>Bar Brahma Granja - FDB Novo - Banco do Brasil</t>
        </is>
      </c>
      <c r="D46" t="n">
        <v>148</v>
      </c>
      <c r="E46" t="inlineStr">
        <is>
          <t>Bar Brahma - Granja</t>
        </is>
      </c>
      <c r="F46" s="27" t="n">
        <v>46049</v>
      </c>
      <c r="G46" t="inlineStr">
        <is>
          <t>CREDITO</t>
        </is>
      </c>
      <c r="H46" t="inlineStr">
        <is>
          <t>RECEBIMENTO FORNECEDOR - 04.740.876/0001-25 ALELO INSTITUICAO D</t>
        </is>
      </c>
      <c r="I46" t="n">
        <v>662.87</v>
      </c>
    </row>
    <row r="47">
      <c r="A47" t="n">
        <v>237038</v>
      </c>
      <c r="B47" t="n">
        <v>153</v>
      </c>
      <c r="C47" t="inlineStr">
        <is>
          <t>Bar Brahma Granja - FDB Novo - Banco do Brasil</t>
        </is>
      </c>
      <c r="D47" t="n">
        <v>148</v>
      </c>
      <c r="E47" t="inlineStr">
        <is>
          <t>Bar Brahma - Granja</t>
        </is>
      </c>
      <c r="F47" s="27" t="n">
        <v>46049</v>
      </c>
      <c r="G47" t="inlineStr">
        <is>
          <t>CREDITO</t>
        </is>
      </c>
      <c r="H47" t="inlineStr">
        <is>
          <t>PIX - RECEBIDO - 27/01 08:36 02535864000133 VR BENEFICI</t>
        </is>
      </c>
      <c r="I47" t="n">
        <v>1172.1</v>
      </c>
    </row>
    <row r="48">
      <c r="A48" t="n">
        <v>237057</v>
      </c>
      <c r="B48" t="n">
        <v>148</v>
      </c>
      <c r="C48" t="inlineStr">
        <is>
          <t>Bar Brahma Granja - Tutum Filial - Kamino</t>
        </is>
      </c>
      <c r="D48" t="n">
        <v>148</v>
      </c>
      <c r="E48" t="inlineStr">
        <is>
          <t>Bar Brahma - Granja</t>
        </is>
      </c>
      <c r="F48" s="27" t="n">
        <v>46049</v>
      </c>
      <c r="G48" t="inlineStr">
        <is>
          <t>CREDITO</t>
        </is>
      </c>
      <c r="H48" t="inlineStr">
        <is>
          <t>FDB BAR NOVO COMERCIO E EVENTOS LTDA</t>
        </is>
      </c>
      <c r="I48" t="n">
        <v>7400</v>
      </c>
    </row>
    <row r="49">
      <c r="A49" t="n">
        <v>237058</v>
      </c>
      <c r="B49" t="n">
        <v>148</v>
      </c>
      <c r="C49" t="inlineStr">
        <is>
          <t>Bar Brahma Granja - Tutum Filial - Kamino</t>
        </is>
      </c>
      <c r="D49" t="n">
        <v>148</v>
      </c>
      <c r="E49" t="inlineStr">
        <is>
          <t>Bar Brahma - Granja</t>
        </is>
      </c>
      <c r="F49" s="27" t="n">
        <v>46049</v>
      </c>
      <c r="G49" t="inlineStr">
        <is>
          <t>DEBITO</t>
        </is>
      </c>
      <c r="H49" t="inlineStr">
        <is>
          <t>Beneficio Facil Servicos Ltda</t>
        </is>
      </c>
      <c r="I49" t="n">
        <v>-7322.91</v>
      </c>
    </row>
    <row r="50">
      <c r="A50" t="n">
        <v>237004</v>
      </c>
      <c r="B50" t="n">
        <v>164</v>
      </c>
      <c r="C50" t="inlineStr">
        <is>
          <t>Bar Brahma Granja - FDB Filial - Kamino</t>
        </is>
      </c>
      <c r="D50" t="n">
        <v>148</v>
      </c>
      <c r="E50" t="inlineStr">
        <is>
          <t>Bar Brahma - Granja</t>
        </is>
      </c>
      <c r="F50" s="27" t="n">
        <v>46049</v>
      </c>
      <c r="G50" t="inlineStr">
        <is>
          <t>DEBITO</t>
        </is>
      </c>
      <c r="H50" t="inlineStr">
        <is>
          <t>Pdo Alimentos e Comercio Ltda</t>
        </is>
      </c>
      <c r="I50" t="n">
        <v>-173.5</v>
      </c>
    </row>
    <row r="51">
      <c r="A51" t="n">
        <v>236999</v>
      </c>
      <c r="B51" t="n">
        <v>164</v>
      </c>
      <c r="C51" t="inlineStr">
        <is>
          <t>Bar Brahma Granja - FDB Filial - Kamino</t>
        </is>
      </c>
      <c r="D51" t="n">
        <v>148</v>
      </c>
      <c r="E51" t="inlineStr">
        <is>
          <t>Bar Brahma - Granja</t>
        </is>
      </c>
      <c r="F51" s="27" t="n">
        <v>46049</v>
      </c>
      <c r="G51" t="inlineStr">
        <is>
          <t>DEBITO</t>
        </is>
      </c>
      <c r="H51" t="inlineStr">
        <is>
          <t>Ms Frangos Ltda</t>
        </is>
      </c>
      <c r="I51" t="n">
        <v>-348.74</v>
      </c>
    </row>
    <row r="52">
      <c r="A52" t="n">
        <v>236998</v>
      </c>
      <c r="B52" t="n">
        <v>164</v>
      </c>
      <c r="C52" t="inlineStr">
        <is>
          <t>Bar Brahma Granja - FDB Filial - Kamino</t>
        </is>
      </c>
      <c r="D52" t="n">
        <v>148</v>
      </c>
      <c r="E52" t="inlineStr">
        <is>
          <t>Bar Brahma - Granja</t>
        </is>
      </c>
      <c r="F52" s="27" t="n">
        <v>46049</v>
      </c>
      <c r="G52" t="inlineStr">
        <is>
          <t>DEBITO</t>
        </is>
      </c>
      <c r="H52" t="inlineStr">
        <is>
          <t>Pss - Central da Limpeza Ltda</t>
        </is>
      </c>
      <c r="I52" t="n">
        <v>-84</v>
      </c>
    </row>
    <row r="53">
      <c r="A53" t="n">
        <v>236997</v>
      </c>
      <c r="B53" t="n">
        <v>164</v>
      </c>
      <c r="C53" t="inlineStr">
        <is>
          <t>Bar Brahma Granja - FDB Filial - Kamino</t>
        </is>
      </c>
      <c r="D53" t="n">
        <v>148</v>
      </c>
      <c r="E53" t="inlineStr">
        <is>
          <t>Bar Brahma - Granja</t>
        </is>
      </c>
      <c r="F53" s="27" t="n">
        <v>46049</v>
      </c>
      <c r="G53" t="inlineStr">
        <is>
          <t>DEBITO</t>
        </is>
      </c>
      <c r="H53" t="inlineStr">
        <is>
          <t>Cecilia Tsuyaco Araki Silva Ltda</t>
        </is>
      </c>
      <c r="I53" t="n">
        <v>-993.83</v>
      </c>
    </row>
    <row r="54">
      <c r="A54" t="n">
        <v>236996</v>
      </c>
      <c r="B54" t="n">
        <v>164</v>
      </c>
      <c r="C54" t="inlineStr">
        <is>
          <t>Bar Brahma Granja - FDB Filial - Kamino</t>
        </is>
      </c>
      <c r="D54" t="n">
        <v>148</v>
      </c>
      <c r="E54" t="inlineStr">
        <is>
          <t>Bar Brahma - Granja</t>
        </is>
      </c>
      <c r="F54" s="27" t="n">
        <v>46049</v>
      </c>
      <c r="G54" t="inlineStr">
        <is>
          <t>DEBITO</t>
        </is>
      </c>
      <c r="H54" t="inlineStr">
        <is>
          <t>W P P C Carnes Eireli Epp</t>
        </is>
      </c>
      <c r="I54" t="n">
        <v>-2466.81</v>
      </c>
    </row>
    <row r="55">
      <c r="A55" t="n">
        <v>236995</v>
      </c>
      <c r="B55" t="n">
        <v>164</v>
      </c>
      <c r="C55" t="inlineStr">
        <is>
          <t>Bar Brahma Granja - FDB Filial - Kamino</t>
        </is>
      </c>
      <c r="D55" t="n">
        <v>148</v>
      </c>
      <c r="E55" t="inlineStr">
        <is>
          <t>Bar Brahma - Granja</t>
        </is>
      </c>
      <c r="F55" s="27" t="n">
        <v>46049</v>
      </c>
      <c r="G55" t="inlineStr">
        <is>
          <t>DEBITO</t>
        </is>
      </c>
      <c r="H55" t="inlineStr">
        <is>
          <t>Ambev S A</t>
        </is>
      </c>
      <c r="I55" t="n">
        <v>-4829.55</v>
      </c>
    </row>
    <row r="56">
      <c r="A56" t="n">
        <v>236994</v>
      </c>
      <c r="B56" t="n">
        <v>164</v>
      </c>
      <c r="C56" t="inlineStr">
        <is>
          <t>Bar Brahma Granja - FDB Filial - Kamino</t>
        </is>
      </c>
      <c r="D56" t="n">
        <v>148</v>
      </c>
      <c r="E56" t="inlineStr">
        <is>
          <t>Bar Brahma - Granja</t>
        </is>
      </c>
      <c r="F56" s="27" t="n">
        <v>46049</v>
      </c>
      <c r="G56" t="inlineStr">
        <is>
          <t>DEBITO</t>
        </is>
      </c>
      <c r="H56" t="inlineStr">
        <is>
          <t>Nmultifibra Telecomunicacao Ltda</t>
        </is>
      </c>
      <c r="I56" t="n">
        <v>-357.09</v>
      </c>
    </row>
    <row r="57">
      <c r="A57" t="n">
        <v>236993</v>
      </c>
      <c r="B57" t="n">
        <v>164</v>
      </c>
      <c r="C57" t="inlineStr">
        <is>
          <t>Bar Brahma Granja - FDB Filial - Kamino</t>
        </is>
      </c>
      <c r="D57" t="n">
        <v>148</v>
      </c>
      <c r="E57" t="inlineStr">
        <is>
          <t>Bar Brahma - Granja</t>
        </is>
      </c>
      <c r="F57" s="27" t="n">
        <v>46049</v>
      </c>
      <c r="G57" t="inlineStr">
        <is>
          <t>DEBITO</t>
        </is>
      </c>
      <c r="H57" t="inlineStr">
        <is>
          <t>Pss - Central da Limpeza Ltda</t>
        </is>
      </c>
      <c r="I57" t="n">
        <v>-1458.02</v>
      </c>
    </row>
    <row r="58">
      <c r="A58" t="n">
        <v>236992</v>
      </c>
      <c r="B58" t="n">
        <v>164</v>
      </c>
      <c r="C58" t="inlineStr">
        <is>
          <t>Bar Brahma Granja - FDB Filial - Kamino</t>
        </is>
      </c>
      <c r="D58" t="n">
        <v>148</v>
      </c>
      <c r="E58" t="inlineStr">
        <is>
          <t>Bar Brahma - Granja</t>
        </is>
      </c>
      <c r="F58" s="27" t="n">
        <v>46049</v>
      </c>
      <c r="G58" t="inlineStr">
        <is>
          <t>DEBITO</t>
        </is>
      </c>
      <c r="H58" t="inlineStr">
        <is>
          <t>Multifrangos com Alim Ltda Me</t>
        </is>
      </c>
      <c r="I58" t="n">
        <v>-1240.22</v>
      </c>
    </row>
    <row r="59">
      <c r="A59" t="n">
        <v>236991</v>
      </c>
      <c r="B59" t="n">
        <v>164</v>
      </c>
      <c r="C59" t="inlineStr">
        <is>
          <t>Bar Brahma Granja - FDB Filial - Kamino</t>
        </is>
      </c>
      <c r="D59" t="n">
        <v>148</v>
      </c>
      <c r="E59" t="inlineStr">
        <is>
          <t>Bar Brahma - Granja</t>
        </is>
      </c>
      <c r="F59" s="27" t="n">
        <v>46049</v>
      </c>
      <c r="G59" t="inlineStr">
        <is>
          <t>DEBITO</t>
        </is>
      </c>
      <c r="H59" t="inlineStr">
        <is>
          <t>Cia do Whisky</t>
        </is>
      </c>
      <c r="I59" t="n">
        <v>-2330.76</v>
      </c>
    </row>
    <row r="60">
      <c r="A60" t="n">
        <v>236990</v>
      </c>
      <c r="B60" t="n">
        <v>164</v>
      </c>
      <c r="C60" t="inlineStr">
        <is>
          <t>Bar Brahma Granja - FDB Filial - Kamino</t>
        </is>
      </c>
      <c r="D60" t="n">
        <v>148</v>
      </c>
      <c r="E60" t="inlineStr">
        <is>
          <t>Bar Brahma - Granja</t>
        </is>
      </c>
      <c r="F60" s="27" t="n">
        <v>46049</v>
      </c>
      <c r="G60" t="inlineStr">
        <is>
          <t>DEBITO</t>
        </is>
      </c>
      <c r="H60" t="inlineStr">
        <is>
          <t>Cia do Whisky</t>
        </is>
      </c>
      <c r="I60" t="n">
        <v>-613.9</v>
      </c>
    </row>
    <row r="61">
      <c r="A61" t="n">
        <v>237006</v>
      </c>
      <c r="B61" t="n">
        <v>164</v>
      </c>
      <c r="C61" t="inlineStr">
        <is>
          <t>Bar Brahma Granja - FDB Filial - Kamino</t>
        </is>
      </c>
      <c r="D61" t="n">
        <v>148</v>
      </c>
      <c r="E61" t="inlineStr">
        <is>
          <t>Bar Brahma - Granja</t>
        </is>
      </c>
      <c r="F61" s="27" t="n">
        <v>46049</v>
      </c>
      <c r="G61" t="inlineStr">
        <is>
          <t>DEBITO</t>
        </is>
      </c>
      <c r="H61" t="inlineStr">
        <is>
          <t>Tutum Bar e Eventos Ltda</t>
        </is>
      </c>
      <c r="I61" t="n">
        <v>-7400</v>
      </c>
    </row>
    <row r="62">
      <c r="A62" t="n">
        <v>237005</v>
      </c>
      <c r="B62" t="n">
        <v>164</v>
      </c>
      <c r="C62" t="inlineStr">
        <is>
          <t>Bar Brahma Granja - FDB Filial - Kamino</t>
        </is>
      </c>
      <c r="D62" t="n">
        <v>148</v>
      </c>
      <c r="E62" t="inlineStr">
        <is>
          <t>Bar Brahma - Granja</t>
        </is>
      </c>
      <c r="F62" s="27" t="n">
        <v>46049</v>
      </c>
      <c r="G62" t="inlineStr">
        <is>
          <t>DEBITO</t>
        </is>
      </c>
      <c r="H62" t="inlineStr">
        <is>
          <t>Cia do Whisky</t>
        </is>
      </c>
      <c r="I62" t="n">
        <v>-882.33</v>
      </c>
    </row>
    <row r="63">
      <c r="A63" t="n">
        <v>237003</v>
      </c>
      <c r="B63" t="n">
        <v>164</v>
      </c>
      <c r="C63" t="inlineStr">
        <is>
          <t>Bar Brahma Granja - FDB Filial - Kamino</t>
        </is>
      </c>
      <c r="D63" t="n">
        <v>148</v>
      </c>
      <c r="E63" t="inlineStr">
        <is>
          <t>Bar Brahma - Granja</t>
        </is>
      </c>
      <c r="F63" s="27" t="n">
        <v>46049</v>
      </c>
      <c r="G63" t="inlineStr">
        <is>
          <t>DEBITO</t>
        </is>
      </c>
      <c r="H63" t="inlineStr">
        <is>
          <t>Mario Pedro Feliciano Hortifru</t>
        </is>
      </c>
      <c r="I63" t="n">
        <v>-927.3099999999999</v>
      </c>
    </row>
    <row r="64">
      <c r="A64" t="n">
        <v>237052</v>
      </c>
      <c r="B64" t="n">
        <v>148</v>
      </c>
      <c r="C64" t="inlineStr">
        <is>
          <t>Bar Brahma Granja - Tutum Filial - Kamino</t>
        </is>
      </c>
      <c r="D64" t="n">
        <v>148</v>
      </c>
      <c r="E64" t="inlineStr">
        <is>
          <t>Bar Brahma - Granja</t>
        </is>
      </c>
      <c r="F64" s="27" t="n">
        <v>46048</v>
      </c>
      <c r="G64" t="inlineStr">
        <is>
          <t>DEBITO</t>
        </is>
      </c>
      <c r="H64" t="inlineStr">
        <is>
          <t>Jefferson Schmaedeker dos Santos</t>
        </is>
      </c>
      <c r="I64" t="n">
        <v>-2270</v>
      </c>
    </row>
    <row r="65">
      <c r="A65" t="n">
        <v>237054</v>
      </c>
      <c r="B65" t="n">
        <v>148</v>
      </c>
      <c r="C65" t="inlineStr">
        <is>
          <t>Bar Brahma Granja - Tutum Filial - Kamino</t>
        </is>
      </c>
      <c r="D65" t="n">
        <v>148</v>
      </c>
      <c r="E65" t="inlineStr">
        <is>
          <t>Bar Brahma - Granja</t>
        </is>
      </c>
      <c r="F65" s="27" t="n">
        <v>46048</v>
      </c>
      <c r="G65" t="inlineStr">
        <is>
          <t>DEBITO</t>
        </is>
      </c>
      <c r="H65" t="inlineStr">
        <is>
          <t>Francisca Alane Paulino Gomes</t>
        </is>
      </c>
      <c r="I65" t="n">
        <v>-2270</v>
      </c>
    </row>
    <row r="66">
      <c r="A66" t="n">
        <v>237053</v>
      </c>
      <c r="B66" t="n">
        <v>148</v>
      </c>
      <c r="C66" t="inlineStr">
        <is>
          <t>Bar Brahma Granja - Tutum Filial - Kamino</t>
        </is>
      </c>
      <c r="D66" t="n">
        <v>148</v>
      </c>
      <c r="E66" t="inlineStr">
        <is>
          <t>Bar Brahma - Granja</t>
        </is>
      </c>
      <c r="F66" s="27" t="n">
        <v>46048</v>
      </c>
      <c r="G66" t="inlineStr">
        <is>
          <t>DEBITO</t>
        </is>
      </c>
      <c r="H66" t="inlineStr">
        <is>
          <t>Giliarde Jose Marques</t>
        </is>
      </c>
      <c r="I66" t="n">
        <v>-5050</v>
      </c>
    </row>
    <row r="67">
      <c r="A67" t="n">
        <v>237051</v>
      </c>
      <c r="B67" t="n">
        <v>148</v>
      </c>
      <c r="C67" t="inlineStr">
        <is>
          <t>Bar Brahma Granja - Tutum Filial - Kamino</t>
        </is>
      </c>
      <c r="D67" t="n">
        <v>148</v>
      </c>
      <c r="E67" t="inlineStr">
        <is>
          <t>Bar Brahma - Granja</t>
        </is>
      </c>
      <c r="F67" s="27" t="n">
        <v>46048</v>
      </c>
      <c r="G67" t="inlineStr">
        <is>
          <t>DEBITO</t>
        </is>
      </c>
      <c r="H67" t="inlineStr">
        <is>
          <t>Tarifa Pix Enviado-PJ</t>
        </is>
      </c>
      <c r="I67" t="n">
        <v>-0.5</v>
      </c>
    </row>
    <row r="68">
      <c r="A68" t="n">
        <v>237050</v>
      </c>
      <c r="B68" t="n">
        <v>148</v>
      </c>
      <c r="C68" t="inlineStr">
        <is>
          <t>Bar Brahma Granja - Tutum Filial - Kamino</t>
        </is>
      </c>
      <c r="D68" t="n">
        <v>148</v>
      </c>
      <c r="E68" t="inlineStr">
        <is>
          <t>Bar Brahma - Granja</t>
        </is>
      </c>
      <c r="F68" s="27" t="n">
        <v>46048</v>
      </c>
      <c r="G68" t="inlineStr">
        <is>
          <t>DEBITO</t>
        </is>
      </c>
      <c r="H68" t="inlineStr">
        <is>
          <t>Tarifa Pix Enviado-PJ</t>
        </is>
      </c>
      <c r="I68" t="n">
        <v>-0.5</v>
      </c>
    </row>
    <row r="69">
      <c r="A69" t="n">
        <v>237049</v>
      </c>
      <c r="B69" t="n">
        <v>148</v>
      </c>
      <c r="C69" t="inlineStr">
        <is>
          <t>Bar Brahma Granja - Tutum Filial - Kamino</t>
        </is>
      </c>
      <c r="D69" t="n">
        <v>148</v>
      </c>
      <c r="E69" t="inlineStr">
        <is>
          <t>Bar Brahma - Granja</t>
        </is>
      </c>
      <c r="F69" s="27" t="n">
        <v>46048</v>
      </c>
      <c r="G69" t="inlineStr">
        <is>
          <t>DEBITO</t>
        </is>
      </c>
      <c r="H69" t="inlineStr">
        <is>
          <t>Tarifa Pix Enviado-PJ</t>
        </is>
      </c>
      <c r="I69" t="n">
        <v>-0.5</v>
      </c>
    </row>
    <row r="70">
      <c r="A70" t="n">
        <v>237048</v>
      </c>
      <c r="B70" t="n">
        <v>148</v>
      </c>
      <c r="C70" t="inlineStr">
        <is>
          <t>Bar Brahma Granja - Tutum Filial - Kamino</t>
        </is>
      </c>
      <c r="D70" t="n">
        <v>148</v>
      </c>
      <c r="E70" t="inlineStr">
        <is>
          <t>Bar Brahma - Granja</t>
        </is>
      </c>
      <c r="F70" s="27" t="n">
        <v>46048</v>
      </c>
      <c r="G70" t="inlineStr">
        <is>
          <t>DEBITO</t>
        </is>
      </c>
      <c r="H70" t="inlineStr">
        <is>
          <t>Tarifa Pix Enviado-PJ</t>
        </is>
      </c>
      <c r="I70" t="n">
        <v>-0.5</v>
      </c>
    </row>
    <row r="71">
      <c r="A71" t="n">
        <v>237047</v>
      </c>
      <c r="B71" t="n">
        <v>148</v>
      </c>
      <c r="C71" t="inlineStr">
        <is>
          <t>Bar Brahma Granja - Tutum Filial - Kamino</t>
        </is>
      </c>
      <c r="D71" t="n">
        <v>148</v>
      </c>
      <c r="E71" t="inlineStr">
        <is>
          <t>Bar Brahma - Granja</t>
        </is>
      </c>
      <c r="F71" s="27" t="n">
        <v>46048</v>
      </c>
      <c r="G71" t="inlineStr">
        <is>
          <t>DEBITO</t>
        </is>
      </c>
      <c r="H71" t="inlineStr">
        <is>
          <t>Joao Paulo</t>
        </is>
      </c>
      <c r="I71" t="n">
        <v>-2270</v>
      </c>
    </row>
    <row r="72">
      <c r="A72" t="n">
        <v>237046</v>
      </c>
      <c r="B72" t="n">
        <v>148</v>
      </c>
      <c r="C72" t="inlineStr">
        <is>
          <t>Bar Brahma Granja - Tutum Filial - Kamino</t>
        </is>
      </c>
      <c r="D72" t="n">
        <v>148</v>
      </c>
      <c r="E72" t="inlineStr">
        <is>
          <t>Bar Brahma - Granja</t>
        </is>
      </c>
      <c r="F72" s="27" t="n">
        <v>46048</v>
      </c>
      <c r="G72" t="inlineStr">
        <is>
          <t>DEBITO</t>
        </is>
      </c>
      <c r="H72" t="inlineStr">
        <is>
          <t>Tarifa Pix Enviado-PJ</t>
        </is>
      </c>
      <c r="I72" t="n">
        <v>-0.5</v>
      </c>
    </row>
    <row r="73">
      <c r="A73" t="n">
        <v>237045</v>
      </c>
      <c r="B73" t="n">
        <v>148</v>
      </c>
      <c r="C73" t="inlineStr">
        <is>
          <t>Bar Brahma Granja - Tutum Filial - Kamino</t>
        </is>
      </c>
      <c r="D73" t="n">
        <v>148</v>
      </c>
      <c r="E73" t="inlineStr">
        <is>
          <t>Bar Brahma - Granja</t>
        </is>
      </c>
      <c r="F73" s="27" t="n">
        <v>46048</v>
      </c>
      <c r="G73" t="inlineStr">
        <is>
          <t>DEBITO</t>
        </is>
      </c>
      <c r="H73" t="inlineStr">
        <is>
          <t>Erika de Paula Alves Novaes</t>
        </is>
      </c>
      <c r="I73" t="n">
        <v>-710</v>
      </c>
    </row>
    <row r="74">
      <c r="A74" t="n">
        <v>237044</v>
      </c>
      <c r="B74" t="n">
        <v>148</v>
      </c>
      <c r="C74" t="inlineStr">
        <is>
          <t>Bar Brahma Granja - Tutum Filial - Kamino</t>
        </is>
      </c>
      <c r="D74" t="n">
        <v>148</v>
      </c>
      <c r="E74" t="inlineStr">
        <is>
          <t>Bar Brahma - Granja</t>
        </is>
      </c>
      <c r="F74" s="27" t="n">
        <v>46048</v>
      </c>
      <c r="G74" t="inlineStr">
        <is>
          <t>DEBITO</t>
        </is>
      </c>
      <c r="H74" t="inlineStr">
        <is>
          <t>Patricia Nakano Coelho de Souza</t>
        </is>
      </c>
      <c r="I74" t="n">
        <v>-1588.74</v>
      </c>
    </row>
    <row r="75">
      <c r="A75" t="n">
        <v>237043</v>
      </c>
      <c r="B75" t="n">
        <v>148</v>
      </c>
      <c r="C75" t="inlineStr">
        <is>
          <t>Bar Brahma Granja - Tutum Filial - Kamino</t>
        </is>
      </c>
      <c r="D75" t="n">
        <v>148</v>
      </c>
      <c r="E75" t="inlineStr">
        <is>
          <t>Bar Brahma - Granja</t>
        </is>
      </c>
      <c r="F75" s="27" t="n">
        <v>46048</v>
      </c>
      <c r="G75" t="inlineStr">
        <is>
          <t>CREDITO</t>
        </is>
      </c>
      <c r="H75" t="inlineStr">
        <is>
          <t>FDB BAR NOVO COMERCIO E EVENTOS LTDA</t>
        </is>
      </c>
      <c r="I75" t="n">
        <v>14200</v>
      </c>
    </row>
    <row r="76">
      <c r="A76" t="n">
        <v>236970</v>
      </c>
      <c r="B76" t="n">
        <v>164</v>
      </c>
      <c r="C76" t="inlineStr">
        <is>
          <t>Bar Brahma Granja - FDB Filial - Kamino</t>
        </is>
      </c>
      <c r="D76" t="n">
        <v>148</v>
      </c>
      <c r="E76" t="inlineStr">
        <is>
          <t>Bar Brahma - Granja</t>
        </is>
      </c>
      <c r="F76" s="27" t="n">
        <v>46048</v>
      </c>
      <c r="G76" t="inlineStr">
        <is>
          <t>CREDITO</t>
        </is>
      </c>
      <c r="H76" t="inlineStr">
        <is>
          <t>Zig Tecnologia S.A.</t>
        </is>
      </c>
      <c r="I76" t="n">
        <v>113265</v>
      </c>
    </row>
    <row r="77">
      <c r="A77" t="n">
        <v>237036</v>
      </c>
      <c r="B77" t="n">
        <v>153</v>
      </c>
      <c r="C77" t="inlineStr">
        <is>
          <t>Bar Brahma Granja - FDB Novo - Banco do Brasil</t>
        </is>
      </c>
      <c r="D77" t="n">
        <v>148</v>
      </c>
      <c r="E77" t="inlineStr">
        <is>
          <t>Bar Brahma - Granja</t>
        </is>
      </c>
      <c r="F77" s="27" t="n">
        <v>46048</v>
      </c>
      <c r="G77" t="inlineStr">
        <is>
          <t>CREDITO</t>
        </is>
      </c>
      <c r="H77" t="inlineStr">
        <is>
          <t>PIX - RECEBIDO - 26/01 12:26 17553270000122 ASSOCIACAO</t>
        </is>
      </c>
      <c r="I77" t="n">
        <v>23345</v>
      </c>
    </row>
    <row r="78">
      <c r="A78" t="n">
        <v>237035</v>
      </c>
      <c r="B78" t="n">
        <v>153</v>
      </c>
      <c r="C78" t="inlineStr">
        <is>
          <t>Bar Brahma Granja - FDB Novo - Banco do Brasil</t>
        </is>
      </c>
      <c r="D78" t="n">
        <v>148</v>
      </c>
      <c r="E78" t="inlineStr">
        <is>
          <t>Bar Brahma - Granja</t>
        </is>
      </c>
      <c r="F78" s="27" t="n">
        <v>46048</v>
      </c>
      <c r="G78" t="inlineStr">
        <is>
          <t>CREDITO</t>
        </is>
      </c>
      <c r="H78" t="inlineStr">
        <is>
          <t>TED-CRDITO EM CONTA - 341 0262 47866934000174 TICKET SERVICO</t>
        </is>
      </c>
      <c r="I78" t="n">
        <v>994.46</v>
      </c>
    </row>
    <row r="79">
      <c r="A79" t="n">
        <v>237034</v>
      </c>
      <c r="B79" t="n">
        <v>153</v>
      </c>
      <c r="C79" t="inlineStr">
        <is>
          <t>Bar Brahma Granja - FDB Novo - Banco do Brasil</t>
        </is>
      </c>
      <c r="D79" t="n">
        <v>148</v>
      </c>
      <c r="E79" t="inlineStr">
        <is>
          <t>Bar Brahma - Granja</t>
        </is>
      </c>
      <c r="F79" s="27" t="n">
        <v>46048</v>
      </c>
      <c r="G79" t="inlineStr">
        <is>
          <t>CREDITO</t>
        </is>
      </c>
      <c r="H79" t="inlineStr">
        <is>
          <t>RECEBIMENTO FORNECEDOR - 04.740.876/0001-25 ALELO INSTITUICAO D</t>
        </is>
      </c>
      <c r="I79" t="n">
        <v>535.5599999999999</v>
      </c>
    </row>
    <row r="80">
      <c r="A80" t="n">
        <v>237055</v>
      </c>
      <c r="B80" t="n">
        <v>148</v>
      </c>
      <c r="C80" t="inlineStr">
        <is>
          <t>Bar Brahma Granja - Tutum Filial - Kamino</t>
        </is>
      </c>
      <c r="D80" t="n">
        <v>148</v>
      </c>
      <c r="E80" t="inlineStr">
        <is>
          <t>Bar Brahma - Granja</t>
        </is>
      </c>
      <c r="F80" s="27" t="n">
        <v>46048</v>
      </c>
      <c r="G80" t="inlineStr">
        <is>
          <t>DEBITO</t>
        </is>
      </c>
      <c r="H80" t="inlineStr">
        <is>
          <t>Tarifa Pix Enviado-PJ</t>
        </is>
      </c>
      <c r="I80" t="n">
        <v>-0.5</v>
      </c>
    </row>
    <row r="81">
      <c r="A81" t="n">
        <v>236985</v>
      </c>
      <c r="B81" t="n">
        <v>164</v>
      </c>
      <c r="C81" t="inlineStr">
        <is>
          <t>Bar Brahma Granja - FDB Filial - Kamino</t>
        </is>
      </c>
      <c r="D81" t="n">
        <v>148</v>
      </c>
      <c r="E81" t="inlineStr">
        <is>
          <t>Bar Brahma - Granja</t>
        </is>
      </c>
      <c r="F81" s="27" t="n">
        <v>46048</v>
      </c>
      <c r="G81" t="inlineStr">
        <is>
          <t>DEBITO</t>
        </is>
      </c>
      <c r="H81" t="inlineStr">
        <is>
          <t>Eau Distribuidora a M Ltda</t>
        </is>
      </c>
      <c r="I81" t="n">
        <v>-819</v>
      </c>
    </row>
    <row r="82">
      <c r="A82" t="n">
        <v>236984</v>
      </c>
      <c r="B82" t="n">
        <v>164</v>
      </c>
      <c r="C82" t="inlineStr">
        <is>
          <t>Bar Brahma Granja - FDB Filial - Kamino</t>
        </is>
      </c>
      <c r="D82" t="n">
        <v>148</v>
      </c>
      <c r="E82" t="inlineStr">
        <is>
          <t>Bar Brahma - Granja</t>
        </is>
      </c>
      <c r="F82" s="27" t="n">
        <v>46048</v>
      </c>
      <c r="G82" t="inlineStr">
        <is>
          <t>DEBITO</t>
        </is>
      </c>
      <c r="H82" t="inlineStr">
        <is>
          <t>Pagseguro Internet I.P. S.A.</t>
        </is>
      </c>
      <c r="I82" t="n">
        <v>-395</v>
      </c>
    </row>
    <row r="83">
      <c r="A83" t="n">
        <v>236983</v>
      </c>
      <c r="B83" t="n">
        <v>164</v>
      </c>
      <c r="C83" t="inlineStr">
        <is>
          <t>Bar Brahma Granja - FDB Filial - Kamino</t>
        </is>
      </c>
      <c r="D83" t="n">
        <v>148</v>
      </c>
      <c r="E83" t="inlineStr">
        <is>
          <t>Bar Brahma - Granja</t>
        </is>
      </c>
      <c r="F83" s="27" t="n">
        <v>46048</v>
      </c>
      <c r="G83" t="inlineStr">
        <is>
          <t>DEBITO</t>
        </is>
      </c>
      <c r="H83" t="inlineStr">
        <is>
          <t>Mario Pedro Feliciano Hortifru</t>
        </is>
      </c>
      <c r="I83" t="n">
        <v>-319.43</v>
      </c>
    </row>
    <row r="84">
      <c r="A84" t="n">
        <v>236982</v>
      </c>
      <c r="B84" t="n">
        <v>164</v>
      </c>
      <c r="C84" t="inlineStr">
        <is>
          <t>Bar Brahma Granja - FDB Filial - Kamino</t>
        </is>
      </c>
      <c r="D84" t="n">
        <v>148</v>
      </c>
      <c r="E84" t="inlineStr">
        <is>
          <t>Bar Brahma - Granja</t>
        </is>
      </c>
      <c r="F84" s="27" t="n">
        <v>46048</v>
      </c>
      <c r="G84" t="inlineStr">
        <is>
          <t>DEBITO</t>
        </is>
      </c>
      <c r="H84" t="inlineStr">
        <is>
          <t>Multifrangos com Alim Ltda Me</t>
        </is>
      </c>
      <c r="I84" t="n">
        <v>-595.02</v>
      </c>
    </row>
    <row r="85">
      <c r="A85" t="n">
        <v>236981</v>
      </c>
      <c r="B85" t="n">
        <v>164</v>
      </c>
      <c r="C85" t="inlineStr">
        <is>
          <t>Bar Brahma Granja - FDB Filial - Kamino</t>
        </is>
      </c>
      <c r="D85" t="n">
        <v>148</v>
      </c>
      <c r="E85" t="inlineStr">
        <is>
          <t>Bar Brahma - Granja</t>
        </is>
      </c>
      <c r="F85" s="27" t="n">
        <v>46048</v>
      </c>
      <c r="G85" t="inlineStr">
        <is>
          <t>DEBITO</t>
        </is>
      </c>
      <c r="H85" t="inlineStr">
        <is>
          <t>Invye Capital Ltda</t>
        </is>
      </c>
      <c r="I85" t="n">
        <v>-1250</v>
      </c>
    </row>
    <row r="86">
      <c r="A86" t="n">
        <v>236980</v>
      </c>
      <c r="B86" t="n">
        <v>164</v>
      </c>
      <c r="C86" t="inlineStr">
        <is>
          <t>Bar Brahma Granja - FDB Filial - Kamino</t>
        </is>
      </c>
      <c r="D86" t="n">
        <v>148</v>
      </c>
      <c r="E86" t="inlineStr">
        <is>
          <t>Bar Brahma - Granja</t>
        </is>
      </c>
      <c r="F86" s="27" t="n">
        <v>46048</v>
      </c>
      <c r="G86" t="inlineStr">
        <is>
          <t>DEBITO</t>
        </is>
      </c>
      <c r="H86" t="inlineStr">
        <is>
          <t>Cecilia Tsuyaco Araki Silva Ltda</t>
        </is>
      </c>
      <c r="I86" t="n">
        <v>-258.9</v>
      </c>
    </row>
    <row r="87">
      <c r="A87" t="n">
        <v>236979</v>
      </c>
      <c r="B87" t="n">
        <v>164</v>
      </c>
      <c r="C87" t="inlineStr">
        <is>
          <t>Bar Brahma Granja - FDB Filial - Kamino</t>
        </is>
      </c>
      <c r="D87" t="n">
        <v>148</v>
      </c>
      <c r="E87" t="inlineStr">
        <is>
          <t>Bar Brahma - Granja</t>
        </is>
      </c>
      <c r="F87" s="27" t="n">
        <v>46048</v>
      </c>
      <c r="G87" t="inlineStr">
        <is>
          <t>DEBITO</t>
        </is>
      </c>
      <c r="H87" t="inlineStr">
        <is>
          <t>Marcos Silva do Nascimento 00753897547</t>
        </is>
      </c>
      <c r="I87" t="n">
        <v>-2277.13</v>
      </c>
    </row>
    <row r="88">
      <c r="A88" t="n">
        <v>236978</v>
      </c>
      <c r="B88" t="n">
        <v>164</v>
      </c>
      <c r="C88" t="inlineStr">
        <is>
          <t>Bar Brahma Granja - FDB Filial - Kamino</t>
        </is>
      </c>
      <c r="D88" t="n">
        <v>148</v>
      </c>
      <c r="E88" t="inlineStr">
        <is>
          <t>Bar Brahma - Granja</t>
        </is>
      </c>
      <c r="F88" s="27" t="n">
        <v>46048</v>
      </c>
      <c r="G88" t="inlineStr">
        <is>
          <t>DEBITO</t>
        </is>
      </c>
      <c r="H88" t="inlineStr">
        <is>
          <t>Dtk Comercio de Alimentos Ltda Epp</t>
        </is>
      </c>
      <c r="I88" t="n">
        <v>-1906.1</v>
      </c>
    </row>
    <row r="89">
      <c r="A89" t="n">
        <v>236976</v>
      </c>
      <c r="B89" t="n">
        <v>164</v>
      </c>
      <c r="C89" t="inlineStr">
        <is>
          <t>Bar Brahma Granja - FDB Filial - Kamino</t>
        </is>
      </c>
      <c r="D89" t="n">
        <v>148</v>
      </c>
      <c r="E89" t="inlineStr">
        <is>
          <t>Bar Brahma - Granja</t>
        </is>
      </c>
      <c r="F89" s="27" t="n">
        <v>46048</v>
      </c>
      <c r="G89" t="inlineStr">
        <is>
          <t>DEBITO</t>
        </is>
      </c>
      <c r="H89" t="inlineStr">
        <is>
          <t>Eshows Promocoes Artisticas Ltda</t>
        </is>
      </c>
      <c r="I89" t="n">
        <v>-5400</v>
      </c>
    </row>
    <row r="90">
      <c r="A90" t="n">
        <v>236975</v>
      </c>
      <c r="B90" t="n">
        <v>164</v>
      </c>
      <c r="C90" t="inlineStr">
        <is>
          <t>Bar Brahma Granja - FDB Filial - Kamino</t>
        </is>
      </c>
      <c r="D90" t="n">
        <v>148</v>
      </c>
      <c r="E90" t="inlineStr">
        <is>
          <t>Bar Brahma - Granja</t>
        </is>
      </c>
      <c r="F90" s="27" t="n">
        <v>46048</v>
      </c>
      <c r="G90" t="inlineStr">
        <is>
          <t>DEBITO</t>
        </is>
      </c>
      <c r="H90" t="inlineStr">
        <is>
          <t>Fsm   Fazenda Santa Margarida</t>
        </is>
      </c>
      <c r="I90" t="n">
        <v>-484.1</v>
      </c>
    </row>
    <row r="91">
      <c r="A91" t="n">
        <v>236977</v>
      </c>
      <c r="B91" t="n">
        <v>164</v>
      </c>
      <c r="C91" t="inlineStr">
        <is>
          <t>Bar Brahma Granja - FDB Filial - Kamino</t>
        </is>
      </c>
      <c r="D91" t="n">
        <v>148</v>
      </c>
      <c r="E91" t="inlineStr">
        <is>
          <t>Bar Brahma - Granja</t>
        </is>
      </c>
      <c r="F91" s="27" t="n">
        <v>46048</v>
      </c>
      <c r="G91" t="inlineStr">
        <is>
          <t>DEBITO</t>
        </is>
      </c>
      <c r="H91" t="inlineStr">
        <is>
          <t>Sk Copiadora e Impressao Digital Ltda</t>
        </is>
      </c>
      <c r="I91" t="n">
        <v>-237</v>
      </c>
    </row>
    <row r="92">
      <c r="A92" t="n">
        <v>236974</v>
      </c>
      <c r="B92" t="n">
        <v>164</v>
      </c>
      <c r="C92" t="inlineStr">
        <is>
          <t>Bar Brahma Granja - FDB Filial - Kamino</t>
        </is>
      </c>
      <c r="D92" t="n">
        <v>148</v>
      </c>
      <c r="E92" t="inlineStr">
        <is>
          <t>Bar Brahma - Granja</t>
        </is>
      </c>
      <c r="F92" s="27" t="n">
        <v>46048</v>
      </c>
      <c r="G92" t="inlineStr">
        <is>
          <t>DEBITO</t>
        </is>
      </c>
      <c r="H92" t="inlineStr">
        <is>
          <t>Andreia Santos Freitas Duarte</t>
        </is>
      </c>
      <c r="I92" t="n">
        <v>-440.2</v>
      </c>
    </row>
    <row r="93">
      <c r="A93" t="n">
        <v>236973</v>
      </c>
      <c r="B93" t="n">
        <v>164</v>
      </c>
      <c r="C93" t="inlineStr">
        <is>
          <t>Bar Brahma Granja - FDB Filial - Kamino</t>
        </is>
      </c>
      <c r="D93" t="n">
        <v>148</v>
      </c>
      <c r="E93" t="inlineStr">
        <is>
          <t>Bar Brahma - Granja</t>
        </is>
      </c>
      <c r="F93" s="27" t="n">
        <v>46048</v>
      </c>
      <c r="G93" t="inlineStr">
        <is>
          <t>DEBITO</t>
        </is>
      </c>
      <c r="H93" t="inlineStr">
        <is>
          <t>Condominio The Square</t>
        </is>
      </c>
      <c r="I93" t="n">
        <v>-27324.58</v>
      </c>
    </row>
    <row r="94">
      <c r="A94" t="n">
        <v>236972</v>
      </c>
      <c r="B94" t="n">
        <v>164</v>
      </c>
      <c r="C94" t="inlineStr">
        <is>
          <t>Bar Brahma Granja - FDB Filial - Kamino</t>
        </is>
      </c>
      <c r="D94" t="n">
        <v>148</v>
      </c>
      <c r="E94" t="inlineStr">
        <is>
          <t>Bar Brahma - Granja</t>
        </is>
      </c>
      <c r="F94" s="27" t="n">
        <v>46048</v>
      </c>
      <c r="G94" t="inlineStr">
        <is>
          <t>DEBITO</t>
        </is>
      </c>
      <c r="H94" t="inlineStr">
        <is>
          <t>Laticinios Piramide Ltda</t>
        </is>
      </c>
      <c r="I94" t="n">
        <v>-1337.9</v>
      </c>
    </row>
    <row r="95">
      <c r="A95" t="n">
        <v>236971</v>
      </c>
      <c r="B95" t="n">
        <v>164</v>
      </c>
      <c r="C95" t="inlineStr">
        <is>
          <t>Bar Brahma Granja - FDB Filial - Kamino</t>
        </is>
      </c>
      <c r="D95" t="n">
        <v>148</v>
      </c>
      <c r="E95" t="inlineStr">
        <is>
          <t>Bar Brahma - Granja</t>
        </is>
      </c>
      <c r="F95" s="27" t="n">
        <v>46048</v>
      </c>
      <c r="G95" t="inlineStr">
        <is>
          <t>DEBITO</t>
        </is>
      </c>
      <c r="H95" t="inlineStr">
        <is>
          <t>Tutum Bar e Eventos Ltda</t>
        </is>
      </c>
      <c r="I95" t="n">
        <v>-14200</v>
      </c>
    </row>
    <row r="96">
      <c r="A96" t="n">
        <v>236960</v>
      </c>
      <c r="B96" t="n">
        <v>164</v>
      </c>
      <c r="C96" t="inlineStr">
        <is>
          <t>Bar Brahma Granja - FDB Filial - Kamino</t>
        </is>
      </c>
      <c r="D96" t="n">
        <v>148</v>
      </c>
      <c r="E96" t="inlineStr">
        <is>
          <t>Bar Brahma - Granja</t>
        </is>
      </c>
      <c r="F96" s="27" t="n">
        <v>46045</v>
      </c>
      <c r="G96" t="inlineStr">
        <is>
          <t>DEBITO</t>
        </is>
      </c>
      <c r="H96" t="inlineStr">
        <is>
          <t>Fg7 Comercio D B Eireli Epp</t>
        </is>
      </c>
      <c r="I96" t="n">
        <v>-779.4</v>
      </c>
    </row>
    <row r="97">
      <c r="A97" t="n">
        <v>236959</v>
      </c>
      <c r="B97" t="n">
        <v>164</v>
      </c>
      <c r="C97" t="inlineStr">
        <is>
          <t>Bar Brahma Granja - FDB Filial - Kamino</t>
        </is>
      </c>
      <c r="D97" t="n">
        <v>148</v>
      </c>
      <c r="E97" t="inlineStr">
        <is>
          <t>Bar Brahma - Granja</t>
        </is>
      </c>
      <c r="F97" s="27" t="n">
        <v>46045</v>
      </c>
      <c r="G97" t="inlineStr">
        <is>
          <t>DEBITO</t>
        </is>
      </c>
      <c r="H97" t="inlineStr">
        <is>
          <t>Cecilia Tsuyaco Araki Silva Ltda</t>
        </is>
      </c>
      <c r="I97" t="n">
        <v>-125.2</v>
      </c>
    </row>
    <row r="98">
      <c r="A98" t="n">
        <v>236958</v>
      </c>
      <c r="B98" t="n">
        <v>164</v>
      </c>
      <c r="C98" t="inlineStr">
        <is>
          <t>Bar Brahma Granja - FDB Filial - Kamino</t>
        </is>
      </c>
      <c r="D98" t="n">
        <v>148</v>
      </c>
      <c r="E98" t="inlineStr">
        <is>
          <t>Bar Brahma - Granja</t>
        </is>
      </c>
      <c r="F98" s="27" t="n">
        <v>46045</v>
      </c>
      <c r="G98" t="inlineStr">
        <is>
          <t>DEBITO</t>
        </is>
      </c>
      <c r="H98" t="inlineStr">
        <is>
          <t>Eau Distribuidora a M Ltda</t>
        </is>
      </c>
      <c r="I98" t="n">
        <v>-644.37</v>
      </c>
    </row>
    <row r="99">
      <c r="A99" t="n">
        <v>236957</v>
      </c>
      <c r="B99" t="n">
        <v>164</v>
      </c>
      <c r="C99" t="inlineStr">
        <is>
          <t>Bar Brahma Granja - FDB Filial - Kamino</t>
        </is>
      </c>
      <c r="D99" t="n">
        <v>148</v>
      </c>
      <c r="E99" t="inlineStr">
        <is>
          <t>Bar Brahma - Granja</t>
        </is>
      </c>
      <c r="F99" s="27" t="n">
        <v>46045</v>
      </c>
      <c r="G99" t="inlineStr">
        <is>
          <t>DEBITO</t>
        </is>
      </c>
      <c r="H99" t="inlineStr">
        <is>
          <t>Laticinios Piramide Ltda</t>
        </is>
      </c>
      <c r="I99" t="n">
        <v>-2787</v>
      </c>
    </row>
    <row r="100">
      <c r="A100" t="n">
        <v>236956</v>
      </c>
      <c r="B100" t="n">
        <v>164</v>
      </c>
      <c r="C100" t="inlineStr">
        <is>
          <t>Bar Brahma Granja - FDB Filial - Kamino</t>
        </is>
      </c>
      <c r="D100" t="n">
        <v>148</v>
      </c>
      <c r="E100" t="inlineStr">
        <is>
          <t>Bar Brahma - Granja</t>
        </is>
      </c>
      <c r="F100" s="27" t="n">
        <v>46045</v>
      </c>
      <c r="G100" t="inlineStr">
        <is>
          <t>DEBITO</t>
        </is>
      </c>
      <c r="H100" t="inlineStr">
        <is>
          <t>Dtk Comercio de Alimentos Ltda Epp</t>
        </is>
      </c>
      <c r="I100" t="n">
        <v>-1128.06</v>
      </c>
    </row>
    <row r="101">
      <c r="A101" t="n">
        <v>236955</v>
      </c>
      <c r="B101" t="n">
        <v>164</v>
      </c>
      <c r="C101" t="inlineStr">
        <is>
          <t>Bar Brahma Granja - FDB Filial - Kamino</t>
        </is>
      </c>
      <c r="D101" t="n">
        <v>148</v>
      </c>
      <c r="E101" t="inlineStr">
        <is>
          <t>Bar Brahma - Granja</t>
        </is>
      </c>
      <c r="F101" s="27" t="n">
        <v>46045</v>
      </c>
      <c r="G101" t="inlineStr">
        <is>
          <t>DEBITO</t>
        </is>
      </c>
      <c r="H101" t="inlineStr">
        <is>
          <t>Ministerio da Fazenda</t>
        </is>
      </c>
      <c r="I101" t="n">
        <v>-22251.55</v>
      </c>
    </row>
    <row r="102">
      <c r="A102" t="n">
        <v>236954</v>
      </c>
      <c r="B102" t="n">
        <v>164</v>
      </c>
      <c r="C102" t="inlineStr">
        <is>
          <t>Bar Brahma Granja - FDB Filial - Kamino</t>
        </is>
      </c>
      <c r="D102" t="n">
        <v>148</v>
      </c>
      <c r="E102" t="inlineStr">
        <is>
          <t>Bar Brahma - Granja</t>
        </is>
      </c>
      <c r="F102" s="27" t="n">
        <v>46045</v>
      </c>
      <c r="G102" t="inlineStr">
        <is>
          <t>DEBITO</t>
        </is>
      </c>
      <c r="H102" t="inlineStr">
        <is>
          <t>Ministerio da Fazenda</t>
        </is>
      </c>
      <c r="I102" t="n">
        <v>-4821.17</v>
      </c>
    </row>
    <row r="103">
      <c r="A103" t="n">
        <v>236953</v>
      </c>
      <c r="B103" t="n">
        <v>164</v>
      </c>
      <c r="C103" t="inlineStr">
        <is>
          <t>Bar Brahma Granja - FDB Filial - Kamino</t>
        </is>
      </c>
      <c r="D103" t="n">
        <v>148</v>
      </c>
      <c r="E103" t="inlineStr">
        <is>
          <t>Bar Brahma - Granja</t>
        </is>
      </c>
      <c r="F103" s="27" t="n">
        <v>46045</v>
      </c>
      <c r="G103" t="inlineStr">
        <is>
          <t>DEBITO</t>
        </is>
      </c>
      <c r="H103" t="inlineStr">
        <is>
          <t>Cecilia Tsuyaco Araki Silva Ltda</t>
        </is>
      </c>
      <c r="I103" t="n">
        <v>-355.4</v>
      </c>
    </row>
    <row r="104">
      <c r="A104" t="n">
        <v>236952</v>
      </c>
      <c r="B104" t="n">
        <v>164</v>
      </c>
      <c r="C104" t="inlineStr">
        <is>
          <t>Bar Brahma Granja - FDB Filial - Kamino</t>
        </is>
      </c>
      <c r="D104" t="n">
        <v>148</v>
      </c>
      <c r="E104" t="inlineStr">
        <is>
          <t>Bar Brahma - Granja</t>
        </is>
      </c>
      <c r="F104" s="27" t="n">
        <v>46045</v>
      </c>
      <c r="G104" t="inlineStr">
        <is>
          <t>DEBITO</t>
        </is>
      </c>
      <c r="H104" t="inlineStr">
        <is>
          <t>Arena Bebidas</t>
        </is>
      </c>
      <c r="I104" t="n">
        <v>-313.5</v>
      </c>
    </row>
    <row r="105">
      <c r="A105" t="n">
        <v>236951</v>
      </c>
      <c r="B105" t="n">
        <v>164</v>
      </c>
      <c r="C105" t="inlineStr">
        <is>
          <t>Bar Brahma Granja - FDB Filial - Kamino</t>
        </is>
      </c>
      <c r="D105" t="n">
        <v>148</v>
      </c>
      <c r="E105" t="inlineStr">
        <is>
          <t>Bar Brahma - Granja</t>
        </is>
      </c>
      <c r="F105" s="27" t="n">
        <v>46045</v>
      </c>
      <c r="G105" t="inlineStr">
        <is>
          <t>DEBITO</t>
        </is>
      </c>
      <c r="H105" t="inlineStr">
        <is>
          <t>King Comercio e Importacao de Bebidas Ltda</t>
        </is>
      </c>
      <c r="I105" t="n">
        <v>-1760.7</v>
      </c>
    </row>
    <row r="106">
      <c r="A106" t="n">
        <v>236950</v>
      </c>
      <c r="B106" t="n">
        <v>164</v>
      </c>
      <c r="C106" t="inlineStr">
        <is>
          <t>Bar Brahma Granja - FDB Filial - Kamino</t>
        </is>
      </c>
      <c r="D106" t="n">
        <v>148</v>
      </c>
      <c r="E106" t="inlineStr">
        <is>
          <t>Bar Brahma - Granja</t>
        </is>
      </c>
      <c r="F106" s="27" t="n">
        <v>46045</v>
      </c>
      <c r="G106" t="inlineStr">
        <is>
          <t>DEBITO</t>
        </is>
      </c>
      <c r="H106" t="inlineStr">
        <is>
          <t>Cia do Whisky</t>
        </is>
      </c>
      <c r="I106" t="n">
        <v>-979.41</v>
      </c>
    </row>
    <row r="107">
      <c r="A107" t="n">
        <v>236949</v>
      </c>
      <c r="B107" t="n">
        <v>164</v>
      </c>
      <c r="C107" t="inlineStr">
        <is>
          <t>Bar Brahma Granja - FDB Filial - Kamino</t>
        </is>
      </c>
      <c r="D107" t="n">
        <v>148</v>
      </c>
      <c r="E107" t="inlineStr">
        <is>
          <t>Bar Brahma - Granja</t>
        </is>
      </c>
      <c r="F107" s="27" t="n">
        <v>46045</v>
      </c>
      <c r="G107" t="inlineStr">
        <is>
          <t>CREDITO</t>
        </is>
      </c>
      <c r="H107" t="inlineStr">
        <is>
          <t>TEMPUS FUGIT PARTICIPACOES E EMPREENDIMENTOS LTDA</t>
        </is>
      </c>
      <c r="I107" t="n">
        <v>41900</v>
      </c>
    </row>
    <row r="108">
      <c r="A108" t="n">
        <v>236947</v>
      </c>
      <c r="B108" t="n">
        <v>164</v>
      </c>
      <c r="C108" t="inlineStr">
        <is>
          <t>Bar Brahma Granja - FDB Filial - Kamino</t>
        </is>
      </c>
      <c r="D108" t="n">
        <v>148</v>
      </c>
      <c r="E108" t="inlineStr">
        <is>
          <t>Bar Brahma - Granja</t>
        </is>
      </c>
      <c r="F108" s="27" t="n">
        <v>46045</v>
      </c>
      <c r="G108" t="inlineStr">
        <is>
          <t>CREDITO</t>
        </is>
      </c>
      <c r="H108" t="inlineStr">
        <is>
          <t>Zig Tecnologia S.A.</t>
        </is>
      </c>
      <c r="I108" t="n">
        <v>14824</v>
      </c>
    </row>
    <row r="109">
      <c r="A109" t="n">
        <v>236948</v>
      </c>
      <c r="B109" t="n">
        <v>164</v>
      </c>
      <c r="C109" t="inlineStr">
        <is>
          <t>Bar Brahma Granja - FDB Filial - Kamino</t>
        </is>
      </c>
      <c r="D109" t="n">
        <v>148</v>
      </c>
      <c r="E109" t="inlineStr">
        <is>
          <t>Bar Brahma - Granja</t>
        </is>
      </c>
      <c r="F109" s="27" t="n">
        <v>46045</v>
      </c>
      <c r="G109" t="inlineStr">
        <is>
          <t>DEBITO</t>
        </is>
      </c>
      <c r="H109" t="inlineStr">
        <is>
          <t>Plasticos Segantini Eireli</t>
        </is>
      </c>
      <c r="I109" t="n">
        <v>-1567.5</v>
      </c>
    </row>
    <row r="110">
      <c r="A110" t="n">
        <v>236962</v>
      </c>
      <c r="B110" t="n">
        <v>164</v>
      </c>
      <c r="C110" t="inlineStr">
        <is>
          <t>Bar Brahma Granja - FDB Filial - Kamino</t>
        </is>
      </c>
      <c r="D110" t="n">
        <v>148</v>
      </c>
      <c r="E110" t="inlineStr">
        <is>
          <t>Bar Brahma - Granja</t>
        </is>
      </c>
      <c r="F110" s="27" t="n">
        <v>46045</v>
      </c>
      <c r="G110" t="inlineStr">
        <is>
          <t>DEBITO</t>
        </is>
      </c>
      <c r="H110" t="inlineStr">
        <is>
          <t>Nova Comercial do Peixe Eireli</t>
        </is>
      </c>
      <c r="I110" t="n">
        <v>-1018.5</v>
      </c>
    </row>
    <row r="111">
      <c r="A111" t="n">
        <v>236969</v>
      </c>
      <c r="B111" t="n">
        <v>164</v>
      </c>
      <c r="C111" t="inlineStr">
        <is>
          <t>Bar Brahma Granja - FDB Filial - Kamino</t>
        </is>
      </c>
      <c r="D111" t="n">
        <v>148</v>
      </c>
      <c r="E111" t="inlineStr">
        <is>
          <t>Bar Brahma - Granja</t>
        </is>
      </c>
      <c r="F111" s="27" t="n">
        <v>46045</v>
      </c>
      <c r="G111" t="inlineStr">
        <is>
          <t>DEBITO</t>
        </is>
      </c>
      <c r="H111" t="inlineStr">
        <is>
          <t>W P P C Carnes Eireli Epp</t>
        </is>
      </c>
      <c r="I111" t="n">
        <v>-350</v>
      </c>
    </row>
    <row r="112">
      <c r="A112" t="n">
        <v>237033</v>
      </c>
      <c r="B112" t="n">
        <v>153</v>
      </c>
      <c r="C112" t="inlineStr">
        <is>
          <t>Bar Brahma Granja - FDB Novo - Banco do Brasil</t>
        </is>
      </c>
      <c r="D112" t="n">
        <v>148</v>
      </c>
      <c r="E112" t="inlineStr">
        <is>
          <t>Bar Brahma - Granja</t>
        </is>
      </c>
      <c r="F112" s="27" t="n">
        <v>46045</v>
      </c>
      <c r="G112" t="inlineStr">
        <is>
          <t>CREDITO</t>
        </is>
      </c>
      <c r="H112" t="inlineStr">
        <is>
          <t>TED-CRDITO EM CONTA - 341 0912 69034668000156 PLUXEE BENEFIC</t>
        </is>
      </c>
      <c r="I112" t="n">
        <v>362.84</v>
      </c>
    </row>
    <row r="113">
      <c r="A113" t="n">
        <v>237032</v>
      </c>
      <c r="B113" t="n">
        <v>153</v>
      </c>
      <c r="C113" t="inlineStr">
        <is>
          <t>Bar Brahma Granja - FDB Novo - Banco do Brasil</t>
        </is>
      </c>
      <c r="D113" t="n">
        <v>148</v>
      </c>
      <c r="E113" t="inlineStr">
        <is>
          <t>Bar Brahma - Granja</t>
        </is>
      </c>
      <c r="F113" s="27" t="n">
        <v>46045</v>
      </c>
      <c r="G113" t="inlineStr">
        <is>
          <t>CREDITO</t>
        </is>
      </c>
      <c r="H113" t="inlineStr">
        <is>
          <t>TED-CRDITO EM CONTA - 341 0912 69034668000156 PLUXEE BENEFIC</t>
        </is>
      </c>
      <c r="I113" t="n">
        <v>2099.87</v>
      </c>
    </row>
    <row r="114">
      <c r="A114" t="n">
        <v>236968</v>
      </c>
      <c r="B114" t="n">
        <v>164</v>
      </c>
      <c r="C114" t="inlineStr">
        <is>
          <t>Bar Brahma Granja - FDB Filial - Kamino</t>
        </is>
      </c>
      <c r="D114" t="n">
        <v>148</v>
      </c>
      <c r="E114" t="inlineStr">
        <is>
          <t>Bar Brahma - Granja</t>
        </is>
      </c>
      <c r="F114" s="27" t="n">
        <v>46045</v>
      </c>
      <c r="G114" t="inlineStr">
        <is>
          <t>DEBITO</t>
        </is>
      </c>
      <c r="H114" t="inlineStr">
        <is>
          <t>Trilha do Pao</t>
        </is>
      </c>
      <c r="I114" t="n">
        <v>-749.03</v>
      </c>
    </row>
    <row r="115">
      <c r="A115" t="n">
        <v>236967</v>
      </c>
      <c r="B115" t="n">
        <v>164</v>
      </c>
      <c r="C115" t="inlineStr">
        <is>
          <t>Bar Brahma Granja - FDB Filial - Kamino</t>
        </is>
      </c>
      <c r="D115" t="n">
        <v>148</v>
      </c>
      <c r="E115" t="inlineStr">
        <is>
          <t>Bar Brahma - Granja</t>
        </is>
      </c>
      <c r="F115" s="27" t="n">
        <v>46045</v>
      </c>
      <c r="G115" t="inlineStr">
        <is>
          <t>DEBITO</t>
        </is>
      </c>
      <c r="H115" t="inlineStr">
        <is>
          <t>M. Barbosa dos Santos</t>
        </is>
      </c>
      <c r="I115" t="n">
        <v>-163.5</v>
      </c>
    </row>
    <row r="116">
      <c r="A116" t="n">
        <v>236966</v>
      </c>
      <c r="B116" t="n">
        <v>164</v>
      </c>
      <c r="C116" t="inlineStr">
        <is>
          <t>Bar Brahma Granja - FDB Filial - Kamino</t>
        </is>
      </c>
      <c r="D116" t="n">
        <v>148</v>
      </c>
      <c r="E116" t="inlineStr">
        <is>
          <t>Bar Brahma - Granja</t>
        </is>
      </c>
      <c r="F116" s="27" t="n">
        <v>46045</v>
      </c>
      <c r="G116" t="inlineStr">
        <is>
          <t>DEBITO</t>
        </is>
      </c>
      <c r="H116" t="inlineStr">
        <is>
          <t>Opus Consultoria e Pesquisa Ltda</t>
        </is>
      </c>
      <c r="I116" t="n">
        <v>-300</v>
      </c>
    </row>
    <row r="117">
      <c r="A117" t="n">
        <v>236965</v>
      </c>
      <c r="B117" t="n">
        <v>164</v>
      </c>
      <c r="C117" t="inlineStr">
        <is>
          <t>Bar Brahma Granja - FDB Filial - Kamino</t>
        </is>
      </c>
      <c r="D117" t="n">
        <v>148</v>
      </c>
      <c r="E117" t="inlineStr">
        <is>
          <t>Bar Brahma - Granja</t>
        </is>
      </c>
      <c r="F117" s="27" t="n">
        <v>46045</v>
      </c>
      <c r="G117" t="inlineStr">
        <is>
          <t>DEBITO</t>
        </is>
      </c>
      <c r="H117" t="inlineStr">
        <is>
          <t>Eletropaulo Metropolitana</t>
        </is>
      </c>
      <c r="I117" t="n">
        <v>-15360.34</v>
      </c>
    </row>
    <row r="118">
      <c r="A118" t="n">
        <v>236964</v>
      </c>
      <c r="B118" t="n">
        <v>164</v>
      </c>
      <c r="C118" t="inlineStr">
        <is>
          <t>Bar Brahma Granja - FDB Filial - Kamino</t>
        </is>
      </c>
      <c r="D118" t="n">
        <v>148</v>
      </c>
      <c r="E118" t="inlineStr">
        <is>
          <t>Bar Brahma - Granja</t>
        </is>
      </c>
      <c r="F118" s="27" t="n">
        <v>46045</v>
      </c>
      <c r="G118" t="inlineStr">
        <is>
          <t>DEBITO</t>
        </is>
      </c>
      <c r="H118" t="inlineStr">
        <is>
          <t>Cg Food S Distr Alimentos Ltda</t>
        </is>
      </c>
      <c r="I118" t="n">
        <v>-210</v>
      </c>
    </row>
    <row r="119">
      <c r="A119" t="n">
        <v>236963</v>
      </c>
      <c r="B119" t="n">
        <v>164</v>
      </c>
      <c r="C119" t="inlineStr">
        <is>
          <t>Bar Brahma Granja - FDB Filial - Kamino</t>
        </is>
      </c>
      <c r="D119" t="n">
        <v>148</v>
      </c>
      <c r="E119" t="inlineStr">
        <is>
          <t>Bar Brahma - Granja</t>
        </is>
      </c>
      <c r="F119" s="27" t="n">
        <v>46045</v>
      </c>
      <c r="G119" t="inlineStr">
        <is>
          <t>DEBITO</t>
        </is>
      </c>
      <c r="H119" t="inlineStr">
        <is>
          <t>M. Barbosa dos Santos</t>
        </is>
      </c>
      <c r="I119" t="n">
        <v>-116.1</v>
      </c>
    </row>
    <row r="120">
      <c r="A120" t="n">
        <v>236961</v>
      </c>
      <c r="B120" t="n">
        <v>164</v>
      </c>
      <c r="C120" t="inlineStr">
        <is>
          <t>Bar Brahma Granja - FDB Filial - Kamino</t>
        </is>
      </c>
      <c r="D120" t="n">
        <v>148</v>
      </c>
      <c r="E120" t="inlineStr">
        <is>
          <t>Bar Brahma - Granja</t>
        </is>
      </c>
      <c r="F120" s="27" t="n">
        <v>46045</v>
      </c>
      <c r="G120" t="inlineStr">
        <is>
          <t>DEBITO</t>
        </is>
      </c>
      <c r="H120" t="inlineStr">
        <is>
          <t>Mario Pedro Feliciano Hortifru</t>
        </is>
      </c>
      <c r="I120" t="n">
        <v>-1022.78</v>
      </c>
    </row>
    <row r="121">
      <c r="A121" t="n">
        <v>233123</v>
      </c>
      <c r="B121" t="n">
        <v>148</v>
      </c>
      <c r="C121" t="inlineStr">
        <is>
          <t>Bar Brahma Granja - Tutum Filial - Kamino</t>
        </is>
      </c>
      <c r="D121" t="n">
        <v>148</v>
      </c>
      <c r="E121" t="inlineStr">
        <is>
          <t>Bar Brahma - Granja</t>
        </is>
      </c>
      <c r="F121" s="27" t="n">
        <v>46044</v>
      </c>
      <c r="G121" t="inlineStr">
        <is>
          <t>CREDITO</t>
        </is>
      </c>
      <c r="H121" t="inlineStr">
        <is>
          <t>TEMPUS FUGIT PARTICIPACOES E EMPREENDIMENTOS LTDA</t>
        </is>
      </c>
      <c r="I121" t="n">
        <v>4800</v>
      </c>
    </row>
    <row r="122">
      <c r="A122" t="n">
        <v>233124</v>
      </c>
      <c r="B122" t="n">
        <v>148</v>
      </c>
      <c r="C122" t="inlineStr">
        <is>
          <t>Bar Brahma Granja - Tutum Filial - Kamino</t>
        </is>
      </c>
      <c r="D122" t="n">
        <v>148</v>
      </c>
      <c r="E122" t="inlineStr">
        <is>
          <t>Bar Brahma - Granja</t>
        </is>
      </c>
      <c r="F122" s="27" t="n">
        <v>46044</v>
      </c>
      <c r="G122" t="inlineStr">
        <is>
          <t>DEBITO</t>
        </is>
      </c>
      <c r="H122" t="inlineStr">
        <is>
          <t>Tarifa Pix Enviado-PJ</t>
        </is>
      </c>
      <c r="I122" t="n">
        <v>-0.5</v>
      </c>
    </row>
    <row r="123">
      <c r="A123" t="n">
        <v>232671</v>
      </c>
      <c r="B123" t="n">
        <v>153</v>
      </c>
      <c r="C123" t="inlineStr">
        <is>
          <t>Bar Brahma Granja - FDB Novo - Banco do Brasil</t>
        </is>
      </c>
      <c r="D123" t="n">
        <v>148</v>
      </c>
      <c r="E123" t="inlineStr">
        <is>
          <t>Bar Brahma - Granja</t>
        </is>
      </c>
      <c r="F123" s="27" t="n">
        <v>46044</v>
      </c>
      <c r="G123" t="inlineStr">
        <is>
          <t>CREDITO</t>
        </is>
      </c>
      <c r="H123" t="inlineStr">
        <is>
          <t>RECEBIMENTO FORNECEDOR - 04.740.876/0001-25 ALELO INSTITUICAO D</t>
        </is>
      </c>
      <c r="I123" t="n">
        <v>302.58</v>
      </c>
    </row>
    <row r="124">
      <c r="A124" t="n">
        <v>233125</v>
      </c>
      <c r="B124" t="n">
        <v>148</v>
      </c>
      <c r="C124" t="inlineStr">
        <is>
          <t>Bar Brahma Granja - Tutum Filial - Kamino</t>
        </is>
      </c>
      <c r="D124" t="n">
        <v>148</v>
      </c>
      <c r="E124" t="inlineStr">
        <is>
          <t>Bar Brahma - Granja</t>
        </is>
      </c>
      <c r="F124" s="27" t="n">
        <v>46044</v>
      </c>
      <c r="G124" t="inlineStr">
        <is>
          <t>DEBITO</t>
        </is>
      </c>
      <c r="H124" t="inlineStr">
        <is>
          <t>Lais da Silva Conceio</t>
        </is>
      </c>
      <c r="I124" t="n">
        <v>-5127.94</v>
      </c>
    </row>
    <row r="125">
      <c r="A125" t="n">
        <v>233088</v>
      </c>
      <c r="B125" t="n">
        <v>164</v>
      </c>
      <c r="C125" t="inlineStr">
        <is>
          <t>Bar Brahma Granja - FDB Filial - Kamino</t>
        </is>
      </c>
      <c r="D125" t="n">
        <v>148</v>
      </c>
      <c r="E125" t="inlineStr">
        <is>
          <t>Bar Brahma - Granja</t>
        </is>
      </c>
      <c r="F125" s="27" t="n">
        <v>46044</v>
      </c>
      <c r="G125" t="inlineStr">
        <is>
          <t>DEBITO</t>
        </is>
      </c>
      <c r="H125" t="inlineStr">
        <is>
          <t>Multifrangos com Alim Ltda Me</t>
        </is>
      </c>
      <c r="I125" t="n">
        <v>-375.52</v>
      </c>
    </row>
    <row r="126">
      <c r="A126" t="n">
        <v>233090</v>
      </c>
      <c r="B126" t="n">
        <v>164</v>
      </c>
      <c r="C126" t="inlineStr">
        <is>
          <t>Bar Brahma Granja - FDB Filial - Kamino</t>
        </is>
      </c>
      <c r="D126" t="n">
        <v>148</v>
      </c>
      <c r="E126" t="inlineStr">
        <is>
          <t>Bar Brahma - Granja</t>
        </is>
      </c>
      <c r="F126" s="27" t="n">
        <v>46044</v>
      </c>
      <c r="G126" t="inlineStr">
        <is>
          <t>DEBITO</t>
        </is>
      </c>
      <c r="H126" t="inlineStr">
        <is>
          <t>Arthur Alves da Silva</t>
        </is>
      </c>
      <c r="I126" t="n">
        <v>-1197</v>
      </c>
    </row>
    <row r="127">
      <c r="A127" t="n">
        <v>233089</v>
      </c>
      <c r="B127" t="n">
        <v>164</v>
      </c>
      <c r="C127" t="inlineStr">
        <is>
          <t>Bar Brahma Granja - FDB Filial - Kamino</t>
        </is>
      </c>
      <c r="D127" t="n">
        <v>148</v>
      </c>
      <c r="E127" t="inlineStr">
        <is>
          <t>Bar Brahma - Granja</t>
        </is>
      </c>
      <c r="F127" s="27" t="n">
        <v>46044</v>
      </c>
      <c r="G127" t="inlineStr">
        <is>
          <t>CREDITO</t>
        </is>
      </c>
      <c r="H127" t="inlineStr">
        <is>
          <t>TEMPUS FUGIT PARTICIPACOES E EMPREENDIMENTOS LTDA</t>
        </is>
      </c>
      <c r="I127" t="n">
        <v>1150</v>
      </c>
    </row>
    <row r="128">
      <c r="A128" t="n">
        <v>233087</v>
      </c>
      <c r="B128" t="n">
        <v>164</v>
      </c>
      <c r="C128" t="inlineStr">
        <is>
          <t>Bar Brahma Granja - FDB Filial - Kamino</t>
        </is>
      </c>
      <c r="D128" t="n">
        <v>148</v>
      </c>
      <c r="E128" t="inlineStr">
        <is>
          <t>Bar Brahma - Granja</t>
        </is>
      </c>
      <c r="F128" s="27" t="n">
        <v>46044</v>
      </c>
      <c r="G128" t="inlineStr">
        <is>
          <t>DEBITO</t>
        </is>
      </c>
      <c r="H128" t="inlineStr">
        <is>
          <t>Horta Nova Distribuidora de Hortifruti Ltda</t>
        </is>
      </c>
      <c r="I128" t="n">
        <v>-397.62</v>
      </c>
    </row>
    <row r="129">
      <c r="A129" t="n">
        <v>233086</v>
      </c>
      <c r="B129" t="n">
        <v>164</v>
      </c>
      <c r="C129" t="inlineStr">
        <is>
          <t>Bar Brahma Granja - FDB Filial - Kamino</t>
        </is>
      </c>
      <c r="D129" t="n">
        <v>148</v>
      </c>
      <c r="E129" t="inlineStr">
        <is>
          <t>Bar Brahma - Granja</t>
        </is>
      </c>
      <c r="F129" s="27" t="n">
        <v>46044</v>
      </c>
      <c r="G129" t="inlineStr">
        <is>
          <t>DEBITO</t>
        </is>
      </c>
      <c r="H129" t="inlineStr">
        <is>
          <t>Andreia Santos Freitas Duarte</t>
        </is>
      </c>
      <c r="I129" t="n">
        <v>-190.92</v>
      </c>
    </row>
    <row r="130">
      <c r="A130" t="n">
        <v>233085</v>
      </c>
      <c r="B130" t="n">
        <v>164</v>
      </c>
      <c r="C130" t="inlineStr">
        <is>
          <t>Bar Brahma Granja - FDB Filial - Kamino</t>
        </is>
      </c>
      <c r="D130" t="n">
        <v>148</v>
      </c>
      <c r="E130" t="inlineStr">
        <is>
          <t>Bar Brahma - Granja</t>
        </is>
      </c>
      <c r="F130" s="27" t="n">
        <v>46044</v>
      </c>
      <c r="G130" t="inlineStr">
        <is>
          <t>DEBITO</t>
        </is>
      </c>
      <c r="H130" t="inlineStr">
        <is>
          <t>Hashtagtv Marketing P S A</t>
        </is>
      </c>
      <c r="I130" t="n">
        <v>-381.4</v>
      </c>
    </row>
    <row r="131">
      <c r="A131" t="n">
        <v>233084</v>
      </c>
      <c r="B131" t="n">
        <v>164</v>
      </c>
      <c r="C131" t="inlineStr">
        <is>
          <t>Bar Brahma Granja - FDB Filial - Kamino</t>
        </is>
      </c>
      <c r="D131" t="n">
        <v>148</v>
      </c>
      <c r="E131" t="inlineStr">
        <is>
          <t>Bar Brahma - Granja</t>
        </is>
      </c>
      <c r="F131" s="27" t="n">
        <v>46044</v>
      </c>
      <c r="G131" t="inlineStr">
        <is>
          <t>DEBITO</t>
        </is>
      </c>
      <c r="H131" t="inlineStr">
        <is>
          <t>M. Barbosa dos Santos</t>
        </is>
      </c>
      <c r="I131" t="n">
        <v>-163.5</v>
      </c>
    </row>
    <row r="132">
      <c r="A132" t="n">
        <v>233083</v>
      </c>
      <c r="B132" t="n">
        <v>164</v>
      </c>
      <c r="C132" t="inlineStr">
        <is>
          <t>Bar Brahma Granja - FDB Filial - Kamino</t>
        </is>
      </c>
      <c r="D132" t="n">
        <v>148</v>
      </c>
      <c r="E132" t="inlineStr">
        <is>
          <t>Bar Brahma - Granja</t>
        </is>
      </c>
      <c r="F132" s="27" t="n">
        <v>46044</v>
      </c>
      <c r="G132" t="inlineStr">
        <is>
          <t>DEBITO</t>
        </is>
      </c>
      <c r="H132" t="inlineStr">
        <is>
          <t>Andreia Santos Freitas Duarte</t>
        </is>
      </c>
      <c r="I132" t="n">
        <v>-724</v>
      </c>
    </row>
    <row r="133">
      <c r="A133" t="n">
        <v>233082</v>
      </c>
      <c r="B133" t="n">
        <v>164</v>
      </c>
      <c r="C133" t="inlineStr">
        <is>
          <t>Bar Brahma Granja - FDB Filial - Kamino</t>
        </is>
      </c>
      <c r="D133" t="n">
        <v>148</v>
      </c>
      <c r="E133" t="inlineStr">
        <is>
          <t>Bar Brahma - Granja</t>
        </is>
      </c>
      <c r="F133" s="27" t="n">
        <v>46044</v>
      </c>
      <c r="G133" t="inlineStr">
        <is>
          <t>DEBITO</t>
        </is>
      </c>
      <c r="H133" t="inlineStr">
        <is>
          <t>Edimar Moura Tartaglioni</t>
        </is>
      </c>
      <c r="I133" t="n">
        <v>-400</v>
      </c>
    </row>
    <row r="134">
      <c r="A134" t="n">
        <v>233077</v>
      </c>
      <c r="B134" t="n">
        <v>164</v>
      </c>
      <c r="C134" t="inlineStr">
        <is>
          <t>Bar Brahma Granja - FDB Filial - Kamino</t>
        </is>
      </c>
      <c r="D134" t="n">
        <v>148</v>
      </c>
      <c r="E134" t="inlineStr">
        <is>
          <t>Bar Brahma - Granja</t>
        </is>
      </c>
      <c r="F134" s="27" t="n">
        <v>46044</v>
      </c>
      <c r="G134" t="inlineStr">
        <is>
          <t>CREDITO</t>
        </is>
      </c>
      <c r="H134" t="inlineStr">
        <is>
          <t>Zig Tecnologia S.A.</t>
        </is>
      </c>
      <c r="I134" t="n">
        <v>8193</v>
      </c>
    </row>
    <row r="135">
      <c r="A135" t="n">
        <v>233078</v>
      </c>
      <c r="B135" t="n">
        <v>164</v>
      </c>
      <c r="C135" t="inlineStr">
        <is>
          <t>Bar Brahma Granja - FDB Filial - Kamino</t>
        </is>
      </c>
      <c r="D135" t="n">
        <v>148</v>
      </c>
      <c r="E135" t="inlineStr">
        <is>
          <t>Bar Brahma - Granja</t>
        </is>
      </c>
      <c r="F135" s="27" t="n">
        <v>46044</v>
      </c>
      <c r="G135" t="inlineStr">
        <is>
          <t>CREDITO</t>
        </is>
      </c>
      <c r="H135" t="inlineStr">
        <is>
          <t>TEMPUS FUGIT PARTICIPACOES E EMPREENDIMENTOS LTDA</t>
        </is>
      </c>
      <c r="I135" t="n">
        <v>2000</v>
      </c>
    </row>
    <row r="136">
      <c r="A136" t="n">
        <v>233079</v>
      </c>
      <c r="B136" t="n">
        <v>164</v>
      </c>
      <c r="C136" t="inlineStr">
        <is>
          <t>Bar Brahma Granja - FDB Filial - Kamino</t>
        </is>
      </c>
      <c r="D136" t="n">
        <v>148</v>
      </c>
      <c r="E136" t="inlineStr">
        <is>
          <t>Bar Brahma - Granja</t>
        </is>
      </c>
      <c r="F136" s="27" t="n">
        <v>46044</v>
      </c>
      <c r="G136" t="inlineStr">
        <is>
          <t>DEBITO</t>
        </is>
      </c>
      <c r="H136" t="inlineStr">
        <is>
          <t>Estaff Solucoes Tecnologicas de Agenciam</t>
        </is>
      </c>
      <c r="I136" t="n">
        <v>-7076.67</v>
      </c>
    </row>
    <row r="137">
      <c r="A137" t="n">
        <v>233080</v>
      </c>
      <c r="B137" t="n">
        <v>164</v>
      </c>
      <c r="C137" t="inlineStr">
        <is>
          <t>Bar Brahma Granja - FDB Filial - Kamino</t>
        </is>
      </c>
      <c r="D137" t="n">
        <v>148</v>
      </c>
      <c r="E137" t="inlineStr">
        <is>
          <t>Bar Brahma - Granja</t>
        </is>
      </c>
      <c r="F137" s="27" t="n">
        <v>46044</v>
      </c>
      <c r="G137" t="inlineStr">
        <is>
          <t>DEBITO</t>
        </is>
      </c>
      <c r="H137" t="inlineStr">
        <is>
          <t>Horta Nova Distribuidora de Hortifruti Ltda</t>
        </is>
      </c>
      <c r="I137" t="n">
        <v>-200.1</v>
      </c>
    </row>
    <row r="138">
      <c r="A138" t="n">
        <v>233081</v>
      </c>
      <c r="B138" t="n">
        <v>164</v>
      </c>
      <c r="C138" t="inlineStr">
        <is>
          <t>Bar Brahma Granja - FDB Filial - Kamino</t>
        </is>
      </c>
      <c r="D138" t="n">
        <v>148</v>
      </c>
      <c r="E138" t="inlineStr">
        <is>
          <t>Bar Brahma - Granja</t>
        </is>
      </c>
      <c r="F138" s="27" t="n">
        <v>46044</v>
      </c>
      <c r="G138" t="inlineStr">
        <is>
          <t>DEBITO</t>
        </is>
      </c>
      <c r="H138" t="inlineStr">
        <is>
          <t>Ambev S A</t>
        </is>
      </c>
      <c r="I138" t="n">
        <v>-558.1799999999999</v>
      </c>
    </row>
    <row r="139">
      <c r="A139" t="n">
        <v>239727</v>
      </c>
      <c r="B139" t="n">
        <v>187</v>
      </c>
      <c r="C139" t="inlineStr">
        <is>
          <t>Bar Brahma Granja - FDB Novo - Caixa</t>
        </is>
      </c>
      <c r="D139" t="n">
        <v>148</v>
      </c>
      <c r="E139" t="inlineStr">
        <is>
          <t>Bar Brahma - Granja</t>
        </is>
      </c>
      <c r="F139" s="27" t="n">
        <v>46043.625</v>
      </c>
      <c r="G139" t="inlineStr">
        <is>
          <t>CREDITO</t>
        </is>
      </c>
      <c r="H139" t="inlineStr">
        <is>
          <t>CRED TED</t>
        </is>
      </c>
      <c r="I139" t="n">
        <v>256.46</v>
      </c>
    </row>
    <row r="140">
      <c r="A140" t="n">
        <v>239726</v>
      </c>
      <c r="B140" t="n">
        <v>187</v>
      </c>
      <c r="C140" t="inlineStr">
        <is>
          <t>Bar Brahma Granja - FDB Novo - Caixa</t>
        </is>
      </c>
      <c r="D140" t="n">
        <v>148</v>
      </c>
      <c r="E140" t="inlineStr">
        <is>
          <t>Bar Brahma - Granja</t>
        </is>
      </c>
      <c r="F140" s="27" t="n">
        <v>46043.625</v>
      </c>
      <c r="G140" t="inlineStr">
        <is>
          <t>DEBITO</t>
        </is>
      </c>
      <c r="H140" t="inlineStr">
        <is>
          <t>TAR PIX</t>
        </is>
      </c>
      <c r="I140" t="n">
        <v>-8.449999999999999</v>
      </c>
    </row>
    <row r="141">
      <c r="A141" t="n">
        <v>239725</v>
      </c>
      <c r="B141" t="n">
        <v>187</v>
      </c>
      <c r="C141" t="inlineStr">
        <is>
          <t>Bar Brahma Granja - FDB Novo - Caixa</t>
        </is>
      </c>
      <c r="D141" t="n">
        <v>148</v>
      </c>
      <c r="E141" t="inlineStr">
        <is>
          <t>Bar Brahma - Granja</t>
        </is>
      </c>
      <c r="F141" s="27" t="n">
        <v>46043.625</v>
      </c>
      <c r="G141" t="inlineStr">
        <is>
          <t>DEBITO</t>
        </is>
      </c>
      <c r="H141" t="inlineStr">
        <is>
          <t>DEB PIX CH</t>
        </is>
      </c>
      <c r="I141" t="n">
        <v>-950</v>
      </c>
    </row>
    <row r="142">
      <c r="A142" t="n">
        <v>233070</v>
      </c>
      <c r="B142" t="n">
        <v>164</v>
      </c>
      <c r="C142" t="inlineStr">
        <is>
          <t>Bar Brahma Granja - FDB Filial - Kamino</t>
        </is>
      </c>
      <c r="D142" t="n">
        <v>148</v>
      </c>
      <c r="E142" t="inlineStr">
        <is>
          <t>Bar Brahma - Granja</t>
        </is>
      </c>
      <c r="F142" s="27" t="n">
        <v>46043</v>
      </c>
      <c r="G142" t="inlineStr">
        <is>
          <t>DEBITO</t>
        </is>
      </c>
      <c r="H142" t="inlineStr">
        <is>
          <t>Horta Nova Distribuidora de Hortifruti Ltda</t>
        </is>
      </c>
      <c r="I142" t="n">
        <v>-164.47</v>
      </c>
    </row>
    <row r="143">
      <c r="A143" t="n">
        <v>232670</v>
      </c>
      <c r="B143" t="n">
        <v>153</v>
      </c>
      <c r="C143" t="inlineStr">
        <is>
          <t>Bar Brahma Granja - FDB Novo - Banco do Brasil</t>
        </is>
      </c>
      <c r="D143" t="n">
        <v>148</v>
      </c>
      <c r="E143" t="inlineStr">
        <is>
          <t>Bar Brahma - Granja</t>
        </is>
      </c>
      <c r="F143" s="27" t="n">
        <v>46043</v>
      </c>
      <c r="G143" t="inlineStr">
        <is>
          <t>CREDITO</t>
        </is>
      </c>
      <c r="H143" t="inlineStr">
        <is>
          <t>RECEBIMENTO FORNECEDOR - 04.740.876/0001-25 ALELO INSTITUICAO D</t>
        </is>
      </c>
      <c r="I143" t="n">
        <v>187.96</v>
      </c>
    </row>
    <row r="144">
      <c r="A144" t="n">
        <v>233076</v>
      </c>
      <c r="B144" t="n">
        <v>164</v>
      </c>
      <c r="C144" t="inlineStr">
        <is>
          <t>Bar Brahma Granja - FDB Filial - Kamino</t>
        </is>
      </c>
      <c r="D144" t="n">
        <v>148</v>
      </c>
      <c r="E144" t="inlineStr">
        <is>
          <t>Bar Brahma - Granja</t>
        </is>
      </c>
      <c r="F144" s="27" t="n">
        <v>46043</v>
      </c>
      <c r="G144" t="inlineStr">
        <is>
          <t>DEBITO</t>
        </is>
      </c>
      <c r="H144" t="inlineStr">
        <is>
          <t>King Comercio de Bebidas Ltda</t>
        </is>
      </c>
      <c r="I144" t="n">
        <v>-190.83</v>
      </c>
    </row>
    <row r="145">
      <c r="A145" t="n">
        <v>233075</v>
      </c>
      <c r="B145" t="n">
        <v>164</v>
      </c>
      <c r="C145" t="inlineStr">
        <is>
          <t>Bar Brahma Granja - FDB Filial - Kamino</t>
        </is>
      </c>
      <c r="D145" t="n">
        <v>148</v>
      </c>
      <c r="E145" t="inlineStr">
        <is>
          <t>Bar Brahma - Granja</t>
        </is>
      </c>
      <c r="F145" s="27" t="n">
        <v>46043</v>
      </c>
      <c r="G145" t="inlineStr">
        <is>
          <t>DEBITO</t>
        </is>
      </c>
      <c r="H145" t="inlineStr">
        <is>
          <t>Gilberto Ferreira da Silva Junior</t>
        </is>
      </c>
      <c r="I145" t="n">
        <v>-1000</v>
      </c>
    </row>
    <row r="146">
      <c r="A146" t="n">
        <v>233074</v>
      </c>
      <c r="B146" t="n">
        <v>164</v>
      </c>
      <c r="C146" t="inlineStr">
        <is>
          <t>Bar Brahma Granja - FDB Filial - Kamino</t>
        </is>
      </c>
      <c r="D146" t="n">
        <v>148</v>
      </c>
      <c r="E146" t="inlineStr">
        <is>
          <t>Bar Brahma - Granja</t>
        </is>
      </c>
      <c r="F146" s="27" t="n">
        <v>46043</v>
      </c>
      <c r="G146" t="inlineStr">
        <is>
          <t>DEBITO</t>
        </is>
      </c>
      <c r="H146" t="inlineStr">
        <is>
          <t>Qualimais Distribuidora e Comercio de Be</t>
        </is>
      </c>
      <c r="I146" t="n">
        <v>-455</v>
      </c>
    </row>
    <row r="147">
      <c r="A147" t="n">
        <v>233073</v>
      </c>
      <c r="B147" t="n">
        <v>164</v>
      </c>
      <c r="C147" t="inlineStr">
        <is>
          <t>Bar Brahma Granja - FDB Filial - Kamino</t>
        </is>
      </c>
      <c r="D147" t="n">
        <v>148</v>
      </c>
      <c r="E147" t="inlineStr">
        <is>
          <t>Bar Brahma - Granja</t>
        </is>
      </c>
      <c r="F147" s="27" t="n">
        <v>46043</v>
      </c>
      <c r="G147" t="inlineStr">
        <is>
          <t>DEBITO</t>
        </is>
      </c>
      <c r="H147" t="inlineStr">
        <is>
          <t>Pagcerto Instituicao de Pagamento L</t>
        </is>
      </c>
      <c r="I147" t="n">
        <v>-263.34</v>
      </c>
    </row>
    <row r="148">
      <c r="A148" t="n">
        <v>233072</v>
      </c>
      <c r="B148" t="n">
        <v>164</v>
      </c>
      <c r="C148" t="inlineStr">
        <is>
          <t>Bar Brahma Granja - FDB Filial - Kamino</t>
        </is>
      </c>
      <c r="D148" t="n">
        <v>148</v>
      </c>
      <c r="E148" t="inlineStr">
        <is>
          <t>Bar Brahma - Granja</t>
        </is>
      </c>
      <c r="F148" s="27" t="n">
        <v>46043</v>
      </c>
      <c r="G148" t="inlineStr">
        <is>
          <t>DEBITO</t>
        </is>
      </c>
      <c r="H148" t="inlineStr">
        <is>
          <t>Dtk Comercio de Alimentos Ltda Epp</t>
        </is>
      </c>
      <c r="I148" t="n">
        <v>-3121.86</v>
      </c>
    </row>
    <row r="149">
      <c r="A149" t="n">
        <v>233071</v>
      </c>
      <c r="B149" t="n">
        <v>164</v>
      </c>
      <c r="C149" t="inlineStr">
        <is>
          <t>Bar Brahma Granja - FDB Filial - Kamino</t>
        </is>
      </c>
      <c r="D149" t="n">
        <v>148</v>
      </c>
      <c r="E149" t="inlineStr">
        <is>
          <t>Bar Brahma - Granja</t>
        </is>
      </c>
      <c r="F149" s="27" t="n">
        <v>46043</v>
      </c>
      <c r="G149" t="inlineStr">
        <is>
          <t>DEBITO</t>
        </is>
      </c>
      <c r="H149" t="inlineStr">
        <is>
          <t>Ms Frangos Ltda</t>
        </is>
      </c>
      <c r="I149" t="n">
        <v>-335.25</v>
      </c>
    </row>
    <row r="150">
      <c r="A150" t="n">
        <v>233069</v>
      </c>
      <c r="B150" t="n">
        <v>164</v>
      </c>
      <c r="C150" t="inlineStr">
        <is>
          <t>Bar Brahma Granja - FDB Filial - Kamino</t>
        </is>
      </c>
      <c r="D150" t="n">
        <v>148</v>
      </c>
      <c r="E150" t="inlineStr">
        <is>
          <t>Bar Brahma - Granja</t>
        </is>
      </c>
      <c r="F150" s="27" t="n">
        <v>46043</v>
      </c>
      <c r="G150" t="inlineStr">
        <is>
          <t>CREDITO</t>
        </is>
      </c>
      <c r="H150" t="inlineStr">
        <is>
          <t>Zig Tecnologia S.A.</t>
        </is>
      </c>
      <c r="I150" t="n">
        <v>5959.43</v>
      </c>
    </row>
    <row r="151">
      <c r="A151" t="n">
        <v>233103</v>
      </c>
      <c r="B151" t="n">
        <v>148</v>
      </c>
      <c r="C151" t="inlineStr">
        <is>
          <t>Bar Brahma Granja - Tutum Filial - Kamino</t>
        </is>
      </c>
      <c r="D151" t="n">
        <v>148</v>
      </c>
      <c r="E151" t="inlineStr">
        <is>
          <t>Bar Brahma - Granja</t>
        </is>
      </c>
      <c r="F151" s="27" t="n">
        <v>46042</v>
      </c>
      <c r="G151" t="inlineStr">
        <is>
          <t>DEBITO</t>
        </is>
      </c>
      <c r="H151" t="inlineStr">
        <is>
          <t>Valdir Rodrigues dos Santos</t>
        </is>
      </c>
      <c r="I151" t="n">
        <v>-747.76</v>
      </c>
    </row>
    <row r="152">
      <c r="A152" t="n">
        <v>233064</v>
      </c>
      <c r="B152" t="n">
        <v>164</v>
      </c>
      <c r="C152" t="inlineStr">
        <is>
          <t>Bar Brahma Granja - FDB Filial - Kamino</t>
        </is>
      </c>
      <c r="D152" t="n">
        <v>148</v>
      </c>
      <c r="E152" t="inlineStr">
        <is>
          <t>Bar Brahma - Granja</t>
        </is>
      </c>
      <c r="F152" s="27" t="n">
        <v>46042</v>
      </c>
      <c r="G152" t="inlineStr">
        <is>
          <t>DEBITO</t>
        </is>
      </c>
      <c r="H152" t="inlineStr">
        <is>
          <t>Marcos Silva do Nascimento 00753897547</t>
        </is>
      </c>
      <c r="I152" t="n">
        <v>-2790.92</v>
      </c>
    </row>
    <row r="153">
      <c r="A153" t="n">
        <v>232669</v>
      </c>
      <c r="B153" t="n">
        <v>153</v>
      </c>
      <c r="C153" t="inlineStr">
        <is>
          <t>Bar Brahma Granja - FDB Novo - Banco do Brasil</t>
        </is>
      </c>
      <c r="D153" t="n">
        <v>148</v>
      </c>
      <c r="E153" t="inlineStr">
        <is>
          <t>Bar Brahma - Granja</t>
        </is>
      </c>
      <c r="F153" s="27" t="n">
        <v>46042</v>
      </c>
      <c r="G153" t="inlineStr">
        <is>
          <t>DEBITO</t>
        </is>
      </c>
      <c r="H153" t="inlineStr">
        <is>
          <t>PAGAMENTOS DIVERSOS - CIELO</t>
        </is>
      </c>
      <c r="I153" t="n">
        <v>-99.90000000000001</v>
      </c>
    </row>
    <row r="154">
      <c r="A154" t="n">
        <v>232668</v>
      </c>
      <c r="B154" t="n">
        <v>153</v>
      </c>
      <c r="C154" t="inlineStr">
        <is>
          <t>Bar Brahma Granja - FDB Novo - Banco do Brasil</t>
        </is>
      </c>
      <c r="D154" t="n">
        <v>148</v>
      </c>
      <c r="E154" t="inlineStr">
        <is>
          <t>Bar Brahma - Granja</t>
        </is>
      </c>
      <c r="F154" s="27" t="n">
        <v>46042</v>
      </c>
      <c r="G154" t="inlineStr">
        <is>
          <t>DEBITO</t>
        </is>
      </c>
      <c r="H154" t="inlineStr">
        <is>
          <t>TED TRANSF.ELETR.DISPONIV - 301 0001 042728081000190 TEMPUS FUGIT</t>
        </is>
      </c>
      <c r="I154" t="n">
        <v>-18000</v>
      </c>
    </row>
    <row r="155">
      <c r="A155" t="n">
        <v>232667</v>
      </c>
      <c r="B155" t="n">
        <v>153</v>
      </c>
      <c r="C155" t="inlineStr">
        <is>
          <t>Bar Brahma Granja - FDB Novo - Banco do Brasil</t>
        </is>
      </c>
      <c r="D155" t="n">
        <v>148</v>
      </c>
      <c r="E155" t="inlineStr">
        <is>
          <t>Bar Brahma - Granja</t>
        </is>
      </c>
      <c r="F155" s="27" t="n">
        <v>46042</v>
      </c>
      <c r="G155" t="inlineStr">
        <is>
          <t>CREDITO</t>
        </is>
      </c>
      <c r="H155" t="inlineStr">
        <is>
          <t>PIX - RECEBIDO - 20/01 09:07 02535864000133 VR BENEFICI</t>
        </is>
      </c>
      <c r="I155" t="n">
        <v>316.16</v>
      </c>
    </row>
    <row r="156">
      <c r="A156" t="n">
        <v>232666</v>
      </c>
      <c r="B156" t="n">
        <v>153</v>
      </c>
      <c r="C156" t="inlineStr">
        <is>
          <t>Bar Brahma Granja - FDB Novo - Banco do Brasil</t>
        </is>
      </c>
      <c r="D156" t="n">
        <v>148</v>
      </c>
      <c r="E156" t="inlineStr">
        <is>
          <t>Bar Brahma - Granja</t>
        </is>
      </c>
      <c r="F156" s="27" t="n">
        <v>46042</v>
      </c>
      <c r="G156" t="inlineStr">
        <is>
          <t>CREDITO</t>
        </is>
      </c>
      <c r="H156" t="inlineStr">
        <is>
          <t>CIELO VENDAS CRDITO</t>
        </is>
      </c>
      <c r="I156" t="n">
        <v>188.38</v>
      </c>
    </row>
    <row r="157">
      <c r="A157" t="n">
        <v>232665</v>
      </c>
      <c r="B157" t="n">
        <v>153</v>
      </c>
      <c r="C157" t="inlineStr">
        <is>
          <t>Bar Brahma Granja - FDB Novo - Banco do Brasil</t>
        </is>
      </c>
      <c r="D157" t="n">
        <v>148</v>
      </c>
      <c r="E157" t="inlineStr">
        <is>
          <t>Bar Brahma - Granja</t>
        </is>
      </c>
      <c r="F157" s="27" t="n">
        <v>46042</v>
      </c>
      <c r="G157" t="inlineStr">
        <is>
          <t>CREDITO</t>
        </is>
      </c>
      <c r="H157" t="inlineStr">
        <is>
          <t>RECEBIMENTO FORNECEDOR - 04.740.876/0001-25 ALELO INSTITUICAO D</t>
        </is>
      </c>
      <c r="I157" t="n">
        <v>700.51</v>
      </c>
    </row>
    <row r="158">
      <c r="A158" t="n">
        <v>233067</v>
      </c>
      <c r="B158" t="n">
        <v>164</v>
      </c>
      <c r="C158" t="inlineStr">
        <is>
          <t>Bar Brahma Granja - FDB Filial - Kamino</t>
        </is>
      </c>
      <c r="D158" t="n">
        <v>148</v>
      </c>
      <c r="E158" t="inlineStr">
        <is>
          <t>Bar Brahma - Granja</t>
        </is>
      </c>
      <c r="F158" s="27" t="n">
        <v>46042</v>
      </c>
      <c r="G158" t="inlineStr">
        <is>
          <t>DEBITO</t>
        </is>
      </c>
      <c r="H158" t="inlineStr">
        <is>
          <t>Ministerio da Fazenda</t>
        </is>
      </c>
      <c r="I158" t="n">
        <v>-12.66</v>
      </c>
    </row>
    <row r="159">
      <c r="A159" t="n">
        <v>233066</v>
      </c>
      <c r="B159" t="n">
        <v>164</v>
      </c>
      <c r="C159" t="inlineStr">
        <is>
          <t>Bar Brahma Granja - FDB Filial - Kamino</t>
        </is>
      </c>
      <c r="D159" t="n">
        <v>148</v>
      </c>
      <c r="E159" t="inlineStr">
        <is>
          <t>Bar Brahma - Granja</t>
        </is>
      </c>
      <c r="F159" s="27" t="n">
        <v>46042</v>
      </c>
      <c r="G159" t="inlineStr">
        <is>
          <t>DEBITO</t>
        </is>
      </c>
      <c r="H159" t="inlineStr">
        <is>
          <t>Gelomaq com e Ind Ltda</t>
        </is>
      </c>
      <c r="I159" t="n">
        <v>-1545</v>
      </c>
    </row>
    <row r="160">
      <c r="A160" t="n">
        <v>233096</v>
      </c>
      <c r="B160" t="n">
        <v>148</v>
      </c>
      <c r="C160" t="inlineStr">
        <is>
          <t>Bar Brahma Granja - Tutum Filial - Kamino</t>
        </is>
      </c>
      <c r="D160" t="n">
        <v>148</v>
      </c>
      <c r="E160" t="inlineStr">
        <is>
          <t>Bar Brahma - Granja</t>
        </is>
      </c>
      <c r="F160" s="27" t="n">
        <v>46042</v>
      </c>
      <c r="G160" t="inlineStr">
        <is>
          <t>DEBITO</t>
        </is>
      </c>
      <c r="H160" t="inlineStr">
        <is>
          <t>Julio Cesar da Cunha Junior</t>
        </is>
      </c>
      <c r="I160" t="n">
        <v>-747.76</v>
      </c>
    </row>
    <row r="161">
      <c r="A161" t="n">
        <v>233095</v>
      </c>
      <c r="B161" t="n">
        <v>148</v>
      </c>
      <c r="C161" t="inlineStr">
        <is>
          <t>Bar Brahma Granja - Tutum Filial - Kamino</t>
        </is>
      </c>
      <c r="D161" t="n">
        <v>148</v>
      </c>
      <c r="E161" t="inlineStr">
        <is>
          <t>Bar Brahma - Granja</t>
        </is>
      </c>
      <c r="F161" s="27" t="n">
        <v>46042</v>
      </c>
      <c r="G161" t="inlineStr">
        <is>
          <t>DEBITO</t>
        </is>
      </c>
      <c r="H161" t="inlineStr">
        <is>
          <t>Ana Paula Rosa Santana</t>
        </is>
      </c>
      <c r="I161" t="n">
        <v>-747.76</v>
      </c>
    </row>
    <row r="162">
      <c r="A162" t="n">
        <v>233094</v>
      </c>
      <c r="B162" t="n">
        <v>148</v>
      </c>
      <c r="C162" t="inlineStr">
        <is>
          <t>Bar Brahma Granja - Tutum Filial - Kamino</t>
        </is>
      </c>
      <c r="D162" t="n">
        <v>148</v>
      </c>
      <c r="E162" t="inlineStr">
        <is>
          <t>Bar Brahma - Granja</t>
        </is>
      </c>
      <c r="F162" s="27" t="n">
        <v>46042</v>
      </c>
      <c r="G162" t="inlineStr">
        <is>
          <t>DEBITO</t>
        </is>
      </c>
      <c r="H162" t="inlineStr">
        <is>
          <t>Fabio Aparecido Marques</t>
        </is>
      </c>
      <c r="I162" t="n">
        <v>-1509.1</v>
      </c>
    </row>
    <row r="163">
      <c r="A163" t="n">
        <v>233093</v>
      </c>
      <c r="B163" t="n">
        <v>148</v>
      </c>
      <c r="C163" t="inlineStr">
        <is>
          <t>Bar Brahma Granja - Tutum Filial - Kamino</t>
        </is>
      </c>
      <c r="D163" t="n">
        <v>148</v>
      </c>
      <c r="E163" t="inlineStr">
        <is>
          <t>Bar Brahma - Granja</t>
        </is>
      </c>
      <c r="F163" s="27" t="n">
        <v>46042</v>
      </c>
      <c r="G163" t="inlineStr">
        <is>
          <t>CREDITO</t>
        </is>
      </c>
      <c r="H163" t="inlineStr">
        <is>
          <t>TEMPUS FUGIT PARTICIPACOES E EMPREENDIMENTOS LTDA</t>
        </is>
      </c>
      <c r="I163" t="n">
        <v>14000</v>
      </c>
    </row>
    <row r="164">
      <c r="A164" t="n">
        <v>233065</v>
      </c>
      <c r="B164" t="n">
        <v>164</v>
      </c>
      <c r="C164" t="inlineStr">
        <is>
          <t>Bar Brahma Granja - FDB Filial - Kamino</t>
        </is>
      </c>
      <c r="D164" t="n">
        <v>148</v>
      </c>
      <c r="E164" t="inlineStr">
        <is>
          <t>Bar Brahma - Granja</t>
        </is>
      </c>
      <c r="F164" s="27" t="n">
        <v>46042</v>
      </c>
      <c r="G164" t="inlineStr">
        <is>
          <t>DEBITO</t>
        </is>
      </c>
      <c r="H164" t="inlineStr">
        <is>
          <t>Mar Direto Poc Comercio de Peixes Ltda</t>
        </is>
      </c>
      <c r="I164" t="n">
        <v>-1190</v>
      </c>
    </row>
    <row r="165">
      <c r="A165" t="n">
        <v>233068</v>
      </c>
      <c r="B165" t="n">
        <v>164</v>
      </c>
      <c r="C165" t="inlineStr">
        <is>
          <t>Bar Brahma Granja - FDB Filial - Kamino</t>
        </is>
      </c>
      <c r="D165" t="n">
        <v>148</v>
      </c>
      <c r="E165" t="inlineStr">
        <is>
          <t>Bar Brahma - Granja</t>
        </is>
      </c>
      <c r="F165" s="27" t="n">
        <v>46042</v>
      </c>
      <c r="G165" t="inlineStr">
        <is>
          <t>DEBITO</t>
        </is>
      </c>
      <c r="H165" t="inlineStr">
        <is>
          <t>Tempus Fugit Participacoes e Empreendimentos Ltda</t>
        </is>
      </c>
      <c r="I165" t="n">
        <v>-13910</v>
      </c>
    </row>
    <row r="166">
      <c r="A166" t="n">
        <v>233063</v>
      </c>
      <c r="B166" t="n">
        <v>164</v>
      </c>
      <c r="C166" t="inlineStr">
        <is>
          <t>Bar Brahma Granja - FDB Filial - Kamino</t>
        </is>
      </c>
      <c r="D166" t="n">
        <v>148</v>
      </c>
      <c r="E166" t="inlineStr">
        <is>
          <t>Bar Brahma - Granja</t>
        </is>
      </c>
      <c r="F166" s="27" t="n">
        <v>46042</v>
      </c>
      <c r="G166" t="inlineStr">
        <is>
          <t>DEBITO</t>
        </is>
      </c>
      <c r="H166" t="inlineStr">
        <is>
          <t>Associacao Brasileira de Bares</t>
        </is>
      </c>
      <c r="I166" t="n">
        <v>-185</v>
      </c>
    </row>
    <row r="167">
      <c r="A167" t="n">
        <v>233062</v>
      </c>
      <c r="B167" t="n">
        <v>164</v>
      </c>
      <c r="C167" t="inlineStr">
        <is>
          <t>Bar Brahma Granja - FDB Filial - Kamino</t>
        </is>
      </c>
      <c r="D167" t="n">
        <v>148</v>
      </c>
      <c r="E167" t="inlineStr">
        <is>
          <t>Bar Brahma - Granja</t>
        </is>
      </c>
      <c r="F167" s="27" t="n">
        <v>46042</v>
      </c>
      <c r="G167" t="inlineStr">
        <is>
          <t>DEBITO</t>
        </is>
      </c>
      <c r="H167" t="inlineStr">
        <is>
          <t>Mario Pedro Feliciano Hortifru</t>
        </is>
      </c>
      <c r="I167" t="n">
        <v>-321.55</v>
      </c>
    </row>
    <row r="168">
      <c r="A168" t="n">
        <v>233061</v>
      </c>
      <c r="B168" t="n">
        <v>164</v>
      </c>
      <c r="C168" t="inlineStr">
        <is>
          <t>Bar Brahma Granja - FDB Filial - Kamino</t>
        </is>
      </c>
      <c r="D168" t="n">
        <v>148</v>
      </c>
      <c r="E168" t="inlineStr">
        <is>
          <t>Bar Brahma - Granja</t>
        </is>
      </c>
      <c r="F168" s="27" t="n">
        <v>46042</v>
      </c>
      <c r="G168" t="inlineStr">
        <is>
          <t>DEBITO</t>
        </is>
      </c>
      <c r="H168" t="inlineStr">
        <is>
          <t>Engetax Equipamentos Ltda</t>
        </is>
      </c>
      <c r="I168" t="n">
        <v>-591.17</v>
      </c>
    </row>
    <row r="169">
      <c r="A169" t="n">
        <v>233060</v>
      </c>
      <c r="B169" t="n">
        <v>164</v>
      </c>
      <c r="C169" t="inlineStr">
        <is>
          <t>Bar Brahma Granja - FDB Filial - Kamino</t>
        </is>
      </c>
      <c r="D169" t="n">
        <v>148</v>
      </c>
      <c r="E169" t="inlineStr">
        <is>
          <t>Bar Brahma - Granja</t>
        </is>
      </c>
      <c r="F169" s="27" t="n">
        <v>46042</v>
      </c>
      <c r="G169" t="inlineStr">
        <is>
          <t>DEBITO</t>
        </is>
      </c>
      <c r="H169" t="inlineStr">
        <is>
          <t>Ice4pros Fabrica de Gelo Ltda</t>
        </is>
      </c>
      <c r="I169" t="n">
        <v>-217.06</v>
      </c>
    </row>
    <row r="170">
      <c r="A170" t="n">
        <v>233059</v>
      </c>
      <c r="B170" t="n">
        <v>164</v>
      </c>
      <c r="C170" t="inlineStr">
        <is>
          <t>Bar Brahma Granja - FDB Filial - Kamino</t>
        </is>
      </c>
      <c r="D170" t="n">
        <v>148</v>
      </c>
      <c r="E170" t="inlineStr">
        <is>
          <t>Bar Brahma - Granja</t>
        </is>
      </c>
      <c r="F170" s="27" t="n">
        <v>46042</v>
      </c>
      <c r="G170" t="inlineStr">
        <is>
          <t>DEBITO</t>
        </is>
      </c>
      <c r="H170" t="inlineStr">
        <is>
          <t>Eau Distribuidora a M Ltda</t>
        </is>
      </c>
      <c r="I170" t="n">
        <v>-1124.9</v>
      </c>
    </row>
    <row r="171">
      <c r="A171" t="n">
        <v>233058</v>
      </c>
      <c r="B171" t="n">
        <v>164</v>
      </c>
      <c r="C171" t="inlineStr">
        <is>
          <t>Bar Brahma Granja - FDB Filial - Kamino</t>
        </is>
      </c>
      <c r="D171" t="n">
        <v>148</v>
      </c>
      <c r="E171" t="inlineStr">
        <is>
          <t>Bar Brahma - Granja</t>
        </is>
      </c>
      <c r="F171" s="27" t="n">
        <v>46042</v>
      </c>
      <c r="G171" t="inlineStr">
        <is>
          <t>DEBITO</t>
        </is>
      </c>
      <c r="H171" t="inlineStr">
        <is>
          <t>Ministerio da Fazenda</t>
        </is>
      </c>
      <c r="I171" t="n">
        <v>-58.88</v>
      </c>
    </row>
    <row r="172">
      <c r="A172" t="n">
        <v>233057</v>
      </c>
      <c r="B172" t="n">
        <v>164</v>
      </c>
      <c r="C172" t="inlineStr">
        <is>
          <t>Bar Brahma Granja - FDB Filial - Kamino</t>
        </is>
      </c>
      <c r="D172" t="n">
        <v>148</v>
      </c>
      <c r="E172" t="inlineStr">
        <is>
          <t>Bar Brahma - Granja</t>
        </is>
      </c>
      <c r="F172" s="27" t="n">
        <v>46042</v>
      </c>
      <c r="G172" t="inlineStr">
        <is>
          <t>DEBITO</t>
        </is>
      </c>
      <c r="H172" t="inlineStr">
        <is>
          <t>Laticinios Piramide Ltda</t>
        </is>
      </c>
      <c r="I172" t="n">
        <v>-1910.8</v>
      </c>
    </row>
    <row r="173">
      <c r="A173" t="n">
        <v>233056</v>
      </c>
      <c r="B173" t="n">
        <v>164</v>
      </c>
      <c r="C173" t="inlineStr">
        <is>
          <t>Bar Brahma Granja - FDB Filial - Kamino</t>
        </is>
      </c>
      <c r="D173" t="n">
        <v>148</v>
      </c>
      <c r="E173" t="inlineStr">
        <is>
          <t>Bar Brahma - Granja</t>
        </is>
      </c>
      <c r="F173" s="27" t="n">
        <v>46042</v>
      </c>
      <c r="G173" t="inlineStr">
        <is>
          <t>DEBITO</t>
        </is>
      </c>
      <c r="H173" t="inlineStr">
        <is>
          <t>Pagseguro Internet I.P. S.A.</t>
        </is>
      </c>
      <c r="I173" t="n">
        <v>-515</v>
      </c>
    </row>
    <row r="174">
      <c r="A174" t="n">
        <v>233055</v>
      </c>
      <c r="B174" t="n">
        <v>164</v>
      </c>
      <c r="C174" t="inlineStr">
        <is>
          <t>Bar Brahma Granja - FDB Filial - Kamino</t>
        </is>
      </c>
      <c r="D174" t="n">
        <v>148</v>
      </c>
      <c r="E174" t="inlineStr">
        <is>
          <t>Bar Brahma - Granja</t>
        </is>
      </c>
      <c r="F174" s="27" t="n">
        <v>46042</v>
      </c>
      <c r="G174" t="inlineStr">
        <is>
          <t>DEBITO</t>
        </is>
      </c>
      <c r="H174" t="inlineStr">
        <is>
          <t>Ministerio da Fazenda</t>
        </is>
      </c>
      <c r="I174" t="n">
        <v>-14193.85</v>
      </c>
    </row>
    <row r="175">
      <c r="A175" t="n">
        <v>233054</v>
      </c>
      <c r="B175" t="n">
        <v>164</v>
      </c>
      <c r="C175" t="inlineStr">
        <is>
          <t>Bar Brahma Granja - FDB Filial - Kamino</t>
        </is>
      </c>
      <c r="D175" t="n">
        <v>148</v>
      </c>
      <c r="E175" t="inlineStr">
        <is>
          <t>Bar Brahma - Granja</t>
        </is>
      </c>
      <c r="F175" s="27" t="n">
        <v>46042</v>
      </c>
      <c r="G175" t="inlineStr">
        <is>
          <t>DEBITO</t>
        </is>
      </c>
      <c r="H175" t="inlineStr">
        <is>
          <t>Cecilia Tsuyaco Araki Silva Ltda</t>
        </is>
      </c>
      <c r="I175" t="n">
        <v>-371.85</v>
      </c>
    </row>
    <row r="176">
      <c r="A176" t="n">
        <v>233053</v>
      </c>
      <c r="B176" t="n">
        <v>164</v>
      </c>
      <c r="C176" t="inlineStr">
        <is>
          <t>Bar Brahma Granja - FDB Filial - Kamino</t>
        </is>
      </c>
      <c r="D176" t="n">
        <v>148</v>
      </c>
      <c r="E176" t="inlineStr">
        <is>
          <t>Bar Brahma - Granja</t>
        </is>
      </c>
      <c r="F176" s="27" t="n">
        <v>46042</v>
      </c>
      <c r="G176" t="inlineStr">
        <is>
          <t>DEBITO</t>
        </is>
      </c>
      <c r="H176" t="inlineStr">
        <is>
          <t>Laticinios Piramide Ltda</t>
        </is>
      </c>
      <c r="I176" t="n">
        <v>-2878.4</v>
      </c>
    </row>
    <row r="177">
      <c r="A177" t="n">
        <v>233052</v>
      </c>
      <c r="B177" t="n">
        <v>164</v>
      </c>
      <c r="C177" t="inlineStr">
        <is>
          <t>Bar Brahma Granja - FDB Filial - Kamino</t>
        </is>
      </c>
      <c r="D177" t="n">
        <v>148</v>
      </c>
      <c r="E177" t="inlineStr">
        <is>
          <t>Bar Brahma - Granja</t>
        </is>
      </c>
      <c r="F177" s="27" t="n">
        <v>46042</v>
      </c>
      <c r="G177" t="inlineStr">
        <is>
          <t>DEBITO</t>
        </is>
      </c>
      <c r="H177" t="inlineStr">
        <is>
          <t>Cia do Whisky</t>
        </is>
      </c>
      <c r="I177" t="n">
        <v>-3265.77</v>
      </c>
    </row>
    <row r="178">
      <c r="A178" t="n">
        <v>233114</v>
      </c>
      <c r="B178" t="n">
        <v>148</v>
      </c>
      <c r="C178" t="inlineStr">
        <is>
          <t>Bar Brahma Granja - Tutum Filial - Kamino</t>
        </is>
      </c>
      <c r="D178" t="n">
        <v>148</v>
      </c>
      <c r="E178" t="inlineStr">
        <is>
          <t>Bar Brahma - Granja</t>
        </is>
      </c>
      <c r="F178" s="27" t="n">
        <v>46042</v>
      </c>
      <c r="G178" t="inlineStr">
        <is>
          <t>CREDITO</t>
        </is>
      </c>
      <c r="H178" t="inlineStr">
        <is>
          <t>TEMPUS FUGIT PARTICIPACOES E EMPREENDIMENTOS LTDA</t>
        </is>
      </c>
      <c r="I178" t="n">
        <v>1400</v>
      </c>
    </row>
    <row r="179">
      <c r="A179" t="n">
        <v>233110</v>
      </c>
      <c r="B179" t="n">
        <v>148</v>
      </c>
      <c r="C179" t="inlineStr">
        <is>
          <t>Bar Brahma Granja - Tutum Filial - Kamino</t>
        </is>
      </c>
      <c r="D179" t="n">
        <v>148</v>
      </c>
      <c r="E179" t="inlineStr">
        <is>
          <t>Bar Brahma - Granja</t>
        </is>
      </c>
      <c r="F179" s="27" t="n">
        <v>46042</v>
      </c>
      <c r="G179" t="inlineStr">
        <is>
          <t>DEBITO</t>
        </is>
      </c>
      <c r="H179" t="inlineStr">
        <is>
          <t>Flavio Pereira dos Santos</t>
        </is>
      </c>
      <c r="I179" t="n">
        <v>-850.16</v>
      </c>
    </row>
    <row r="180">
      <c r="A180" t="n">
        <v>233111</v>
      </c>
      <c r="B180" t="n">
        <v>148</v>
      </c>
      <c r="C180" t="inlineStr">
        <is>
          <t>Bar Brahma Granja - Tutum Filial - Kamino</t>
        </is>
      </c>
      <c r="D180" t="n">
        <v>148</v>
      </c>
      <c r="E180" t="inlineStr">
        <is>
          <t>Bar Brahma - Granja</t>
        </is>
      </c>
      <c r="F180" s="27" t="n">
        <v>46042</v>
      </c>
      <c r="G180" t="inlineStr">
        <is>
          <t>DEBITO</t>
        </is>
      </c>
      <c r="H180" t="inlineStr">
        <is>
          <t>Kelly Nunes Torres Teotonio</t>
        </is>
      </c>
      <c r="I180" t="n">
        <v>-779.97</v>
      </c>
    </row>
    <row r="181">
      <c r="A181" t="n">
        <v>233112</v>
      </c>
      <c r="B181" t="n">
        <v>148</v>
      </c>
      <c r="C181" t="inlineStr">
        <is>
          <t>Bar Brahma Granja - Tutum Filial - Kamino</t>
        </is>
      </c>
      <c r="D181" t="n">
        <v>148</v>
      </c>
      <c r="E181" t="inlineStr">
        <is>
          <t>Bar Brahma - Granja</t>
        </is>
      </c>
      <c r="F181" s="27" t="n">
        <v>46042</v>
      </c>
      <c r="G181" t="inlineStr">
        <is>
          <t>DEBITO</t>
        </is>
      </c>
      <c r="H181" t="inlineStr">
        <is>
          <t>Iago Carino Porto Ramos</t>
        </is>
      </c>
      <c r="I181" t="n">
        <v>-747.76</v>
      </c>
    </row>
    <row r="182">
      <c r="A182" t="n">
        <v>233109</v>
      </c>
      <c r="B182" t="n">
        <v>148</v>
      </c>
      <c r="C182" t="inlineStr">
        <is>
          <t>Bar Brahma Granja - Tutum Filial - Kamino</t>
        </is>
      </c>
      <c r="D182" t="n">
        <v>148</v>
      </c>
      <c r="E182" t="inlineStr">
        <is>
          <t>Bar Brahma - Granja</t>
        </is>
      </c>
      <c r="F182" s="27" t="n">
        <v>46042</v>
      </c>
      <c r="G182" t="inlineStr">
        <is>
          <t>DEBITO</t>
        </is>
      </c>
      <c r="H182" t="inlineStr">
        <is>
          <t>Joo Henrique Nunes</t>
        </is>
      </c>
      <c r="I182" t="n">
        <v>-747.76</v>
      </c>
    </row>
    <row r="183">
      <c r="A183" t="n">
        <v>233108</v>
      </c>
      <c r="B183" t="n">
        <v>148</v>
      </c>
      <c r="C183" t="inlineStr">
        <is>
          <t>Bar Brahma Granja - Tutum Filial - Kamino</t>
        </is>
      </c>
      <c r="D183" t="n">
        <v>148</v>
      </c>
      <c r="E183" t="inlineStr">
        <is>
          <t>Bar Brahma - Granja</t>
        </is>
      </c>
      <c r="F183" s="27" t="n">
        <v>46042</v>
      </c>
      <c r="G183" t="inlineStr">
        <is>
          <t>DEBITO</t>
        </is>
      </c>
      <c r="H183" t="inlineStr">
        <is>
          <t>Ariana Teixeira de Azevedo</t>
        </is>
      </c>
      <c r="I183" t="n">
        <v>-721.6</v>
      </c>
    </row>
    <row r="184">
      <c r="A184" t="n">
        <v>233107</v>
      </c>
      <c r="B184" t="n">
        <v>148</v>
      </c>
      <c r="C184" t="inlineStr">
        <is>
          <t>Bar Brahma Granja - Tutum Filial - Kamino</t>
        </is>
      </c>
      <c r="D184" t="n">
        <v>148</v>
      </c>
      <c r="E184" t="inlineStr">
        <is>
          <t>Bar Brahma - Granja</t>
        </is>
      </c>
      <c r="F184" s="27" t="n">
        <v>46042</v>
      </c>
      <c r="G184" t="inlineStr">
        <is>
          <t>DEBITO</t>
        </is>
      </c>
      <c r="H184" t="inlineStr">
        <is>
          <t>Vitoria Almeida Correa</t>
        </is>
      </c>
      <c r="I184" t="n">
        <v>-747.76</v>
      </c>
    </row>
    <row r="185">
      <c r="A185" t="n">
        <v>233106</v>
      </c>
      <c r="B185" t="n">
        <v>148</v>
      </c>
      <c r="C185" t="inlineStr">
        <is>
          <t>Bar Brahma Granja - Tutum Filial - Kamino</t>
        </is>
      </c>
      <c r="D185" t="n">
        <v>148</v>
      </c>
      <c r="E185" t="inlineStr">
        <is>
          <t>Bar Brahma - Granja</t>
        </is>
      </c>
      <c r="F185" s="27" t="n">
        <v>46042</v>
      </c>
      <c r="G185" t="inlineStr">
        <is>
          <t>DEBITO</t>
        </is>
      </c>
      <c r="H185" t="inlineStr">
        <is>
          <t>Tarifa Pix Enviado-PJ</t>
        </is>
      </c>
      <c r="I185" t="n">
        <v>-0.5</v>
      </c>
    </row>
    <row r="186">
      <c r="A186" t="n">
        <v>233105</v>
      </c>
      <c r="B186" t="n">
        <v>148</v>
      </c>
      <c r="C186" t="inlineStr">
        <is>
          <t>Bar Brahma Granja - Tutum Filial - Kamino</t>
        </is>
      </c>
      <c r="D186" t="n">
        <v>148</v>
      </c>
      <c r="E186" t="inlineStr">
        <is>
          <t>Bar Brahma - Granja</t>
        </is>
      </c>
      <c r="F186" s="27" t="n">
        <v>46042</v>
      </c>
      <c r="G186" t="inlineStr">
        <is>
          <t>DEBITO</t>
        </is>
      </c>
      <c r="H186" t="inlineStr">
        <is>
          <t>Ana Paula Nascimento Soares</t>
        </is>
      </c>
      <c r="I186" t="n">
        <v>-747.76</v>
      </c>
    </row>
    <row r="187">
      <c r="A187" t="n">
        <v>233104</v>
      </c>
      <c r="B187" t="n">
        <v>148</v>
      </c>
      <c r="C187" t="inlineStr">
        <is>
          <t>Bar Brahma Granja - Tutum Filial - Kamino</t>
        </is>
      </c>
      <c r="D187" t="n">
        <v>148</v>
      </c>
      <c r="E187" t="inlineStr">
        <is>
          <t>Bar Brahma - Granja</t>
        </is>
      </c>
      <c r="F187" s="27" t="n">
        <v>46042</v>
      </c>
      <c r="G187" t="inlineStr">
        <is>
          <t>DEBITO</t>
        </is>
      </c>
      <c r="H187" t="inlineStr">
        <is>
          <t>Daiane de Jesus Rocha</t>
        </is>
      </c>
      <c r="I187" t="n">
        <v>-747.76</v>
      </c>
    </row>
    <row r="188">
      <c r="A188" t="n">
        <v>233113</v>
      </c>
      <c r="B188" t="n">
        <v>148</v>
      </c>
      <c r="C188" t="inlineStr">
        <is>
          <t>Bar Brahma Granja - Tutum Filial - Kamino</t>
        </is>
      </c>
      <c r="D188" t="n">
        <v>148</v>
      </c>
      <c r="E188" t="inlineStr">
        <is>
          <t>Bar Brahma - Granja</t>
        </is>
      </c>
      <c r="F188" s="27" t="n">
        <v>46042</v>
      </c>
      <c r="G188" t="inlineStr">
        <is>
          <t>DEBITO</t>
        </is>
      </c>
      <c r="H188" t="inlineStr">
        <is>
          <t>Adrian Cardenas Rodriguez</t>
        </is>
      </c>
      <c r="I188" t="n">
        <v>-721.6</v>
      </c>
    </row>
    <row r="189">
      <c r="A189" t="n">
        <v>233102</v>
      </c>
      <c r="B189" t="n">
        <v>148</v>
      </c>
      <c r="C189" t="inlineStr">
        <is>
          <t>Bar Brahma Granja - Tutum Filial - Kamino</t>
        </is>
      </c>
      <c r="D189" t="n">
        <v>148</v>
      </c>
      <c r="E189" t="inlineStr">
        <is>
          <t>Bar Brahma - Granja</t>
        </is>
      </c>
      <c r="F189" s="27" t="n">
        <v>46042</v>
      </c>
      <c r="G189" t="inlineStr">
        <is>
          <t>DEBITO</t>
        </is>
      </c>
      <c r="H189" t="inlineStr">
        <is>
          <t>Marilia Marcelino Pereira</t>
        </is>
      </c>
      <c r="I189" t="n">
        <v>-721.6</v>
      </c>
    </row>
    <row r="190">
      <c r="A190" t="n">
        <v>233101</v>
      </c>
      <c r="B190" t="n">
        <v>148</v>
      </c>
      <c r="C190" t="inlineStr">
        <is>
          <t>Bar Brahma Granja - Tutum Filial - Kamino</t>
        </is>
      </c>
      <c r="D190" t="n">
        <v>148</v>
      </c>
      <c r="E190" t="inlineStr">
        <is>
          <t>Bar Brahma - Granja</t>
        </is>
      </c>
      <c r="F190" s="27" t="n">
        <v>46042</v>
      </c>
      <c r="G190" t="inlineStr">
        <is>
          <t>DEBITO</t>
        </is>
      </c>
      <c r="H190" t="inlineStr">
        <is>
          <t>Edivaldo Alves Esteves</t>
        </is>
      </c>
      <c r="I190" t="n">
        <v>-747.76</v>
      </c>
    </row>
    <row r="191">
      <c r="A191" t="n">
        <v>233099</v>
      </c>
      <c r="B191" t="n">
        <v>148</v>
      </c>
      <c r="C191" t="inlineStr">
        <is>
          <t>Bar Brahma Granja - Tutum Filial - Kamino</t>
        </is>
      </c>
      <c r="D191" t="n">
        <v>148</v>
      </c>
      <c r="E191" t="inlineStr">
        <is>
          <t>Bar Brahma - Granja</t>
        </is>
      </c>
      <c r="F191" s="27" t="n">
        <v>46042</v>
      </c>
      <c r="G191" t="inlineStr">
        <is>
          <t>DEBITO</t>
        </is>
      </c>
      <c r="H191" t="inlineStr">
        <is>
          <t>Jeferson Gomes Silva</t>
        </is>
      </c>
      <c r="I191" t="n">
        <v>-1137.25</v>
      </c>
    </row>
    <row r="192">
      <c r="A192" t="n">
        <v>233100</v>
      </c>
      <c r="B192" t="n">
        <v>148</v>
      </c>
      <c r="C192" t="inlineStr">
        <is>
          <t>Bar Brahma Granja - Tutum Filial - Kamino</t>
        </is>
      </c>
      <c r="D192" t="n">
        <v>148</v>
      </c>
      <c r="E192" t="inlineStr">
        <is>
          <t>Bar Brahma - Granja</t>
        </is>
      </c>
      <c r="F192" s="27" t="n">
        <v>46042</v>
      </c>
      <c r="G192" t="inlineStr">
        <is>
          <t>DEBITO</t>
        </is>
      </c>
      <c r="H192" t="inlineStr">
        <is>
          <t>Taelly Silva Santos</t>
        </is>
      </c>
      <c r="I192" t="n">
        <v>-779.97</v>
      </c>
    </row>
    <row r="193">
      <c r="A193" t="n">
        <v>233097</v>
      </c>
      <c r="B193" t="n">
        <v>148</v>
      </c>
      <c r="C193" t="inlineStr">
        <is>
          <t>Bar Brahma Granja - Tutum Filial - Kamino</t>
        </is>
      </c>
      <c r="D193" t="n">
        <v>148</v>
      </c>
      <c r="E193" t="inlineStr">
        <is>
          <t>Bar Brahma - Granja</t>
        </is>
      </c>
      <c r="F193" s="27" t="n">
        <v>46042</v>
      </c>
      <c r="G193" t="inlineStr">
        <is>
          <t>DEBITO</t>
        </is>
      </c>
      <c r="H193" t="inlineStr">
        <is>
          <t>Natalia Coelho de Jesus</t>
        </is>
      </c>
      <c r="I193" t="n">
        <v>-747.76</v>
      </c>
    </row>
    <row r="194">
      <c r="A194" t="n">
        <v>233115</v>
      </c>
      <c r="B194" t="n">
        <v>148</v>
      </c>
      <c r="C194" t="inlineStr">
        <is>
          <t>Bar Brahma Granja - Tutum Filial - Kamino</t>
        </is>
      </c>
      <c r="D194" t="n">
        <v>148</v>
      </c>
      <c r="E194" t="inlineStr">
        <is>
          <t>Bar Brahma - Granja</t>
        </is>
      </c>
      <c r="F194" s="27" t="n">
        <v>46042</v>
      </c>
      <c r="G194" t="inlineStr">
        <is>
          <t>DEBITO</t>
        </is>
      </c>
      <c r="H194" t="inlineStr">
        <is>
          <t>Tarifa Pix Enviado-PJ</t>
        </is>
      </c>
      <c r="I194" t="n">
        <v>-0.5</v>
      </c>
    </row>
    <row r="195">
      <c r="A195" t="n">
        <v>233116</v>
      </c>
      <c r="B195" t="n">
        <v>148</v>
      </c>
      <c r="C195" t="inlineStr">
        <is>
          <t>Bar Brahma Granja - Tutum Filial - Kamino</t>
        </is>
      </c>
      <c r="D195" t="n">
        <v>148</v>
      </c>
      <c r="E195" t="inlineStr">
        <is>
          <t>Bar Brahma - Granja</t>
        </is>
      </c>
      <c r="F195" s="27" t="n">
        <v>46042</v>
      </c>
      <c r="G195" t="inlineStr">
        <is>
          <t>DEBITO</t>
        </is>
      </c>
      <c r="H195" t="inlineStr">
        <is>
          <t>Tarifa Pix Enviado-PJ</t>
        </is>
      </c>
      <c r="I195" t="n">
        <v>-0.5</v>
      </c>
    </row>
    <row r="196">
      <c r="A196" t="n">
        <v>233117</v>
      </c>
      <c r="B196" t="n">
        <v>148</v>
      </c>
      <c r="C196" t="inlineStr">
        <is>
          <t>Bar Brahma Granja - Tutum Filial - Kamino</t>
        </is>
      </c>
      <c r="D196" t="n">
        <v>148</v>
      </c>
      <c r="E196" t="inlineStr">
        <is>
          <t>Bar Brahma - Granja</t>
        </is>
      </c>
      <c r="F196" s="27" t="n">
        <v>46042</v>
      </c>
      <c r="G196" t="inlineStr">
        <is>
          <t>CREDITO</t>
        </is>
      </c>
      <c r="H196" t="inlineStr">
        <is>
          <t>TEMPUS FUGIT PARTICIPACOES E EMPREENDIMENTOS LTDA</t>
        </is>
      </c>
      <c r="I196" t="n">
        <v>19760</v>
      </c>
    </row>
    <row r="197">
      <c r="A197" t="n">
        <v>233118</v>
      </c>
      <c r="B197" t="n">
        <v>148</v>
      </c>
      <c r="C197" t="inlineStr">
        <is>
          <t>Bar Brahma Granja - Tutum Filial - Kamino</t>
        </is>
      </c>
      <c r="D197" t="n">
        <v>148</v>
      </c>
      <c r="E197" t="inlineStr">
        <is>
          <t>Bar Brahma - Granja</t>
        </is>
      </c>
      <c r="F197" s="27" t="n">
        <v>46042</v>
      </c>
      <c r="G197" t="inlineStr">
        <is>
          <t>DEBITO</t>
        </is>
      </c>
      <c r="H197" t="inlineStr">
        <is>
          <t>Ministerio da Fazenda</t>
        </is>
      </c>
      <c r="I197" t="n">
        <v>-18.93</v>
      </c>
    </row>
    <row r="198">
      <c r="A198" t="n">
        <v>233119</v>
      </c>
      <c r="B198" t="n">
        <v>148</v>
      </c>
      <c r="C198" t="inlineStr">
        <is>
          <t>Bar Brahma Granja - Tutum Filial - Kamino</t>
        </is>
      </c>
      <c r="D198" t="n">
        <v>148</v>
      </c>
      <c r="E198" t="inlineStr">
        <is>
          <t>Bar Brahma - Granja</t>
        </is>
      </c>
      <c r="F198" s="27" t="n">
        <v>46042</v>
      </c>
      <c r="G198" t="inlineStr">
        <is>
          <t>DEBITO</t>
        </is>
      </c>
      <c r="H198" t="inlineStr">
        <is>
          <t>Tarifa Pix Enviado-PJ</t>
        </is>
      </c>
      <c r="I198" t="n">
        <v>-0.5</v>
      </c>
    </row>
    <row r="199">
      <c r="A199" t="n">
        <v>233120</v>
      </c>
      <c r="B199" t="n">
        <v>148</v>
      </c>
      <c r="C199" t="inlineStr">
        <is>
          <t>Bar Brahma Granja - Tutum Filial - Kamino</t>
        </is>
      </c>
      <c r="D199" t="n">
        <v>148</v>
      </c>
      <c r="E199" t="inlineStr">
        <is>
          <t>Bar Brahma - Granja</t>
        </is>
      </c>
      <c r="F199" s="27" t="n">
        <v>46042</v>
      </c>
      <c r="G199" t="inlineStr">
        <is>
          <t>DEBITO</t>
        </is>
      </c>
      <c r="H199" t="inlineStr">
        <is>
          <t>Ministerio da Fazenda</t>
        </is>
      </c>
      <c r="I199" t="n">
        <v>-7203.21</v>
      </c>
    </row>
    <row r="200">
      <c r="A200" t="n">
        <v>233121</v>
      </c>
      <c r="B200" t="n">
        <v>148</v>
      </c>
      <c r="C200" t="inlineStr">
        <is>
          <t>Bar Brahma Granja - Tutum Filial - Kamino</t>
        </is>
      </c>
      <c r="D200" t="n">
        <v>148</v>
      </c>
      <c r="E200" t="inlineStr">
        <is>
          <t>Bar Brahma - Granja</t>
        </is>
      </c>
      <c r="F200" s="27" t="n">
        <v>46042</v>
      </c>
      <c r="G200" t="inlineStr">
        <is>
          <t>DEBITO</t>
        </is>
      </c>
      <c r="H200" t="inlineStr">
        <is>
          <t>CAIXA ECONOMICA FEDERAL</t>
        </is>
      </c>
      <c r="I200" t="n">
        <v>-11460.8</v>
      </c>
    </row>
    <row r="201">
      <c r="A201" t="n">
        <v>233122</v>
      </c>
      <c r="B201" t="n">
        <v>148</v>
      </c>
      <c r="C201" t="inlineStr">
        <is>
          <t>Bar Brahma Granja - Tutum Filial - Kamino</t>
        </is>
      </c>
      <c r="D201" t="n">
        <v>148</v>
      </c>
      <c r="E201" t="inlineStr">
        <is>
          <t>Bar Brahma - Granja</t>
        </is>
      </c>
      <c r="F201" s="27" t="n">
        <v>46042</v>
      </c>
      <c r="G201" t="inlineStr">
        <is>
          <t>DEBITO</t>
        </is>
      </c>
      <c r="H201" t="inlineStr">
        <is>
          <t>Ministerio da Fazenda</t>
        </is>
      </c>
      <c r="I201" t="n">
        <v>-770.23</v>
      </c>
    </row>
    <row r="202">
      <c r="A202" t="n">
        <v>233098</v>
      </c>
      <c r="B202" t="n">
        <v>148</v>
      </c>
      <c r="C202" t="inlineStr">
        <is>
          <t>Bar Brahma Granja - Tutum Filial - Kamino</t>
        </is>
      </c>
      <c r="D202" t="n">
        <v>148</v>
      </c>
      <c r="E202" t="inlineStr">
        <is>
          <t>Bar Brahma - Granja</t>
        </is>
      </c>
      <c r="F202" s="27" t="n">
        <v>46042</v>
      </c>
      <c r="G202" t="inlineStr">
        <is>
          <t>DEBITO</t>
        </is>
      </c>
      <c r="H202" t="inlineStr">
        <is>
          <t>Iara Samiris Oliveira Braga</t>
        </is>
      </c>
      <c r="I202" t="n">
        <v>-747.76</v>
      </c>
    </row>
    <row r="203">
      <c r="A203" t="n">
        <v>239724</v>
      </c>
      <c r="B203" t="n">
        <v>187</v>
      </c>
      <c r="C203" t="inlineStr">
        <is>
          <t>Bar Brahma Granja - FDB Novo - Caixa</t>
        </is>
      </c>
      <c r="D203" t="n">
        <v>148</v>
      </c>
      <c r="E203" t="inlineStr">
        <is>
          <t>Bar Brahma - Granja</t>
        </is>
      </c>
      <c r="F203" s="27" t="n">
        <v>46041.625</v>
      </c>
      <c r="G203" t="inlineStr">
        <is>
          <t>DEBITO</t>
        </is>
      </c>
      <c r="H203" t="inlineStr">
        <is>
          <t>TAR PIX</t>
        </is>
      </c>
      <c r="I203" t="n">
        <v>-8.5</v>
      </c>
    </row>
    <row r="204">
      <c r="A204" t="n">
        <v>239723</v>
      </c>
      <c r="B204" t="n">
        <v>187</v>
      </c>
      <c r="C204" t="inlineStr">
        <is>
          <t>Bar Brahma Granja - FDB Novo - Caixa</t>
        </is>
      </c>
      <c r="D204" t="n">
        <v>148</v>
      </c>
      <c r="E204" t="inlineStr">
        <is>
          <t>Bar Brahma - Granja</t>
        </is>
      </c>
      <c r="F204" s="27" t="n">
        <v>46041.625</v>
      </c>
      <c r="G204" t="inlineStr">
        <is>
          <t>DEBITO</t>
        </is>
      </c>
      <c r="H204" t="inlineStr">
        <is>
          <t>DEB PIX CH</t>
        </is>
      </c>
      <c r="I204" t="n">
        <v>-4500</v>
      </c>
    </row>
    <row r="205">
      <c r="A205" t="n">
        <v>233040</v>
      </c>
      <c r="B205" t="n">
        <v>164</v>
      </c>
      <c r="C205" t="inlineStr">
        <is>
          <t>Bar Brahma Granja - FDB Filial - Kamino</t>
        </is>
      </c>
      <c r="D205" t="n">
        <v>148</v>
      </c>
      <c r="E205" t="inlineStr">
        <is>
          <t>Bar Brahma - Granja</t>
        </is>
      </c>
      <c r="F205" s="27" t="n">
        <v>46041</v>
      </c>
      <c r="G205" t="inlineStr">
        <is>
          <t>DEBITO</t>
        </is>
      </c>
      <c r="H205" t="inlineStr">
        <is>
          <t>Bcoitaubba Ambev Sa</t>
        </is>
      </c>
      <c r="I205" t="n">
        <v>-965.59</v>
      </c>
    </row>
    <row r="206">
      <c r="A206" t="n">
        <v>233041</v>
      </c>
      <c r="B206" t="n">
        <v>164</v>
      </c>
      <c r="C206" t="inlineStr">
        <is>
          <t>Bar Brahma Granja - FDB Filial - Kamino</t>
        </is>
      </c>
      <c r="D206" t="n">
        <v>148</v>
      </c>
      <c r="E206" t="inlineStr">
        <is>
          <t>Bar Brahma - Granja</t>
        </is>
      </c>
      <c r="F206" s="27" t="n">
        <v>46041</v>
      </c>
      <c r="G206" t="inlineStr">
        <is>
          <t>DEBITO</t>
        </is>
      </c>
      <c r="H206" t="inlineStr">
        <is>
          <t>Ambev S A</t>
        </is>
      </c>
      <c r="I206" t="n">
        <v>-12075</v>
      </c>
    </row>
    <row r="207">
      <c r="A207" t="n">
        <v>233042</v>
      </c>
      <c r="B207" t="n">
        <v>164</v>
      </c>
      <c r="C207" t="inlineStr">
        <is>
          <t>Bar Brahma Granja - FDB Filial - Kamino</t>
        </is>
      </c>
      <c r="D207" t="n">
        <v>148</v>
      </c>
      <c r="E207" t="inlineStr">
        <is>
          <t>Bar Brahma - Granja</t>
        </is>
      </c>
      <c r="F207" s="27" t="n">
        <v>46041</v>
      </c>
      <c r="G207" t="inlineStr">
        <is>
          <t>DEBITO</t>
        </is>
      </c>
      <c r="H207" t="inlineStr">
        <is>
          <t>Bcoitaubba Ambev Sa</t>
        </is>
      </c>
      <c r="I207" t="n">
        <v>-1931.2</v>
      </c>
    </row>
    <row r="208">
      <c r="A208" t="n">
        <v>233043</v>
      </c>
      <c r="B208" t="n">
        <v>164</v>
      </c>
      <c r="C208" t="inlineStr">
        <is>
          <t>Bar Brahma Granja - FDB Filial - Kamino</t>
        </is>
      </c>
      <c r="D208" t="n">
        <v>148</v>
      </c>
      <c r="E208" t="inlineStr">
        <is>
          <t>Bar Brahma - Granja</t>
        </is>
      </c>
      <c r="F208" s="27" t="n">
        <v>46041</v>
      </c>
      <c r="G208" t="inlineStr">
        <is>
          <t>DEBITO</t>
        </is>
      </c>
      <c r="H208" t="inlineStr">
        <is>
          <t>Ambev S A</t>
        </is>
      </c>
      <c r="I208" t="n">
        <v>-5746.01</v>
      </c>
    </row>
    <row r="209">
      <c r="A209" t="n">
        <v>233044</v>
      </c>
      <c r="B209" t="n">
        <v>164</v>
      </c>
      <c r="C209" t="inlineStr">
        <is>
          <t>Bar Brahma Granja - FDB Filial - Kamino</t>
        </is>
      </c>
      <c r="D209" t="n">
        <v>148</v>
      </c>
      <c r="E209" t="inlineStr">
        <is>
          <t>Bar Brahma - Granja</t>
        </is>
      </c>
      <c r="F209" s="27" t="n">
        <v>46041</v>
      </c>
      <c r="G209" t="inlineStr">
        <is>
          <t>DEBITO</t>
        </is>
      </c>
      <c r="H209" t="inlineStr">
        <is>
          <t>Horta Nova Distribuidora de Hortifruti Ltda</t>
        </is>
      </c>
      <c r="I209" t="n">
        <v>-169.4</v>
      </c>
    </row>
    <row r="210">
      <c r="A210" t="n">
        <v>233045</v>
      </c>
      <c r="B210" t="n">
        <v>164</v>
      </c>
      <c r="C210" t="inlineStr">
        <is>
          <t>Bar Brahma Granja - FDB Filial - Kamino</t>
        </is>
      </c>
      <c r="D210" t="n">
        <v>148</v>
      </c>
      <c r="E210" t="inlineStr">
        <is>
          <t>Bar Brahma - Granja</t>
        </is>
      </c>
      <c r="F210" s="27" t="n">
        <v>46041</v>
      </c>
      <c r="G210" t="inlineStr">
        <is>
          <t>DEBITO</t>
        </is>
      </c>
      <c r="H210" t="inlineStr">
        <is>
          <t>Frigorifico M.B. Ltda</t>
        </is>
      </c>
      <c r="I210" t="n">
        <v>-409.5</v>
      </c>
    </row>
    <row r="211">
      <c r="A211" t="n">
        <v>233046</v>
      </c>
      <c r="B211" t="n">
        <v>164</v>
      </c>
      <c r="C211" t="inlineStr">
        <is>
          <t>Bar Brahma Granja - FDB Filial - Kamino</t>
        </is>
      </c>
      <c r="D211" t="n">
        <v>148</v>
      </c>
      <c r="E211" t="inlineStr">
        <is>
          <t>Bar Brahma - Granja</t>
        </is>
      </c>
      <c r="F211" s="27" t="n">
        <v>46041</v>
      </c>
      <c r="G211" t="inlineStr">
        <is>
          <t>DEBITO</t>
        </is>
      </c>
      <c r="H211" t="inlineStr">
        <is>
          <t>Bcoitaubba Ambev Sa</t>
        </is>
      </c>
      <c r="I211" t="n">
        <v>-482.81</v>
      </c>
    </row>
    <row r="212">
      <c r="A212" t="n">
        <v>233047</v>
      </c>
      <c r="B212" t="n">
        <v>164</v>
      </c>
      <c r="C212" t="inlineStr">
        <is>
          <t>Bar Brahma Granja - FDB Filial - Kamino</t>
        </is>
      </c>
      <c r="D212" t="n">
        <v>148</v>
      </c>
      <c r="E212" t="inlineStr">
        <is>
          <t>Bar Brahma - Granja</t>
        </is>
      </c>
      <c r="F212" s="27" t="n">
        <v>46041</v>
      </c>
      <c r="G212" t="inlineStr">
        <is>
          <t>DEBITO</t>
        </is>
      </c>
      <c r="H212" t="inlineStr">
        <is>
          <t>Bcoitaubba Ambev Sa</t>
        </is>
      </c>
      <c r="I212" t="n">
        <v>-1932.75</v>
      </c>
    </row>
    <row r="213">
      <c r="A213" t="n">
        <v>233048</v>
      </c>
      <c r="B213" t="n">
        <v>164</v>
      </c>
      <c r="C213" t="inlineStr">
        <is>
          <t>Bar Brahma Granja - FDB Filial - Kamino</t>
        </is>
      </c>
      <c r="D213" t="n">
        <v>148</v>
      </c>
      <c r="E213" t="inlineStr">
        <is>
          <t>Bar Brahma - Granja</t>
        </is>
      </c>
      <c r="F213" s="27" t="n">
        <v>46041</v>
      </c>
      <c r="G213" t="inlineStr">
        <is>
          <t>DEBITO</t>
        </is>
      </c>
      <c r="H213" t="inlineStr">
        <is>
          <t>Bcoitaubba Ambev Sa</t>
        </is>
      </c>
      <c r="I213" t="n">
        <v>-482.81</v>
      </c>
    </row>
    <row r="214">
      <c r="A214" t="n">
        <v>233049</v>
      </c>
      <c r="B214" t="n">
        <v>164</v>
      </c>
      <c r="C214" t="inlineStr">
        <is>
          <t>Bar Brahma Granja - FDB Filial - Kamino</t>
        </is>
      </c>
      <c r="D214" t="n">
        <v>148</v>
      </c>
      <c r="E214" t="inlineStr">
        <is>
          <t>Bar Brahma - Granja</t>
        </is>
      </c>
      <c r="F214" s="27" t="n">
        <v>46041</v>
      </c>
      <c r="G214" t="inlineStr">
        <is>
          <t>DEBITO</t>
        </is>
      </c>
      <c r="H214" t="inlineStr">
        <is>
          <t>Ambev S A</t>
        </is>
      </c>
      <c r="I214" t="n">
        <v>-1929.13</v>
      </c>
    </row>
    <row r="215">
      <c r="A215" t="n">
        <v>233050</v>
      </c>
      <c r="B215" t="n">
        <v>164</v>
      </c>
      <c r="C215" t="inlineStr">
        <is>
          <t>Bar Brahma Granja - FDB Filial - Kamino</t>
        </is>
      </c>
      <c r="D215" t="n">
        <v>148</v>
      </c>
      <c r="E215" t="inlineStr">
        <is>
          <t>Bar Brahma - Granja</t>
        </is>
      </c>
      <c r="F215" s="27" t="n">
        <v>46041</v>
      </c>
      <c r="G215" t="inlineStr">
        <is>
          <t>DEBITO</t>
        </is>
      </c>
      <c r="H215" t="inlineStr">
        <is>
          <t>Eau Distribuidora a M Ltda</t>
        </is>
      </c>
      <c r="I215" t="n">
        <v>-431.1</v>
      </c>
    </row>
    <row r="216">
      <c r="A216" t="n">
        <v>233051</v>
      </c>
      <c r="B216" t="n">
        <v>164</v>
      </c>
      <c r="C216" t="inlineStr">
        <is>
          <t>Bar Brahma Granja - FDB Filial - Kamino</t>
        </is>
      </c>
      <c r="D216" t="n">
        <v>148</v>
      </c>
      <c r="E216" t="inlineStr">
        <is>
          <t>Bar Brahma - Granja</t>
        </is>
      </c>
      <c r="F216" s="27" t="n">
        <v>46041</v>
      </c>
      <c r="G216" t="inlineStr">
        <is>
          <t>DEBITO</t>
        </is>
      </c>
      <c r="H216" t="inlineStr">
        <is>
          <t>Front Bebidas Litda</t>
        </is>
      </c>
      <c r="I216" t="n">
        <v>-718.92</v>
      </c>
    </row>
    <row r="217">
      <c r="A217" t="n">
        <v>233022</v>
      </c>
      <c r="B217" t="n">
        <v>164</v>
      </c>
      <c r="C217" t="inlineStr">
        <is>
          <t>Bar Brahma Granja - FDB Filial - Kamino</t>
        </is>
      </c>
      <c r="D217" t="n">
        <v>148</v>
      </c>
      <c r="E217" t="inlineStr">
        <is>
          <t>Bar Brahma - Granja</t>
        </is>
      </c>
      <c r="F217" s="27" t="n">
        <v>46041</v>
      </c>
      <c r="G217" t="inlineStr">
        <is>
          <t>DEBITO</t>
        </is>
      </c>
      <c r="H217" t="inlineStr">
        <is>
          <t>Horta Nova Distribuidora de Hortifruti Ltda</t>
        </is>
      </c>
      <c r="I217" t="n">
        <v>-369.12</v>
      </c>
    </row>
    <row r="218">
      <c r="A218" t="n">
        <v>233038</v>
      </c>
      <c r="B218" t="n">
        <v>164</v>
      </c>
      <c r="C218" t="inlineStr">
        <is>
          <t>Bar Brahma Granja - FDB Filial - Kamino</t>
        </is>
      </c>
      <c r="D218" t="n">
        <v>148</v>
      </c>
      <c r="E218" t="inlineStr">
        <is>
          <t>Bar Brahma - Granja</t>
        </is>
      </c>
      <c r="F218" s="27" t="n">
        <v>46041</v>
      </c>
      <c r="G218" t="inlineStr">
        <is>
          <t>DEBITO</t>
        </is>
      </c>
      <c r="H218" t="inlineStr">
        <is>
          <t>Marcos Silva do Nascimento 00753897547</t>
        </is>
      </c>
      <c r="I218" t="n">
        <v>-469.77</v>
      </c>
    </row>
    <row r="219">
      <c r="A219" t="n">
        <v>232664</v>
      </c>
      <c r="B219" t="n">
        <v>153</v>
      </c>
      <c r="C219" t="inlineStr">
        <is>
          <t>Bar Brahma Granja - FDB Novo - Banco do Brasil</t>
        </is>
      </c>
      <c r="D219" t="n">
        <v>148</v>
      </c>
      <c r="E219" t="inlineStr">
        <is>
          <t>Bar Brahma - Granja</t>
        </is>
      </c>
      <c r="F219" s="27" t="n">
        <v>46041</v>
      </c>
      <c r="G219" t="inlineStr">
        <is>
          <t>CREDITO</t>
        </is>
      </c>
      <c r="H219" t="inlineStr">
        <is>
          <t>TED-CRDITO EM CONTA - 341 0262 47866934000174 TICKET SERVICO</t>
        </is>
      </c>
      <c r="I219" t="n">
        <v>1663.17</v>
      </c>
    </row>
    <row r="220">
      <c r="A220" t="n">
        <v>232663</v>
      </c>
      <c r="B220" t="n">
        <v>153</v>
      </c>
      <c r="C220" t="inlineStr">
        <is>
          <t>Bar Brahma Granja - FDB Novo - Banco do Brasil</t>
        </is>
      </c>
      <c r="D220" t="n">
        <v>148</v>
      </c>
      <c r="E220" t="inlineStr">
        <is>
          <t>Bar Brahma - Granja</t>
        </is>
      </c>
      <c r="F220" s="27" t="n">
        <v>46041</v>
      </c>
      <c r="G220" t="inlineStr">
        <is>
          <t>CREDITO</t>
        </is>
      </c>
      <c r="H220" t="inlineStr">
        <is>
          <t>RECEBIMENTO FORNECEDOR - 04.740.876/0001-25 ALELO INSTITUICAO D</t>
        </is>
      </c>
      <c r="I220" t="n">
        <v>2176.54</v>
      </c>
    </row>
    <row r="221">
      <c r="A221" t="n">
        <v>233092</v>
      </c>
      <c r="B221" t="n">
        <v>148</v>
      </c>
      <c r="C221" t="inlineStr">
        <is>
          <t>Bar Brahma Granja - Tutum Filial - Kamino</t>
        </is>
      </c>
      <c r="D221" t="n">
        <v>148</v>
      </c>
      <c r="E221" t="inlineStr">
        <is>
          <t>Bar Brahma - Granja</t>
        </is>
      </c>
      <c r="F221" s="27" t="n">
        <v>46041</v>
      </c>
      <c r="G221" t="inlineStr">
        <is>
          <t>DEBITO</t>
        </is>
      </c>
      <c r="H221" t="inlineStr">
        <is>
          <t>Kamino Processamento de Dados Ltda</t>
        </is>
      </c>
      <c r="I221" t="n">
        <v>-400</v>
      </c>
    </row>
    <row r="222">
      <c r="A222" t="n">
        <v>233091</v>
      </c>
      <c r="B222" t="n">
        <v>148</v>
      </c>
      <c r="C222" t="inlineStr">
        <is>
          <t>Bar Brahma Granja - Tutum Filial - Kamino</t>
        </is>
      </c>
      <c r="D222" t="n">
        <v>148</v>
      </c>
      <c r="E222" t="inlineStr">
        <is>
          <t>Bar Brahma - Granja</t>
        </is>
      </c>
      <c r="F222" s="27" t="n">
        <v>46041</v>
      </c>
      <c r="G222" t="inlineStr">
        <is>
          <t>CREDITO</t>
        </is>
      </c>
      <c r="H222" t="inlineStr">
        <is>
          <t>TEMPUS FUGIT PARTICIPACOES E EMPREENDIMENTOS LTDA</t>
        </is>
      </c>
      <c r="I222" t="n">
        <v>300</v>
      </c>
    </row>
    <row r="223">
      <c r="A223" t="n">
        <v>233015</v>
      </c>
      <c r="B223" t="n">
        <v>164</v>
      </c>
      <c r="C223" t="inlineStr">
        <is>
          <t>Bar Brahma Granja - FDB Filial - Kamino</t>
        </is>
      </c>
      <c r="D223" t="n">
        <v>148</v>
      </c>
      <c r="E223" t="inlineStr">
        <is>
          <t>Bar Brahma - Granja</t>
        </is>
      </c>
      <c r="F223" s="27" t="n">
        <v>46041</v>
      </c>
      <c r="G223" t="inlineStr">
        <is>
          <t>CREDITO</t>
        </is>
      </c>
      <c r="H223" t="inlineStr">
        <is>
          <t>Zig Tecnologia S.A.</t>
        </is>
      </c>
      <c r="I223" t="n">
        <v>98593</v>
      </c>
    </row>
    <row r="224">
      <c r="A224" t="n">
        <v>233016</v>
      </c>
      <c r="B224" t="n">
        <v>164</v>
      </c>
      <c r="C224" t="inlineStr">
        <is>
          <t>Bar Brahma Granja - FDB Filial - Kamino</t>
        </is>
      </c>
      <c r="D224" t="n">
        <v>148</v>
      </c>
      <c r="E224" t="inlineStr">
        <is>
          <t>Bar Brahma - Granja</t>
        </is>
      </c>
      <c r="F224" s="27" t="n">
        <v>46041</v>
      </c>
      <c r="G224" t="inlineStr">
        <is>
          <t>DEBITO</t>
        </is>
      </c>
      <c r="H224" t="inlineStr">
        <is>
          <t>Dio Mio Gelato</t>
        </is>
      </c>
      <c r="I224" t="n">
        <v>-584.96</v>
      </c>
    </row>
    <row r="225">
      <c r="A225" t="n">
        <v>233017</v>
      </c>
      <c r="B225" t="n">
        <v>164</v>
      </c>
      <c r="C225" t="inlineStr">
        <is>
          <t>Bar Brahma Granja - FDB Filial - Kamino</t>
        </is>
      </c>
      <c r="D225" t="n">
        <v>148</v>
      </c>
      <c r="E225" t="inlineStr">
        <is>
          <t>Bar Brahma - Granja</t>
        </is>
      </c>
      <c r="F225" s="27" t="n">
        <v>46041</v>
      </c>
      <c r="G225" t="inlineStr">
        <is>
          <t>DEBITO</t>
        </is>
      </c>
      <c r="H225" t="inlineStr">
        <is>
          <t>Marfrig Global Foods</t>
        </is>
      </c>
      <c r="I225" t="n">
        <v>-1327.55</v>
      </c>
    </row>
    <row r="226">
      <c r="A226" t="n">
        <v>233018</v>
      </c>
      <c r="B226" t="n">
        <v>164</v>
      </c>
      <c r="C226" t="inlineStr">
        <is>
          <t>Bar Brahma Granja - FDB Filial - Kamino</t>
        </is>
      </c>
      <c r="D226" t="n">
        <v>148</v>
      </c>
      <c r="E226" t="inlineStr">
        <is>
          <t>Bar Brahma - Granja</t>
        </is>
      </c>
      <c r="F226" s="27" t="n">
        <v>46041</v>
      </c>
      <c r="G226" t="inlineStr">
        <is>
          <t>DEBITO</t>
        </is>
      </c>
      <c r="H226" t="inlineStr">
        <is>
          <t>Kamino Processamento de Dados Ltda</t>
        </is>
      </c>
      <c r="I226" t="n">
        <v>-700</v>
      </c>
    </row>
    <row r="227">
      <c r="A227" t="n">
        <v>233019</v>
      </c>
      <c r="B227" t="n">
        <v>164</v>
      </c>
      <c r="C227" t="inlineStr">
        <is>
          <t>Bar Brahma Granja - FDB Filial - Kamino</t>
        </is>
      </c>
      <c r="D227" t="n">
        <v>148</v>
      </c>
      <c r="E227" t="inlineStr">
        <is>
          <t>Bar Brahma - Granja</t>
        </is>
      </c>
      <c r="F227" s="27" t="n">
        <v>46041</v>
      </c>
      <c r="G227" t="inlineStr">
        <is>
          <t>DEBITO</t>
        </is>
      </c>
      <c r="H227" t="inlineStr">
        <is>
          <t>Arena Bebidas</t>
        </is>
      </c>
      <c r="I227" t="n">
        <v>-251.27</v>
      </c>
    </row>
    <row r="228">
      <c r="A228" t="n">
        <v>233020</v>
      </c>
      <c r="B228" t="n">
        <v>164</v>
      </c>
      <c r="C228" t="inlineStr">
        <is>
          <t>Bar Brahma Granja - FDB Filial - Kamino</t>
        </is>
      </c>
      <c r="D228" t="n">
        <v>148</v>
      </c>
      <c r="E228" t="inlineStr">
        <is>
          <t>Bar Brahma - Granja</t>
        </is>
      </c>
      <c r="F228" s="27" t="n">
        <v>46041</v>
      </c>
      <c r="G228" t="inlineStr">
        <is>
          <t>DEBITO</t>
        </is>
      </c>
      <c r="H228" t="inlineStr">
        <is>
          <t>Eshows Promocoes Artisticas Ltda</t>
        </is>
      </c>
      <c r="I228" t="n">
        <v>-8750</v>
      </c>
    </row>
    <row r="229">
      <c r="A229" t="n">
        <v>233021</v>
      </c>
      <c r="B229" t="n">
        <v>164</v>
      </c>
      <c r="C229" t="inlineStr">
        <is>
          <t>Bar Brahma Granja - FDB Filial - Kamino</t>
        </is>
      </c>
      <c r="D229" t="n">
        <v>148</v>
      </c>
      <c r="E229" t="inlineStr">
        <is>
          <t>Bar Brahma - Granja</t>
        </is>
      </c>
      <c r="F229" s="27" t="n">
        <v>46041</v>
      </c>
      <c r="G229" t="inlineStr">
        <is>
          <t>DEBITO</t>
        </is>
      </c>
      <c r="H229" t="inlineStr">
        <is>
          <t>Horta Nova Distribuidora de Hortifruti Ltda</t>
        </is>
      </c>
      <c r="I229" t="n">
        <v>-460.21</v>
      </c>
    </row>
    <row r="230">
      <c r="A230" t="n">
        <v>233023</v>
      </c>
      <c r="B230" t="n">
        <v>164</v>
      </c>
      <c r="C230" t="inlineStr">
        <is>
          <t>Bar Brahma Granja - FDB Filial - Kamino</t>
        </is>
      </c>
      <c r="D230" t="n">
        <v>148</v>
      </c>
      <c r="E230" t="inlineStr">
        <is>
          <t>Bar Brahma - Granja</t>
        </is>
      </c>
      <c r="F230" s="27" t="n">
        <v>46041</v>
      </c>
      <c r="G230" t="inlineStr">
        <is>
          <t>DEBITO</t>
        </is>
      </c>
      <c r="H230" t="inlineStr">
        <is>
          <t>Dio Mio Gelato</t>
        </is>
      </c>
      <c r="I230" t="n">
        <v>-350.98</v>
      </c>
    </row>
    <row r="231">
      <c r="A231" t="n">
        <v>233024</v>
      </c>
      <c r="B231" t="n">
        <v>164</v>
      </c>
      <c r="C231" t="inlineStr">
        <is>
          <t>Bar Brahma Granja - FDB Filial - Kamino</t>
        </is>
      </c>
      <c r="D231" t="n">
        <v>148</v>
      </c>
      <c r="E231" t="inlineStr">
        <is>
          <t>Bar Brahma - Granja</t>
        </is>
      </c>
      <c r="F231" s="27" t="n">
        <v>46041</v>
      </c>
      <c r="G231" t="inlineStr">
        <is>
          <t>DEBITO</t>
        </is>
      </c>
      <c r="H231" t="inlineStr">
        <is>
          <t>Trilha do Pao</t>
        </is>
      </c>
      <c r="I231" t="n">
        <v>-837.27</v>
      </c>
    </row>
    <row r="232">
      <c r="A232" t="n">
        <v>233025</v>
      </c>
      <c r="B232" t="n">
        <v>164</v>
      </c>
      <c r="C232" t="inlineStr">
        <is>
          <t>Bar Brahma Granja - FDB Filial - Kamino</t>
        </is>
      </c>
      <c r="D232" t="n">
        <v>148</v>
      </c>
      <c r="E232" t="inlineStr">
        <is>
          <t>Bar Brahma - Granja</t>
        </is>
      </c>
      <c r="F232" s="27" t="n">
        <v>46041</v>
      </c>
      <c r="G232" t="inlineStr">
        <is>
          <t>DEBITO</t>
        </is>
      </c>
      <c r="H232" t="inlineStr">
        <is>
          <t>Bb Dist de Carnes Ltda</t>
        </is>
      </c>
      <c r="I232" t="n">
        <v>-903.9</v>
      </c>
    </row>
    <row r="233">
      <c r="A233" t="n">
        <v>233026</v>
      </c>
      <c r="B233" t="n">
        <v>164</v>
      </c>
      <c r="C233" t="inlineStr">
        <is>
          <t>Bar Brahma Granja - FDB Filial - Kamino</t>
        </is>
      </c>
      <c r="D233" t="n">
        <v>148</v>
      </c>
      <c r="E233" t="inlineStr">
        <is>
          <t>Bar Brahma - Granja</t>
        </is>
      </c>
      <c r="F233" s="27" t="n">
        <v>46041</v>
      </c>
      <c r="G233" t="inlineStr">
        <is>
          <t>DEBITO</t>
        </is>
      </c>
      <c r="H233" t="inlineStr">
        <is>
          <t>Bcoitaubba Ambev Sa</t>
        </is>
      </c>
      <c r="I233" t="n">
        <v>-1931.2</v>
      </c>
    </row>
    <row r="234">
      <c r="A234" t="n">
        <v>233027</v>
      </c>
      <c r="B234" t="n">
        <v>164</v>
      </c>
      <c r="C234" t="inlineStr">
        <is>
          <t>Bar Brahma Granja - FDB Filial - Kamino</t>
        </is>
      </c>
      <c r="D234" t="n">
        <v>148</v>
      </c>
      <c r="E234" t="inlineStr">
        <is>
          <t>Bar Brahma - Granja</t>
        </is>
      </c>
      <c r="F234" s="27" t="n">
        <v>46041</v>
      </c>
      <c r="G234" t="inlineStr">
        <is>
          <t>DEBITO</t>
        </is>
      </c>
      <c r="H234" t="inlineStr">
        <is>
          <t>Andreia Santos Freitas Duarte</t>
        </is>
      </c>
      <c r="I234" t="n">
        <v>-59</v>
      </c>
    </row>
    <row r="235">
      <c r="A235" t="n">
        <v>233028</v>
      </c>
      <c r="B235" t="n">
        <v>164</v>
      </c>
      <c r="C235" t="inlineStr">
        <is>
          <t>Bar Brahma Granja - FDB Filial - Kamino</t>
        </is>
      </c>
      <c r="D235" t="n">
        <v>148</v>
      </c>
      <c r="E235" t="inlineStr">
        <is>
          <t>Bar Brahma - Granja</t>
        </is>
      </c>
      <c r="F235" s="27" t="n">
        <v>46041</v>
      </c>
      <c r="G235" t="inlineStr">
        <is>
          <t>DEBITO</t>
        </is>
      </c>
      <c r="H235" t="inlineStr">
        <is>
          <t>W P P C Carnes Eireli Epp</t>
        </is>
      </c>
      <c r="I235" t="n">
        <v>-1006.5</v>
      </c>
    </row>
    <row r="236">
      <c r="A236" t="n">
        <v>233029</v>
      </c>
      <c r="B236" t="n">
        <v>164</v>
      </c>
      <c r="C236" t="inlineStr">
        <is>
          <t>Bar Brahma Granja - FDB Filial - Kamino</t>
        </is>
      </c>
      <c r="D236" t="n">
        <v>148</v>
      </c>
      <c r="E236" t="inlineStr">
        <is>
          <t>Bar Brahma - Granja</t>
        </is>
      </c>
      <c r="F236" s="27" t="n">
        <v>46041</v>
      </c>
      <c r="G236" t="inlineStr">
        <is>
          <t>DEBITO</t>
        </is>
      </c>
      <c r="H236" t="inlineStr">
        <is>
          <t>Ambev S A</t>
        </is>
      </c>
      <c r="I236" t="n">
        <v>-919.5599999999999</v>
      </c>
    </row>
    <row r="237">
      <c r="A237" t="n">
        <v>233030</v>
      </c>
      <c r="B237" t="n">
        <v>164</v>
      </c>
      <c r="C237" t="inlineStr">
        <is>
          <t>Bar Brahma Granja - FDB Filial - Kamino</t>
        </is>
      </c>
      <c r="D237" t="n">
        <v>148</v>
      </c>
      <c r="E237" t="inlineStr">
        <is>
          <t>Bar Brahma - Granja</t>
        </is>
      </c>
      <c r="F237" s="27" t="n">
        <v>46041</v>
      </c>
      <c r="G237" t="inlineStr">
        <is>
          <t>DEBITO</t>
        </is>
      </c>
      <c r="H237" t="inlineStr">
        <is>
          <t>Andreia Santos Freitas Duarte</t>
        </is>
      </c>
      <c r="I237" t="n">
        <v>-706.21</v>
      </c>
    </row>
    <row r="238">
      <c r="A238" t="n">
        <v>233031</v>
      </c>
      <c r="B238" t="n">
        <v>164</v>
      </c>
      <c r="C238" t="inlineStr">
        <is>
          <t>Bar Brahma Granja - FDB Filial - Kamino</t>
        </is>
      </c>
      <c r="D238" t="n">
        <v>148</v>
      </c>
      <c r="E238" t="inlineStr">
        <is>
          <t>Bar Brahma - Granja</t>
        </is>
      </c>
      <c r="F238" s="27" t="n">
        <v>46041</v>
      </c>
      <c r="G238" t="inlineStr">
        <is>
          <t>DEBITO</t>
        </is>
      </c>
      <c r="H238" t="inlineStr">
        <is>
          <t>Mario Pedro Feliciano Hortifru</t>
        </is>
      </c>
      <c r="I238" t="n">
        <v>-435.24</v>
      </c>
    </row>
    <row r="239">
      <c r="A239" t="n">
        <v>233032</v>
      </c>
      <c r="B239" t="n">
        <v>164</v>
      </c>
      <c r="C239" t="inlineStr">
        <is>
          <t>Bar Brahma Granja - FDB Filial - Kamino</t>
        </is>
      </c>
      <c r="D239" t="n">
        <v>148</v>
      </c>
      <c r="E239" t="inlineStr">
        <is>
          <t>Bar Brahma - Granja</t>
        </is>
      </c>
      <c r="F239" s="27" t="n">
        <v>46041</v>
      </c>
      <c r="G239" t="inlineStr">
        <is>
          <t>DEBITO</t>
        </is>
      </c>
      <c r="H239" t="inlineStr">
        <is>
          <t>Filipe Ferreira Oliveira</t>
        </is>
      </c>
      <c r="I239" t="n">
        <v>-650</v>
      </c>
    </row>
    <row r="240">
      <c r="A240" t="n">
        <v>233033</v>
      </c>
      <c r="B240" t="n">
        <v>164</v>
      </c>
      <c r="C240" t="inlineStr">
        <is>
          <t>Bar Brahma Granja - FDB Filial - Kamino</t>
        </is>
      </c>
      <c r="D240" t="n">
        <v>148</v>
      </c>
      <c r="E240" t="inlineStr">
        <is>
          <t>Bar Brahma - Granja</t>
        </is>
      </c>
      <c r="F240" s="27" t="n">
        <v>46041</v>
      </c>
      <c r="G240" t="inlineStr">
        <is>
          <t>DEBITO</t>
        </is>
      </c>
      <c r="H240" t="inlineStr">
        <is>
          <t>Mario Pedro Feliciano Hortifru</t>
        </is>
      </c>
      <c r="I240" t="n">
        <v>-198.36</v>
      </c>
    </row>
    <row r="241">
      <c r="A241" t="n">
        <v>233034</v>
      </c>
      <c r="B241" t="n">
        <v>164</v>
      </c>
      <c r="C241" t="inlineStr">
        <is>
          <t>Bar Brahma Granja - FDB Filial - Kamino</t>
        </is>
      </c>
      <c r="D241" t="n">
        <v>148</v>
      </c>
      <c r="E241" t="inlineStr">
        <is>
          <t>Bar Brahma - Granja</t>
        </is>
      </c>
      <c r="F241" s="27" t="n">
        <v>46041</v>
      </c>
      <c r="G241" t="inlineStr">
        <is>
          <t>DEBITO</t>
        </is>
      </c>
      <c r="H241" t="inlineStr">
        <is>
          <t>Bcoitaubba Ambev Sa</t>
        </is>
      </c>
      <c r="I241" t="n">
        <v>-1931.2</v>
      </c>
    </row>
    <row r="242">
      <c r="A242" t="n">
        <v>233035</v>
      </c>
      <c r="B242" t="n">
        <v>164</v>
      </c>
      <c r="C242" t="inlineStr">
        <is>
          <t>Bar Brahma Granja - FDB Filial - Kamino</t>
        </is>
      </c>
      <c r="D242" t="n">
        <v>148</v>
      </c>
      <c r="E242" t="inlineStr">
        <is>
          <t>Bar Brahma - Granja</t>
        </is>
      </c>
      <c r="F242" s="27" t="n">
        <v>46041</v>
      </c>
      <c r="G242" t="inlineStr">
        <is>
          <t>DEBITO</t>
        </is>
      </c>
      <c r="H242" t="inlineStr">
        <is>
          <t>Cecilia Tsuyaco Araki Silva Ltda</t>
        </is>
      </c>
      <c r="I242" t="n">
        <v>-136.4</v>
      </c>
    </row>
    <row r="243">
      <c r="A243" t="n">
        <v>233036</v>
      </c>
      <c r="B243" t="n">
        <v>164</v>
      </c>
      <c r="C243" t="inlineStr">
        <is>
          <t>Bar Brahma Granja - FDB Filial - Kamino</t>
        </is>
      </c>
      <c r="D243" t="n">
        <v>148</v>
      </c>
      <c r="E243" t="inlineStr">
        <is>
          <t>Bar Brahma - Granja</t>
        </is>
      </c>
      <c r="F243" s="27" t="n">
        <v>46041</v>
      </c>
      <c r="G243" t="inlineStr">
        <is>
          <t>DEBITO</t>
        </is>
      </c>
      <c r="H243" t="inlineStr">
        <is>
          <t>Crystalmixx-Gas Comercio e Manutencao De</t>
        </is>
      </c>
      <c r="I243" t="n">
        <v>-883.2</v>
      </c>
    </row>
    <row r="244">
      <c r="A244" t="n">
        <v>233037</v>
      </c>
      <c r="B244" t="n">
        <v>164</v>
      </c>
      <c r="C244" t="inlineStr">
        <is>
          <t>Bar Brahma Granja - FDB Filial - Kamino</t>
        </is>
      </c>
      <c r="D244" t="n">
        <v>148</v>
      </c>
      <c r="E244" t="inlineStr">
        <is>
          <t>Bar Brahma - Granja</t>
        </is>
      </c>
      <c r="F244" s="27" t="n">
        <v>46041</v>
      </c>
      <c r="G244" t="inlineStr">
        <is>
          <t>DEBITO</t>
        </is>
      </c>
      <c r="H244" t="inlineStr">
        <is>
          <t>Renovacao Porcelanas</t>
        </is>
      </c>
      <c r="I244" t="n">
        <v>-577.03</v>
      </c>
    </row>
    <row r="245">
      <c r="A245" t="n">
        <v>233039</v>
      </c>
      <c r="B245" t="n">
        <v>164</v>
      </c>
      <c r="C245" t="inlineStr">
        <is>
          <t>Bar Brahma Granja - FDB Filial - Kamino</t>
        </is>
      </c>
      <c r="D245" t="n">
        <v>148</v>
      </c>
      <c r="E245" t="inlineStr">
        <is>
          <t>Bar Brahma - Granja</t>
        </is>
      </c>
      <c r="F245" s="27" t="n">
        <v>46041</v>
      </c>
      <c r="G245" t="inlineStr">
        <is>
          <t>DEBITO</t>
        </is>
      </c>
      <c r="H245" t="inlineStr">
        <is>
          <t>W P P C Carnes Eireli Epp</t>
        </is>
      </c>
      <c r="I245" t="n">
        <v>-1852.38</v>
      </c>
    </row>
    <row r="246">
      <c r="A246" t="n">
        <v>233008</v>
      </c>
      <c r="B246" t="n">
        <v>164</v>
      </c>
      <c r="C246" t="inlineStr">
        <is>
          <t>Bar Brahma Granja - FDB Filial - Kamino</t>
        </is>
      </c>
      <c r="D246" t="n">
        <v>148</v>
      </c>
      <c r="E246" t="inlineStr">
        <is>
          <t>Bar Brahma - Granja</t>
        </is>
      </c>
      <c r="F246" s="27" t="n">
        <v>46038</v>
      </c>
      <c r="G246" t="inlineStr">
        <is>
          <t>DEBITO</t>
        </is>
      </c>
      <c r="H246" t="inlineStr">
        <is>
          <t>Mario Pedro Feliciano Hortifru</t>
        </is>
      </c>
      <c r="I246" t="n">
        <v>-523.15</v>
      </c>
    </row>
    <row r="247">
      <c r="A247" t="n">
        <v>233009</v>
      </c>
      <c r="B247" t="n">
        <v>164</v>
      </c>
      <c r="C247" t="inlineStr">
        <is>
          <t>Bar Brahma Granja - FDB Filial - Kamino</t>
        </is>
      </c>
      <c r="D247" t="n">
        <v>148</v>
      </c>
      <c r="E247" t="inlineStr">
        <is>
          <t>Bar Brahma - Granja</t>
        </is>
      </c>
      <c r="F247" s="27" t="n">
        <v>46038</v>
      </c>
      <c r="G247" t="inlineStr">
        <is>
          <t>DEBITO</t>
        </is>
      </c>
      <c r="H247" t="inlineStr">
        <is>
          <t>Cia do Whisky</t>
        </is>
      </c>
      <c r="I247" t="n">
        <v>-110.82</v>
      </c>
    </row>
    <row r="248">
      <c r="A248" t="n">
        <v>232658</v>
      </c>
      <c r="B248" t="n">
        <v>153</v>
      </c>
      <c r="C248" t="inlineStr">
        <is>
          <t>Bar Brahma Granja - FDB Novo - Banco do Brasil</t>
        </is>
      </c>
      <c r="D248" t="n">
        <v>148</v>
      </c>
      <c r="E248" t="inlineStr">
        <is>
          <t>Bar Brahma - Granja</t>
        </is>
      </c>
      <c r="F248" s="27" t="n">
        <v>46038</v>
      </c>
      <c r="G248" t="inlineStr">
        <is>
          <t>CREDITO</t>
        </is>
      </c>
      <c r="H248" t="inlineStr">
        <is>
          <t>RECEBIMENTO FORNECEDOR - 04.740.876/0001-25 ALELO INSTITUICAO D</t>
        </is>
      </c>
      <c r="I248" t="n">
        <v>204.73</v>
      </c>
    </row>
    <row r="249">
      <c r="A249" t="n">
        <v>233007</v>
      </c>
      <c r="B249" t="n">
        <v>164</v>
      </c>
      <c r="C249" t="inlineStr">
        <is>
          <t>Bar Brahma Granja - FDB Filial - Kamino</t>
        </is>
      </c>
      <c r="D249" t="n">
        <v>148</v>
      </c>
      <c r="E249" t="inlineStr">
        <is>
          <t>Bar Brahma - Granja</t>
        </is>
      </c>
      <c r="F249" s="27" t="n">
        <v>46038</v>
      </c>
      <c r="G249" t="inlineStr">
        <is>
          <t>DEBITO</t>
        </is>
      </c>
      <c r="H249" t="inlineStr">
        <is>
          <t>Horta Nova Distribuidora de Hortifruti Ltda</t>
        </is>
      </c>
      <c r="I249" t="n">
        <v>-134.5</v>
      </c>
    </row>
    <row r="250">
      <c r="A250" t="n">
        <v>233006</v>
      </c>
      <c r="B250" t="n">
        <v>164</v>
      </c>
      <c r="C250" t="inlineStr">
        <is>
          <t>Bar Brahma Granja - FDB Filial - Kamino</t>
        </is>
      </c>
      <c r="D250" t="n">
        <v>148</v>
      </c>
      <c r="E250" t="inlineStr">
        <is>
          <t>Bar Brahma - Granja</t>
        </is>
      </c>
      <c r="F250" s="27" t="n">
        <v>46038</v>
      </c>
      <c r="G250" t="inlineStr">
        <is>
          <t>DEBITO</t>
        </is>
      </c>
      <c r="H250" t="inlineStr">
        <is>
          <t>Bb Dist de Carnes Ltda</t>
        </is>
      </c>
      <c r="I250" t="n">
        <v>-3283.8</v>
      </c>
    </row>
    <row r="251">
      <c r="A251" t="n">
        <v>233005</v>
      </c>
      <c r="B251" t="n">
        <v>164</v>
      </c>
      <c r="C251" t="inlineStr">
        <is>
          <t>Bar Brahma Granja - FDB Filial - Kamino</t>
        </is>
      </c>
      <c r="D251" t="n">
        <v>148</v>
      </c>
      <c r="E251" t="inlineStr">
        <is>
          <t>Bar Brahma - Granja</t>
        </is>
      </c>
      <c r="F251" s="27" t="n">
        <v>46038</v>
      </c>
      <c r="G251" t="inlineStr">
        <is>
          <t>DEBITO</t>
        </is>
      </c>
      <c r="H251" t="inlineStr">
        <is>
          <t>Cepel Comercio de Papeis e Emb</t>
        </is>
      </c>
      <c r="I251" t="n">
        <v>-483.65</v>
      </c>
    </row>
    <row r="252">
      <c r="A252" t="n">
        <v>233004</v>
      </c>
      <c r="B252" t="n">
        <v>164</v>
      </c>
      <c r="C252" t="inlineStr">
        <is>
          <t>Bar Brahma Granja - FDB Filial - Kamino</t>
        </is>
      </c>
      <c r="D252" t="n">
        <v>148</v>
      </c>
      <c r="E252" t="inlineStr">
        <is>
          <t>Bar Brahma - Granja</t>
        </is>
      </c>
      <c r="F252" s="27" t="n">
        <v>46038</v>
      </c>
      <c r="G252" t="inlineStr">
        <is>
          <t>DEBITO</t>
        </is>
      </c>
      <c r="H252" t="inlineStr">
        <is>
          <t>Bb Dist de Carnes Ltda</t>
        </is>
      </c>
      <c r="I252" t="n">
        <v>-726</v>
      </c>
    </row>
    <row r="253">
      <c r="A253" t="n">
        <v>233003</v>
      </c>
      <c r="B253" t="n">
        <v>164</v>
      </c>
      <c r="C253" t="inlineStr">
        <is>
          <t>Bar Brahma Granja - FDB Filial - Kamino</t>
        </is>
      </c>
      <c r="D253" t="n">
        <v>148</v>
      </c>
      <c r="E253" t="inlineStr">
        <is>
          <t>Bar Brahma - Granja</t>
        </is>
      </c>
      <c r="F253" s="27" t="n">
        <v>46038</v>
      </c>
      <c r="G253" t="inlineStr">
        <is>
          <t>DEBITO</t>
        </is>
      </c>
      <c r="H253" t="inlineStr">
        <is>
          <t>Cepel Comercio de Papeis e Emb</t>
        </is>
      </c>
      <c r="I253" t="n">
        <v>-2320</v>
      </c>
    </row>
    <row r="254">
      <c r="A254" t="n">
        <v>233002</v>
      </c>
      <c r="B254" t="n">
        <v>164</v>
      </c>
      <c r="C254" t="inlineStr">
        <is>
          <t>Bar Brahma Granja - FDB Filial - Kamino</t>
        </is>
      </c>
      <c r="D254" t="n">
        <v>148</v>
      </c>
      <c r="E254" t="inlineStr">
        <is>
          <t>Bar Brahma - Granja</t>
        </is>
      </c>
      <c r="F254" s="27" t="n">
        <v>46038</v>
      </c>
      <c r="G254" t="inlineStr">
        <is>
          <t>DEBITO</t>
        </is>
      </c>
      <c r="H254" t="inlineStr">
        <is>
          <t>Omts Empreendimentos Spe Ltda</t>
        </is>
      </c>
      <c r="I254" t="n">
        <v>-32041.86</v>
      </c>
    </row>
    <row r="255">
      <c r="A255" t="n">
        <v>233001</v>
      </c>
      <c r="B255" t="n">
        <v>164</v>
      </c>
      <c r="C255" t="inlineStr">
        <is>
          <t>Bar Brahma Granja - FDB Filial - Kamino</t>
        </is>
      </c>
      <c r="D255" t="n">
        <v>148</v>
      </c>
      <c r="E255" t="inlineStr">
        <is>
          <t>Bar Brahma - Granja</t>
        </is>
      </c>
      <c r="F255" s="27" t="n">
        <v>46038</v>
      </c>
      <c r="G255" t="inlineStr">
        <is>
          <t>DEBITO</t>
        </is>
      </c>
      <c r="H255" t="inlineStr">
        <is>
          <t>Ambev S A</t>
        </is>
      </c>
      <c r="I255" t="n">
        <v>-2599.91</v>
      </c>
    </row>
    <row r="256">
      <c r="A256" t="n">
        <v>233000</v>
      </c>
      <c r="B256" t="n">
        <v>164</v>
      </c>
      <c r="C256" t="inlineStr">
        <is>
          <t>Bar Brahma Granja - FDB Filial - Kamino</t>
        </is>
      </c>
      <c r="D256" t="n">
        <v>148</v>
      </c>
      <c r="E256" t="inlineStr">
        <is>
          <t>Bar Brahma - Granja</t>
        </is>
      </c>
      <c r="F256" s="27" t="n">
        <v>46038</v>
      </c>
      <c r="G256" t="inlineStr">
        <is>
          <t>DEBITO</t>
        </is>
      </c>
      <c r="H256" t="inlineStr">
        <is>
          <t>Wide Stock com e Rep Ltda</t>
        </is>
      </c>
      <c r="I256" t="n">
        <v>-337.25</v>
      </c>
    </row>
    <row r="257">
      <c r="A257" t="n">
        <v>232999</v>
      </c>
      <c r="B257" t="n">
        <v>164</v>
      </c>
      <c r="C257" t="inlineStr">
        <is>
          <t>Bar Brahma Granja - FDB Filial - Kamino</t>
        </is>
      </c>
      <c r="D257" t="n">
        <v>148</v>
      </c>
      <c r="E257" t="inlineStr">
        <is>
          <t>Bar Brahma - Granja</t>
        </is>
      </c>
      <c r="F257" s="27" t="n">
        <v>46038</v>
      </c>
      <c r="G257" t="inlineStr">
        <is>
          <t>DEBITO</t>
        </is>
      </c>
      <c r="H257" t="inlineStr">
        <is>
          <t>Nova Comercial do Peixe Eireli</t>
        </is>
      </c>
      <c r="I257" t="n">
        <v>-1018.5</v>
      </c>
    </row>
    <row r="258">
      <c r="A258" t="n">
        <v>232998</v>
      </c>
      <c r="B258" t="n">
        <v>164</v>
      </c>
      <c r="C258" t="inlineStr">
        <is>
          <t>Bar Brahma Granja - FDB Filial - Kamino</t>
        </is>
      </c>
      <c r="D258" t="n">
        <v>148</v>
      </c>
      <c r="E258" t="inlineStr">
        <is>
          <t>Bar Brahma - Granja</t>
        </is>
      </c>
      <c r="F258" s="27" t="n">
        <v>46038</v>
      </c>
      <c r="G258" t="inlineStr">
        <is>
          <t>DEBITO</t>
        </is>
      </c>
      <c r="H258" t="inlineStr">
        <is>
          <t>Ambev S A</t>
        </is>
      </c>
      <c r="I258" t="n">
        <v>-2700.17</v>
      </c>
    </row>
    <row r="259">
      <c r="A259" t="n">
        <v>232996</v>
      </c>
      <c r="B259" t="n">
        <v>164</v>
      </c>
      <c r="C259" t="inlineStr">
        <is>
          <t>Bar Brahma Granja - FDB Filial - Kamino</t>
        </is>
      </c>
      <c r="D259" t="n">
        <v>148</v>
      </c>
      <c r="E259" t="inlineStr">
        <is>
          <t>Bar Brahma - Granja</t>
        </is>
      </c>
      <c r="F259" s="27" t="n">
        <v>46038</v>
      </c>
      <c r="G259" t="inlineStr">
        <is>
          <t>CREDITO</t>
        </is>
      </c>
      <c r="H259" t="inlineStr">
        <is>
          <t>Zig Tecnologia S.A.</t>
        </is>
      </c>
      <c r="I259" t="n">
        <v>12043.92</v>
      </c>
    </row>
    <row r="260">
      <c r="A260" t="n">
        <v>232997</v>
      </c>
      <c r="B260" t="n">
        <v>164</v>
      </c>
      <c r="C260" t="inlineStr">
        <is>
          <t>Bar Brahma Granja - FDB Filial - Kamino</t>
        </is>
      </c>
      <c r="D260" t="n">
        <v>148</v>
      </c>
      <c r="E260" t="inlineStr">
        <is>
          <t>Bar Brahma - Granja</t>
        </is>
      </c>
      <c r="F260" s="27" t="n">
        <v>46038</v>
      </c>
      <c r="G260" t="inlineStr">
        <is>
          <t>CREDITO</t>
        </is>
      </c>
      <c r="H260" t="inlineStr">
        <is>
          <t>TEMPUS FUGIT PARTICIPACOES E EMPREENDIMENTOS LTDA</t>
        </is>
      </c>
      <c r="I260" t="n">
        <v>37200</v>
      </c>
    </row>
    <row r="261">
      <c r="A261" t="n">
        <v>233014</v>
      </c>
      <c r="B261" t="n">
        <v>164</v>
      </c>
      <c r="C261" t="inlineStr">
        <is>
          <t>Bar Brahma Granja - FDB Filial - Kamino</t>
        </is>
      </c>
      <c r="D261" t="n">
        <v>148</v>
      </c>
      <c r="E261" t="inlineStr">
        <is>
          <t>Bar Brahma - Granja</t>
        </is>
      </c>
      <c r="F261" s="27" t="n">
        <v>46038</v>
      </c>
      <c r="G261" t="inlineStr">
        <is>
          <t>DEBITO</t>
        </is>
      </c>
      <c r="H261" t="inlineStr">
        <is>
          <t>Multifrangos com Alim Ltda Me</t>
        </is>
      </c>
      <c r="I261" t="n">
        <v>-409.13</v>
      </c>
    </row>
    <row r="262">
      <c r="A262" t="n">
        <v>232659</v>
      </c>
      <c r="B262" t="n">
        <v>153</v>
      </c>
      <c r="C262" t="inlineStr">
        <is>
          <t>Bar Brahma Granja - FDB Novo - Banco do Brasil</t>
        </is>
      </c>
      <c r="D262" t="n">
        <v>148</v>
      </c>
      <c r="E262" t="inlineStr">
        <is>
          <t>Bar Brahma - Granja</t>
        </is>
      </c>
      <c r="F262" s="27" t="n">
        <v>46038</v>
      </c>
      <c r="G262" t="inlineStr">
        <is>
          <t>CREDITO</t>
        </is>
      </c>
      <c r="H262" t="inlineStr">
        <is>
          <t>TED-CRDITO EM CONTA - 341 0912 69034668000156 PLUXEE BENEFIC</t>
        </is>
      </c>
      <c r="I262" t="n">
        <v>141.48</v>
      </c>
    </row>
    <row r="263">
      <c r="A263" t="n">
        <v>232660</v>
      </c>
      <c r="B263" t="n">
        <v>153</v>
      </c>
      <c r="C263" t="inlineStr">
        <is>
          <t>Bar Brahma Granja - FDB Novo - Banco do Brasil</t>
        </is>
      </c>
      <c r="D263" t="n">
        <v>148</v>
      </c>
      <c r="E263" t="inlineStr">
        <is>
          <t>Bar Brahma - Granja</t>
        </is>
      </c>
      <c r="F263" s="27" t="n">
        <v>46038</v>
      </c>
      <c r="G263" t="inlineStr">
        <is>
          <t>CREDITO</t>
        </is>
      </c>
      <c r="H263" t="inlineStr">
        <is>
          <t>TED-CRDITO EM CONTA - 341 0912 69034668000156 PLUXEE BENEFIC</t>
        </is>
      </c>
      <c r="I263" t="n">
        <v>107.65</v>
      </c>
    </row>
    <row r="264">
      <c r="A264" t="n">
        <v>232661</v>
      </c>
      <c r="B264" t="n">
        <v>153</v>
      </c>
      <c r="C264" t="inlineStr">
        <is>
          <t>Bar Brahma Granja - FDB Novo - Banco do Brasil</t>
        </is>
      </c>
      <c r="D264" t="n">
        <v>148</v>
      </c>
      <c r="E264" t="inlineStr">
        <is>
          <t>Bar Brahma - Granja</t>
        </is>
      </c>
      <c r="F264" s="27" t="n">
        <v>46038</v>
      </c>
      <c r="G264" t="inlineStr">
        <is>
          <t>CREDITO</t>
        </is>
      </c>
      <c r="H264" t="inlineStr">
        <is>
          <t>TED-CRDITO EM CONTA - 341 0912 69034668000156 PLUXEE BENEFIC</t>
        </is>
      </c>
      <c r="I264" t="n">
        <v>712.09</v>
      </c>
    </row>
    <row r="265">
      <c r="A265" t="n">
        <v>232662</v>
      </c>
      <c r="B265" t="n">
        <v>153</v>
      </c>
      <c r="C265" t="inlineStr">
        <is>
          <t>Bar Brahma Granja - FDB Novo - Banco do Brasil</t>
        </is>
      </c>
      <c r="D265" t="n">
        <v>148</v>
      </c>
      <c r="E265" t="inlineStr">
        <is>
          <t>Bar Brahma - Granja</t>
        </is>
      </c>
      <c r="F265" s="27" t="n">
        <v>46038</v>
      </c>
      <c r="G265" t="inlineStr">
        <is>
          <t>CREDITO</t>
        </is>
      </c>
      <c r="H265" t="inlineStr">
        <is>
          <t>TED-CRDITO EM CONTA - 341 0262 47866934000174 TICKET SERVICO</t>
        </is>
      </c>
      <c r="I265" t="n">
        <v>48.17</v>
      </c>
    </row>
    <row r="266">
      <c r="A266" t="n">
        <v>233013</v>
      </c>
      <c r="B266" t="n">
        <v>164</v>
      </c>
      <c r="C266" t="inlineStr">
        <is>
          <t>Bar Brahma Granja - FDB Filial - Kamino</t>
        </is>
      </c>
      <c r="D266" t="n">
        <v>148</v>
      </c>
      <c r="E266" t="inlineStr">
        <is>
          <t>Bar Brahma - Granja</t>
        </is>
      </c>
      <c r="F266" s="27" t="n">
        <v>46038</v>
      </c>
      <c r="G266" t="inlineStr">
        <is>
          <t>DEBITO</t>
        </is>
      </c>
      <c r="H266" t="inlineStr">
        <is>
          <t>Plasticos Segantini Eireli</t>
        </is>
      </c>
      <c r="I266" t="n">
        <v>-1567.5</v>
      </c>
    </row>
    <row r="267">
      <c r="A267" t="n">
        <v>233012</v>
      </c>
      <c r="B267" t="n">
        <v>164</v>
      </c>
      <c r="C267" t="inlineStr">
        <is>
          <t>Bar Brahma Granja - FDB Filial - Kamino</t>
        </is>
      </c>
      <c r="D267" t="n">
        <v>148</v>
      </c>
      <c r="E267" t="inlineStr">
        <is>
          <t>Bar Brahma - Granja</t>
        </is>
      </c>
      <c r="F267" s="27" t="n">
        <v>46038</v>
      </c>
      <c r="G267" t="inlineStr">
        <is>
          <t>DEBITO</t>
        </is>
      </c>
      <c r="H267" t="inlineStr">
        <is>
          <t>Cecilia Tsuyaco Araki Silva Ltda</t>
        </is>
      </c>
      <c r="I267" t="n">
        <v>-524.25</v>
      </c>
    </row>
    <row r="268">
      <c r="A268" t="n">
        <v>233011</v>
      </c>
      <c r="B268" t="n">
        <v>164</v>
      </c>
      <c r="C268" t="inlineStr">
        <is>
          <t>Bar Brahma Granja - FDB Filial - Kamino</t>
        </is>
      </c>
      <c r="D268" t="n">
        <v>148</v>
      </c>
      <c r="E268" t="inlineStr">
        <is>
          <t>Bar Brahma - Granja</t>
        </is>
      </c>
      <c r="F268" s="27" t="n">
        <v>46038</v>
      </c>
      <c r="G268" t="inlineStr">
        <is>
          <t>DEBITO</t>
        </is>
      </c>
      <c r="H268" t="inlineStr">
        <is>
          <t>Cecilia Tsuyaco Araki Silva Ltda</t>
        </is>
      </c>
      <c r="I268" t="n">
        <v>-181.8</v>
      </c>
    </row>
    <row r="269">
      <c r="A269" t="n">
        <v>233010</v>
      </c>
      <c r="B269" t="n">
        <v>164</v>
      </c>
      <c r="C269" t="inlineStr">
        <is>
          <t>Bar Brahma Granja - FDB Filial - Kamino</t>
        </is>
      </c>
      <c r="D269" t="n">
        <v>148</v>
      </c>
      <c r="E269" t="inlineStr">
        <is>
          <t>Bar Brahma - Granja</t>
        </is>
      </c>
      <c r="F269" s="27" t="n">
        <v>46038</v>
      </c>
      <c r="G269" t="inlineStr">
        <is>
          <t>DEBITO</t>
        </is>
      </c>
      <c r="H269" t="inlineStr">
        <is>
          <t>Cia do Whisky</t>
        </is>
      </c>
      <c r="I269" t="n">
        <v>-801.3</v>
      </c>
    </row>
    <row r="270">
      <c r="A270" t="n">
        <v>232327</v>
      </c>
      <c r="B270" t="n">
        <v>164</v>
      </c>
      <c r="C270" t="inlineStr">
        <is>
          <t>Bar Brahma Granja - FDB Filial - Kamino</t>
        </is>
      </c>
      <c r="D270" t="n">
        <v>148</v>
      </c>
      <c r="E270" t="inlineStr">
        <is>
          <t>Bar Brahma - Granja</t>
        </is>
      </c>
      <c r="F270" s="27" t="n">
        <v>46037</v>
      </c>
      <c r="G270" t="inlineStr">
        <is>
          <t>DEBITO</t>
        </is>
      </c>
      <c r="H270" t="inlineStr">
        <is>
          <t>Tutum Filial Granja</t>
        </is>
      </c>
      <c r="I270" t="n">
        <v>-500</v>
      </c>
    </row>
    <row r="271">
      <c r="A271" t="n">
        <v>232326</v>
      </c>
      <c r="B271" t="n">
        <v>164</v>
      </c>
      <c r="C271" t="inlineStr">
        <is>
          <t>Bar Brahma Granja - FDB Filial - Kamino</t>
        </is>
      </c>
      <c r="D271" t="n">
        <v>148</v>
      </c>
      <c r="E271" t="inlineStr">
        <is>
          <t>Bar Brahma - Granja</t>
        </is>
      </c>
      <c r="F271" s="27" t="n">
        <v>46037</v>
      </c>
      <c r="G271" t="inlineStr">
        <is>
          <t>DEBITO</t>
        </is>
      </c>
      <c r="H271" t="inlineStr">
        <is>
          <t>Tempus Kamino</t>
        </is>
      </c>
      <c r="I271" t="n">
        <v>-20000</v>
      </c>
    </row>
    <row r="272">
      <c r="A272" t="n">
        <v>232325</v>
      </c>
      <c r="B272" t="n">
        <v>164</v>
      </c>
      <c r="C272" t="inlineStr">
        <is>
          <t>Bar Brahma Granja - FDB Filial - Kamino</t>
        </is>
      </c>
      <c r="D272" t="n">
        <v>148</v>
      </c>
      <c r="E272" t="inlineStr">
        <is>
          <t>Bar Brahma - Granja</t>
        </is>
      </c>
      <c r="F272" s="27" t="n">
        <v>46037</v>
      </c>
      <c r="G272" t="inlineStr">
        <is>
          <t>DEBITO</t>
        </is>
      </c>
      <c r="H272" t="inlineStr">
        <is>
          <t>Tutum Filial Granja</t>
        </is>
      </c>
      <c r="I272" t="n">
        <v>-19100</v>
      </c>
    </row>
    <row r="273">
      <c r="A273" t="n">
        <v>232324</v>
      </c>
      <c r="B273" t="n">
        <v>164</v>
      </c>
      <c r="C273" t="inlineStr">
        <is>
          <t>Bar Brahma Granja - FDB Filial - Kamino</t>
        </is>
      </c>
      <c r="D273" t="n">
        <v>148</v>
      </c>
      <c r="E273" t="inlineStr">
        <is>
          <t>Bar Brahma - Granja</t>
        </is>
      </c>
      <c r="F273" s="27" t="n">
        <v>46037</v>
      </c>
      <c r="G273" t="inlineStr">
        <is>
          <t>DEBITO</t>
        </is>
      </c>
      <c r="H273" t="inlineStr">
        <is>
          <t>Pss - Central da Limpeza Ltda</t>
        </is>
      </c>
      <c r="I273" t="n">
        <v>-1688.94</v>
      </c>
    </row>
    <row r="274">
      <c r="A274" t="n">
        <v>232323</v>
      </c>
      <c r="B274" t="n">
        <v>164</v>
      </c>
      <c r="C274" t="inlineStr">
        <is>
          <t>Bar Brahma Granja - FDB Filial - Kamino</t>
        </is>
      </c>
      <c r="D274" t="n">
        <v>148</v>
      </c>
      <c r="E274" t="inlineStr">
        <is>
          <t>Bar Brahma - Granja</t>
        </is>
      </c>
      <c r="F274" s="27" t="n">
        <v>46037</v>
      </c>
      <c r="G274" t="inlineStr">
        <is>
          <t>DEBITO</t>
        </is>
      </c>
      <c r="H274" t="inlineStr">
        <is>
          <t>Marcos Silva do Nascimento 00753897547</t>
        </is>
      </c>
      <c r="I274" t="n">
        <v>-2449.03</v>
      </c>
    </row>
    <row r="275">
      <c r="A275" t="n">
        <v>232322</v>
      </c>
      <c r="B275" t="n">
        <v>164</v>
      </c>
      <c r="C275" t="inlineStr">
        <is>
          <t>Bar Brahma Granja - FDB Filial - Kamino</t>
        </is>
      </c>
      <c r="D275" t="n">
        <v>148</v>
      </c>
      <c r="E275" t="inlineStr">
        <is>
          <t>Bar Brahma - Granja</t>
        </is>
      </c>
      <c r="F275" s="27" t="n">
        <v>46037</v>
      </c>
      <c r="G275" t="inlineStr">
        <is>
          <t>DEBITO</t>
        </is>
      </c>
      <c r="H275" t="inlineStr">
        <is>
          <t>Fablab I e S T Ltda</t>
        </is>
      </c>
      <c r="I275" t="n">
        <v>-429</v>
      </c>
    </row>
    <row r="276">
      <c r="A276" t="n">
        <v>232321</v>
      </c>
      <c r="B276" t="n">
        <v>164</v>
      </c>
      <c r="C276" t="inlineStr">
        <is>
          <t>Bar Brahma Granja - FDB Filial - Kamino</t>
        </is>
      </c>
      <c r="D276" t="n">
        <v>148</v>
      </c>
      <c r="E276" t="inlineStr">
        <is>
          <t>Bar Brahma - Granja</t>
        </is>
      </c>
      <c r="F276" s="27" t="n">
        <v>46037</v>
      </c>
      <c r="G276" t="inlineStr">
        <is>
          <t>DEBITO</t>
        </is>
      </c>
      <c r="H276" t="inlineStr">
        <is>
          <t>Estaff Solucoes Tecnologicas de Agenciam</t>
        </is>
      </c>
      <c r="I276" t="n">
        <v>-7087.99</v>
      </c>
    </row>
    <row r="277">
      <c r="A277" t="n">
        <v>232320</v>
      </c>
      <c r="B277" t="n">
        <v>164</v>
      </c>
      <c r="C277" t="inlineStr">
        <is>
          <t>Bar Brahma Granja - FDB Filial - Kamino</t>
        </is>
      </c>
      <c r="D277" t="n">
        <v>148</v>
      </c>
      <c r="E277" t="inlineStr">
        <is>
          <t>Bar Brahma - Granja</t>
        </is>
      </c>
      <c r="F277" s="27" t="n">
        <v>46037</v>
      </c>
      <c r="G277" t="inlineStr">
        <is>
          <t>DEBITO</t>
        </is>
      </c>
      <c r="H277" t="inlineStr">
        <is>
          <t>Star Copias Comercio e Servicos Ltd</t>
        </is>
      </c>
      <c r="I277" t="n">
        <v>-255</v>
      </c>
    </row>
    <row r="278">
      <c r="A278" t="n">
        <v>232319</v>
      </c>
      <c r="B278" t="n">
        <v>164</v>
      </c>
      <c r="C278" t="inlineStr">
        <is>
          <t>Bar Brahma Granja - FDB Filial - Kamino</t>
        </is>
      </c>
      <c r="D278" t="n">
        <v>148</v>
      </c>
      <c r="E278" t="inlineStr">
        <is>
          <t>Bar Brahma - Granja</t>
        </is>
      </c>
      <c r="F278" s="27" t="n">
        <v>46037</v>
      </c>
      <c r="G278" t="inlineStr">
        <is>
          <t>DEBITO</t>
        </is>
      </c>
      <c r="H278" t="inlineStr">
        <is>
          <t>Mario Pedro Feliciano Hortifru</t>
        </is>
      </c>
      <c r="I278" t="n">
        <v>-233.67</v>
      </c>
    </row>
    <row r="279">
      <c r="A279" t="n">
        <v>232318</v>
      </c>
      <c r="B279" t="n">
        <v>164</v>
      </c>
      <c r="C279" t="inlineStr">
        <is>
          <t>Bar Brahma Granja - FDB Filial - Kamino</t>
        </is>
      </c>
      <c r="D279" t="n">
        <v>148</v>
      </c>
      <c r="E279" t="inlineStr">
        <is>
          <t>Bar Brahma - Granja</t>
        </is>
      </c>
      <c r="F279" s="27" t="n">
        <v>46037</v>
      </c>
      <c r="G279" t="inlineStr">
        <is>
          <t>DEBITO</t>
        </is>
      </c>
      <c r="H279" t="inlineStr">
        <is>
          <t>Fsm   Fazenda Santa Margarida</t>
        </is>
      </c>
      <c r="I279" t="n">
        <v>-420</v>
      </c>
    </row>
    <row r="280">
      <c r="A280" t="n">
        <v>232317</v>
      </c>
      <c r="B280" t="n">
        <v>164</v>
      </c>
      <c r="C280" t="inlineStr">
        <is>
          <t>Bar Brahma Granja - FDB Filial - Kamino</t>
        </is>
      </c>
      <c r="D280" t="n">
        <v>148</v>
      </c>
      <c r="E280" t="inlineStr">
        <is>
          <t>Bar Brahma - Granja</t>
        </is>
      </c>
      <c r="F280" s="27" t="n">
        <v>46037</v>
      </c>
      <c r="G280" t="inlineStr">
        <is>
          <t>DEBITO</t>
        </is>
      </c>
      <c r="H280" t="inlineStr">
        <is>
          <t>Cicero Eduardo Pereira Brito</t>
        </is>
      </c>
      <c r="I280" t="n">
        <v>-6000</v>
      </c>
    </row>
    <row r="281">
      <c r="A281" t="n">
        <v>232316</v>
      </c>
      <c r="B281" t="n">
        <v>164</v>
      </c>
      <c r="C281" t="inlineStr">
        <is>
          <t>Bar Brahma Granja - FDB Filial - Kamino</t>
        </is>
      </c>
      <c r="D281" t="n">
        <v>148</v>
      </c>
      <c r="E281" t="inlineStr">
        <is>
          <t>Bar Brahma - Granja</t>
        </is>
      </c>
      <c r="F281" s="27" t="n">
        <v>46037</v>
      </c>
      <c r="G281" t="inlineStr">
        <is>
          <t>DEBITO</t>
        </is>
      </c>
      <c r="H281" t="inlineStr">
        <is>
          <t>Arthur Alves da Silva</t>
        </is>
      </c>
      <c r="I281" t="n">
        <v>-1407</v>
      </c>
    </row>
    <row r="282">
      <c r="A282" t="n">
        <v>232315</v>
      </c>
      <c r="B282" t="n">
        <v>164</v>
      </c>
      <c r="C282" t="inlineStr">
        <is>
          <t>Bar Brahma Granja - FDB Filial - Kamino</t>
        </is>
      </c>
      <c r="D282" t="n">
        <v>148</v>
      </c>
      <c r="E282" t="inlineStr">
        <is>
          <t>Bar Brahma - Granja</t>
        </is>
      </c>
      <c r="F282" s="27" t="n">
        <v>46037</v>
      </c>
      <c r="G282" t="inlineStr">
        <is>
          <t>DEBITO</t>
        </is>
      </c>
      <c r="H282" t="inlineStr">
        <is>
          <t>Nivaldo Alves Horas</t>
        </is>
      </c>
      <c r="I282" t="n">
        <v>-4500</v>
      </c>
    </row>
    <row r="283">
      <c r="A283" t="n">
        <v>232314</v>
      </c>
      <c r="B283" t="n">
        <v>164</v>
      </c>
      <c r="C283" t="inlineStr">
        <is>
          <t>Bar Brahma Granja - FDB Filial - Kamino</t>
        </is>
      </c>
      <c r="D283" t="n">
        <v>148</v>
      </c>
      <c r="E283" t="inlineStr">
        <is>
          <t>Bar Brahma - Granja</t>
        </is>
      </c>
      <c r="F283" s="27" t="n">
        <v>46037</v>
      </c>
      <c r="G283" t="inlineStr">
        <is>
          <t>DEBITO</t>
        </is>
      </c>
      <c r="H283" t="inlineStr">
        <is>
          <t>Cecilia Tsuyaco Araki Silva Ltda</t>
        </is>
      </c>
      <c r="I283" t="n">
        <v>-630.15</v>
      </c>
    </row>
    <row r="284">
      <c r="A284" t="n">
        <v>232313</v>
      </c>
      <c r="B284" t="n">
        <v>164</v>
      </c>
      <c r="C284" t="inlineStr">
        <is>
          <t>Bar Brahma Granja - FDB Filial - Kamino</t>
        </is>
      </c>
      <c r="D284" t="n">
        <v>148</v>
      </c>
      <c r="E284" t="inlineStr">
        <is>
          <t>Bar Brahma - Granja</t>
        </is>
      </c>
      <c r="F284" s="27" t="n">
        <v>46037</v>
      </c>
      <c r="G284" t="inlineStr">
        <is>
          <t>DEBITO</t>
        </is>
      </c>
      <c r="H284" t="inlineStr">
        <is>
          <t>Premier Pescados Comercio e Im</t>
        </is>
      </c>
      <c r="I284" t="n">
        <v>-591.33</v>
      </c>
    </row>
    <row r="285">
      <c r="A285" t="n">
        <v>232312</v>
      </c>
      <c r="B285" t="n">
        <v>164</v>
      </c>
      <c r="C285" t="inlineStr">
        <is>
          <t>Bar Brahma Granja - FDB Filial - Kamino</t>
        </is>
      </c>
      <c r="D285" t="n">
        <v>148</v>
      </c>
      <c r="E285" t="inlineStr">
        <is>
          <t>Bar Brahma - Granja</t>
        </is>
      </c>
      <c r="F285" s="27" t="n">
        <v>46037</v>
      </c>
      <c r="G285" t="inlineStr">
        <is>
          <t>DEBITO</t>
        </is>
      </c>
      <c r="H285" t="inlineStr">
        <is>
          <t>Macro Contabilidade e Consultoria Ltda.</t>
        </is>
      </c>
      <c r="I285" t="n">
        <v>-792.3200000000001</v>
      </c>
    </row>
    <row r="286">
      <c r="A286" t="n">
        <v>232311</v>
      </c>
      <c r="B286" t="n">
        <v>164</v>
      </c>
      <c r="C286" t="inlineStr">
        <is>
          <t>Bar Brahma Granja - FDB Filial - Kamino</t>
        </is>
      </c>
      <c r="D286" t="n">
        <v>148</v>
      </c>
      <c r="E286" t="inlineStr">
        <is>
          <t>Bar Brahma - Granja</t>
        </is>
      </c>
      <c r="F286" s="27" t="n">
        <v>46037</v>
      </c>
      <c r="G286" t="inlineStr">
        <is>
          <t>DEBITO</t>
        </is>
      </c>
      <c r="H286" t="inlineStr">
        <is>
          <t>Dtk Comercio de Alimentos Ltda Epp</t>
        </is>
      </c>
      <c r="I286" t="n">
        <v>-241.3</v>
      </c>
    </row>
    <row r="287">
      <c r="A287" t="n">
        <v>232310</v>
      </c>
      <c r="B287" t="n">
        <v>164</v>
      </c>
      <c r="C287" t="inlineStr">
        <is>
          <t>Bar Brahma Granja - FDB Filial - Kamino</t>
        </is>
      </c>
      <c r="D287" t="n">
        <v>148</v>
      </c>
      <c r="E287" t="inlineStr">
        <is>
          <t>Bar Brahma - Granja</t>
        </is>
      </c>
      <c r="F287" s="27" t="n">
        <v>46037</v>
      </c>
      <c r="G287" t="inlineStr">
        <is>
          <t>DEBITO</t>
        </is>
      </c>
      <c r="H287" t="inlineStr">
        <is>
          <t>Horta Nova Distribuidora de Hortifruti Ltda</t>
        </is>
      </c>
      <c r="I287" t="n">
        <v>-265.66</v>
      </c>
    </row>
    <row r="288">
      <c r="A288" t="n">
        <v>232309</v>
      </c>
      <c r="B288" t="n">
        <v>164</v>
      </c>
      <c r="C288" t="inlineStr">
        <is>
          <t>Bar Brahma Granja - FDB Filial - Kamino</t>
        </is>
      </c>
      <c r="D288" t="n">
        <v>148</v>
      </c>
      <c r="E288" t="inlineStr">
        <is>
          <t>Bar Brahma - Granja</t>
        </is>
      </c>
      <c r="F288" s="27" t="n">
        <v>46037</v>
      </c>
      <c r="G288" t="inlineStr">
        <is>
          <t>DEBITO</t>
        </is>
      </c>
      <c r="H288" t="inlineStr">
        <is>
          <t>Get In Tecnologia Sa</t>
        </is>
      </c>
      <c r="I288" t="n">
        <v>-231.3</v>
      </c>
    </row>
    <row r="289">
      <c r="A289" t="n">
        <v>232308</v>
      </c>
      <c r="B289" t="n">
        <v>164</v>
      </c>
      <c r="C289" t="inlineStr">
        <is>
          <t>Bar Brahma Granja - FDB Filial - Kamino</t>
        </is>
      </c>
      <c r="D289" t="n">
        <v>148</v>
      </c>
      <c r="E289" t="inlineStr">
        <is>
          <t>Bar Brahma - Granja</t>
        </is>
      </c>
      <c r="F289" s="27" t="n">
        <v>46037</v>
      </c>
      <c r="G289" t="inlineStr">
        <is>
          <t>CREDITO</t>
        </is>
      </c>
      <c r="H289" t="inlineStr">
        <is>
          <t>Zig Tecnologia S.A.</t>
        </is>
      </c>
      <c r="I289" t="n">
        <v>8888.01</v>
      </c>
    </row>
    <row r="290">
      <c r="A290" t="n">
        <v>232349</v>
      </c>
      <c r="B290" t="n">
        <v>148</v>
      </c>
      <c r="C290" t="inlineStr">
        <is>
          <t>Bar Brahma Granja - Tutum Filial - Kamino</t>
        </is>
      </c>
      <c r="D290" t="n">
        <v>148</v>
      </c>
      <c r="E290" t="inlineStr">
        <is>
          <t>Bar Brahma - Granja</t>
        </is>
      </c>
      <c r="F290" s="27" t="n">
        <v>46037</v>
      </c>
      <c r="G290" t="inlineStr">
        <is>
          <t>DEBITO</t>
        </is>
      </c>
      <c r="H290" t="inlineStr">
        <is>
          <t>Francisca Alane Paulino Gomes</t>
        </is>
      </c>
      <c r="I290" t="n">
        <v>-3300</v>
      </c>
    </row>
    <row r="291">
      <c r="A291" t="n">
        <v>232355</v>
      </c>
      <c r="B291" t="n">
        <v>148</v>
      </c>
      <c r="C291" t="inlineStr">
        <is>
          <t>Bar Brahma Granja - Tutum Filial - Kamino</t>
        </is>
      </c>
      <c r="D291" t="n">
        <v>148</v>
      </c>
      <c r="E291" t="inlineStr">
        <is>
          <t>Bar Brahma - Granja</t>
        </is>
      </c>
      <c r="F291" s="27" t="n">
        <v>46037</v>
      </c>
      <c r="G291" t="inlineStr">
        <is>
          <t>DEBITO</t>
        </is>
      </c>
      <c r="H291" t="inlineStr">
        <is>
          <t>Flash Tec e Pagamentos Ltda.</t>
        </is>
      </c>
      <c r="I291" t="n">
        <v>-534</v>
      </c>
    </row>
    <row r="292">
      <c r="A292" t="n">
        <v>232354</v>
      </c>
      <c r="B292" t="n">
        <v>148</v>
      </c>
      <c r="C292" t="inlineStr">
        <is>
          <t>Bar Brahma Granja - Tutum Filial - Kamino</t>
        </is>
      </c>
      <c r="D292" t="n">
        <v>148</v>
      </c>
      <c r="E292" t="inlineStr">
        <is>
          <t>Bar Brahma - Granja</t>
        </is>
      </c>
      <c r="F292" s="27" t="n">
        <v>46037</v>
      </c>
      <c r="G292" t="inlineStr">
        <is>
          <t>CREDITO</t>
        </is>
      </c>
      <c r="H292" t="inlineStr">
        <is>
          <t>FDB BAR NOVO COMERCIO E EVENTOS LTDA</t>
        </is>
      </c>
      <c r="I292" t="n">
        <v>500</v>
      </c>
    </row>
    <row r="293">
      <c r="A293" t="n">
        <v>232353</v>
      </c>
      <c r="B293" t="n">
        <v>148</v>
      </c>
      <c r="C293" t="inlineStr">
        <is>
          <t>Bar Brahma Granja - Tutum Filial - Kamino</t>
        </is>
      </c>
      <c r="D293" t="n">
        <v>148</v>
      </c>
      <c r="E293" t="inlineStr">
        <is>
          <t>Bar Brahma - Granja</t>
        </is>
      </c>
      <c r="F293" s="27" t="n">
        <v>46037</v>
      </c>
      <c r="G293" t="inlineStr">
        <is>
          <t>DEBITO</t>
        </is>
      </c>
      <c r="H293" t="inlineStr">
        <is>
          <t>Macro Contabilidade C Ltda</t>
        </is>
      </c>
      <c r="I293" t="n">
        <v>-1243.14</v>
      </c>
    </row>
    <row r="294">
      <c r="A294" t="n">
        <v>232348</v>
      </c>
      <c r="B294" t="n">
        <v>148</v>
      </c>
      <c r="C294" t="inlineStr">
        <is>
          <t>Bar Brahma Granja - Tutum Filial - Kamino</t>
        </is>
      </c>
      <c r="D294" t="n">
        <v>148</v>
      </c>
      <c r="E294" t="inlineStr">
        <is>
          <t>Bar Brahma - Granja</t>
        </is>
      </c>
      <c r="F294" s="27" t="n">
        <v>46037</v>
      </c>
      <c r="G294" t="inlineStr">
        <is>
          <t>DEBITO</t>
        </is>
      </c>
      <c r="H294" t="inlineStr">
        <is>
          <t>Jefferson Schmaedeker dos Santos</t>
        </is>
      </c>
      <c r="I294" t="n">
        <v>-2000</v>
      </c>
    </row>
    <row r="295">
      <c r="A295" t="n">
        <v>232347</v>
      </c>
      <c r="B295" t="n">
        <v>148</v>
      </c>
      <c r="C295" t="inlineStr">
        <is>
          <t>Bar Brahma Granja - Tutum Filial - Kamino</t>
        </is>
      </c>
      <c r="D295" t="n">
        <v>148</v>
      </c>
      <c r="E295" t="inlineStr">
        <is>
          <t>Bar Brahma - Granja</t>
        </is>
      </c>
      <c r="F295" s="27" t="n">
        <v>46037</v>
      </c>
      <c r="G295" t="inlineStr">
        <is>
          <t>DEBITO</t>
        </is>
      </c>
      <c r="H295" t="inlineStr">
        <is>
          <t>Giliarde Jose Marques</t>
        </is>
      </c>
      <c r="I295" t="n">
        <v>-3300</v>
      </c>
    </row>
    <row r="296">
      <c r="A296" t="n">
        <v>232346</v>
      </c>
      <c r="B296" t="n">
        <v>148</v>
      </c>
      <c r="C296" t="inlineStr">
        <is>
          <t>Bar Brahma Granja - Tutum Filial - Kamino</t>
        </is>
      </c>
      <c r="D296" t="n">
        <v>148</v>
      </c>
      <c r="E296" t="inlineStr">
        <is>
          <t>Bar Brahma - Granja</t>
        </is>
      </c>
      <c r="F296" s="27" t="n">
        <v>46037</v>
      </c>
      <c r="G296" t="inlineStr">
        <is>
          <t>CREDITO</t>
        </is>
      </c>
      <c r="H296" t="inlineStr">
        <is>
          <t>FDB BAR NOVO COMERCIO E EVENTOS LTDA</t>
        </is>
      </c>
      <c r="I296" t="n">
        <v>19100</v>
      </c>
    </row>
    <row r="297">
      <c r="A297" t="n">
        <v>232350</v>
      </c>
      <c r="B297" t="n">
        <v>148</v>
      </c>
      <c r="C297" t="inlineStr">
        <is>
          <t>Bar Brahma Granja - Tutum Filial - Kamino</t>
        </is>
      </c>
      <c r="D297" t="n">
        <v>148</v>
      </c>
      <c r="E297" t="inlineStr">
        <is>
          <t>Bar Brahma - Granja</t>
        </is>
      </c>
      <c r="F297" s="27" t="n">
        <v>46037</v>
      </c>
      <c r="G297" t="inlineStr">
        <is>
          <t>DEBITO</t>
        </is>
      </c>
      <c r="H297" t="inlineStr">
        <is>
          <t>Patricia Nakano Coelho de Souza</t>
        </is>
      </c>
      <c r="I297" t="n">
        <v>-5000</v>
      </c>
    </row>
    <row r="298">
      <c r="A298" t="n">
        <v>232351</v>
      </c>
      <c r="B298" t="n">
        <v>148</v>
      </c>
      <c r="C298" t="inlineStr">
        <is>
          <t>Bar Brahma Granja - Tutum Filial - Kamino</t>
        </is>
      </c>
      <c r="D298" t="n">
        <v>148</v>
      </c>
      <c r="E298" t="inlineStr">
        <is>
          <t>Bar Brahma - Granja</t>
        </is>
      </c>
      <c r="F298" s="27" t="n">
        <v>46037</v>
      </c>
      <c r="G298" t="inlineStr">
        <is>
          <t>DEBITO</t>
        </is>
      </c>
      <c r="H298" t="inlineStr">
        <is>
          <t>Maicon Santos Luz Silva</t>
        </is>
      </c>
      <c r="I298" t="n">
        <v>-2100</v>
      </c>
    </row>
    <row r="299">
      <c r="A299" t="n">
        <v>232352</v>
      </c>
      <c r="B299" t="n">
        <v>148</v>
      </c>
      <c r="C299" t="inlineStr">
        <is>
          <t>Bar Brahma Granja - Tutum Filial - Kamino</t>
        </is>
      </c>
      <c r="D299" t="n">
        <v>148</v>
      </c>
      <c r="E299" t="inlineStr">
        <is>
          <t>Bar Brahma - Granja</t>
        </is>
      </c>
      <c r="F299" s="27" t="n">
        <v>46037</v>
      </c>
      <c r="G299" t="inlineStr">
        <is>
          <t>DEBITO</t>
        </is>
      </c>
      <c r="H299" t="inlineStr">
        <is>
          <t>Joao Paulo</t>
        </is>
      </c>
      <c r="I299" t="n">
        <v>-2100</v>
      </c>
    </row>
    <row r="300">
      <c r="A300" t="n">
        <v>232340</v>
      </c>
      <c r="B300" t="n">
        <v>153</v>
      </c>
      <c r="C300" t="inlineStr">
        <is>
          <t>Bar Brahma Granja - FDB Novo - Banco do Brasil</t>
        </is>
      </c>
      <c r="D300" t="n">
        <v>148</v>
      </c>
      <c r="E300" t="inlineStr">
        <is>
          <t>Bar Brahma - Granja</t>
        </is>
      </c>
      <c r="F300" s="27" t="n">
        <v>46037</v>
      </c>
      <c r="G300" t="inlineStr">
        <is>
          <t>CREDITO</t>
        </is>
      </c>
      <c r="H300" t="inlineStr">
        <is>
          <t>RECEBIMENTO FORNECEDOR - 04.740.876/0001-25 ALELO INSTITUICAO D</t>
        </is>
      </c>
      <c r="I300" t="n">
        <v>458.33</v>
      </c>
    </row>
    <row r="301">
      <c r="A301" t="n">
        <v>239722</v>
      </c>
      <c r="B301" t="n">
        <v>187</v>
      </c>
      <c r="C301" t="inlineStr">
        <is>
          <t>Bar Brahma Granja - FDB Novo - Caixa</t>
        </is>
      </c>
      <c r="D301" t="n">
        <v>148</v>
      </c>
      <c r="E301" t="inlineStr">
        <is>
          <t>Bar Brahma - Granja</t>
        </is>
      </c>
      <c r="F301" s="27" t="n">
        <v>46036.625</v>
      </c>
      <c r="G301" t="inlineStr">
        <is>
          <t>CREDITO</t>
        </is>
      </c>
      <c r="H301" t="inlineStr">
        <is>
          <t>CRED TED</t>
        </is>
      </c>
      <c r="I301" t="n">
        <v>1691.72</v>
      </c>
    </row>
    <row r="302">
      <c r="A302" t="n">
        <v>232339</v>
      </c>
      <c r="B302" t="n">
        <v>153</v>
      </c>
      <c r="C302" t="inlineStr">
        <is>
          <t>Bar Brahma Granja - FDB Novo - Banco do Brasil</t>
        </is>
      </c>
      <c r="D302" t="n">
        <v>148</v>
      </c>
      <c r="E302" t="inlineStr">
        <is>
          <t>Bar Brahma - Granja</t>
        </is>
      </c>
      <c r="F302" s="27" t="n">
        <v>46036</v>
      </c>
      <c r="G302" t="inlineStr">
        <is>
          <t>CREDITO</t>
        </is>
      </c>
      <c r="H302" t="inlineStr">
        <is>
          <t>TED-CRDITO EM CONTA - 341 0262 47866934000174 TICKET SERVICO</t>
        </is>
      </c>
      <c r="I302" t="n">
        <v>65.34999999999999</v>
      </c>
    </row>
    <row r="303">
      <c r="A303" t="n">
        <v>232307</v>
      </c>
      <c r="B303" t="n">
        <v>164</v>
      </c>
      <c r="C303" t="inlineStr">
        <is>
          <t>Bar Brahma Granja - FDB Filial - Kamino</t>
        </is>
      </c>
      <c r="D303" t="n">
        <v>148</v>
      </c>
      <c r="E303" t="inlineStr">
        <is>
          <t>Bar Brahma - Granja</t>
        </is>
      </c>
      <c r="F303" s="27" t="n">
        <v>46036</v>
      </c>
      <c r="G303" t="inlineStr">
        <is>
          <t>CREDITO</t>
        </is>
      </c>
      <c r="H303" t="inlineStr">
        <is>
          <t>Zig Tecnologia S.A.</t>
        </is>
      </c>
      <c r="I303" t="n">
        <v>4193.73</v>
      </c>
    </row>
    <row r="304">
      <c r="A304" t="n">
        <v>232338</v>
      </c>
      <c r="B304" t="n">
        <v>153</v>
      </c>
      <c r="C304" t="inlineStr">
        <is>
          <t>Bar Brahma Granja - FDB Novo - Banco do Brasil</t>
        </is>
      </c>
      <c r="D304" t="n">
        <v>148</v>
      </c>
      <c r="E304" t="inlineStr">
        <is>
          <t>Bar Brahma - Granja</t>
        </is>
      </c>
      <c r="F304" s="27" t="n">
        <v>46036</v>
      </c>
      <c r="G304" t="inlineStr">
        <is>
          <t>CREDITO</t>
        </is>
      </c>
      <c r="H304" t="inlineStr">
        <is>
          <t>RECEBIMENTO FORNECEDOR - 04.740.876/0001-25 ALELO INSTITUICAO D</t>
        </is>
      </c>
      <c r="I304" t="n">
        <v>186.73</v>
      </c>
    </row>
    <row r="305">
      <c r="A305" t="n">
        <v>232337</v>
      </c>
      <c r="B305" t="n">
        <v>153</v>
      </c>
      <c r="C305" t="inlineStr">
        <is>
          <t>Bar Brahma Granja - FDB Novo - Banco do Brasil</t>
        </is>
      </c>
      <c r="D305" t="n">
        <v>148</v>
      </c>
      <c r="E305" t="inlineStr">
        <is>
          <t>Bar Brahma - Granja</t>
        </is>
      </c>
      <c r="F305" s="27" t="n">
        <v>46036</v>
      </c>
      <c r="G305" t="inlineStr">
        <is>
          <t>CREDITO</t>
        </is>
      </c>
      <c r="H305" t="inlineStr">
        <is>
          <t>TRANSFERNCIA RECEBIDA - 14/01 16:18 LIRIUM IND E COM LTDA</t>
        </is>
      </c>
      <c r="I305" t="n">
        <v>850.5</v>
      </c>
    </row>
    <row r="306">
      <c r="A306" t="n">
        <v>232295</v>
      </c>
      <c r="B306" t="n">
        <v>164</v>
      </c>
      <c r="C306" t="inlineStr">
        <is>
          <t>Bar Brahma Granja - FDB Filial - Kamino</t>
        </is>
      </c>
      <c r="D306" t="n">
        <v>148</v>
      </c>
      <c r="E306" t="inlineStr">
        <is>
          <t>Bar Brahma - Granja</t>
        </is>
      </c>
      <c r="F306" s="27" t="n">
        <v>46035</v>
      </c>
      <c r="G306" t="inlineStr">
        <is>
          <t>DEBITO</t>
        </is>
      </c>
      <c r="H306" t="inlineStr">
        <is>
          <t>Zahil Importadora Ltda</t>
        </is>
      </c>
      <c r="I306" t="n">
        <v>-692.25</v>
      </c>
    </row>
    <row r="307">
      <c r="A307" t="n">
        <v>232293</v>
      </c>
      <c r="B307" t="n">
        <v>164</v>
      </c>
      <c r="C307" t="inlineStr">
        <is>
          <t>Bar Brahma Granja - FDB Filial - Kamino</t>
        </is>
      </c>
      <c r="D307" t="n">
        <v>148</v>
      </c>
      <c r="E307" t="inlineStr">
        <is>
          <t>Bar Brahma - Granja</t>
        </is>
      </c>
      <c r="F307" s="27" t="n">
        <v>46035</v>
      </c>
      <c r="G307" t="inlineStr">
        <is>
          <t>DEBITO</t>
        </is>
      </c>
      <c r="H307" t="inlineStr">
        <is>
          <t>Cecilia Tsuyaco Araki Silva Ltda</t>
        </is>
      </c>
      <c r="I307" t="n">
        <v>-272.7</v>
      </c>
    </row>
    <row r="308">
      <c r="A308" t="n">
        <v>232296</v>
      </c>
      <c r="B308" t="n">
        <v>164</v>
      </c>
      <c r="C308" t="inlineStr">
        <is>
          <t>Bar Brahma Granja - FDB Filial - Kamino</t>
        </is>
      </c>
      <c r="D308" t="n">
        <v>148</v>
      </c>
      <c r="E308" t="inlineStr">
        <is>
          <t>Bar Brahma - Granja</t>
        </is>
      </c>
      <c r="F308" s="27" t="n">
        <v>46035</v>
      </c>
      <c r="G308" t="inlineStr">
        <is>
          <t>DEBITO</t>
        </is>
      </c>
      <c r="H308" t="inlineStr">
        <is>
          <t>Wide Stock com e Rep Ltda</t>
        </is>
      </c>
      <c r="I308" t="n">
        <v>-386.87</v>
      </c>
    </row>
    <row r="309">
      <c r="A309" t="n">
        <v>232297</v>
      </c>
      <c r="B309" t="n">
        <v>164</v>
      </c>
      <c r="C309" t="inlineStr">
        <is>
          <t>Bar Brahma Granja - FDB Filial - Kamino</t>
        </is>
      </c>
      <c r="D309" t="n">
        <v>148</v>
      </c>
      <c r="E309" t="inlineStr">
        <is>
          <t>Bar Brahma - Granja</t>
        </is>
      </c>
      <c r="F309" s="27" t="n">
        <v>46035</v>
      </c>
      <c r="G309" t="inlineStr">
        <is>
          <t>DEBITO</t>
        </is>
      </c>
      <c r="H309" t="inlineStr">
        <is>
          <t>Cecilia Tsuyaco Araki Silva Ltda</t>
        </is>
      </c>
      <c r="I309" t="n">
        <v>-369.6</v>
      </c>
    </row>
    <row r="310">
      <c r="A310" t="n">
        <v>232298</v>
      </c>
      <c r="B310" t="n">
        <v>164</v>
      </c>
      <c r="C310" t="inlineStr">
        <is>
          <t>Bar Brahma Granja - FDB Filial - Kamino</t>
        </is>
      </c>
      <c r="D310" t="n">
        <v>148</v>
      </c>
      <c r="E310" t="inlineStr">
        <is>
          <t>Bar Brahma - Granja</t>
        </is>
      </c>
      <c r="F310" s="27" t="n">
        <v>46035</v>
      </c>
      <c r="G310" t="inlineStr">
        <is>
          <t>DEBITO</t>
        </is>
      </c>
      <c r="H310" t="inlineStr">
        <is>
          <t>Dtk Comercio de Alimentos Ltda Epp</t>
        </is>
      </c>
      <c r="I310" t="n">
        <v>-1646.65</v>
      </c>
    </row>
    <row r="311">
      <c r="A311" t="n">
        <v>232299</v>
      </c>
      <c r="B311" t="n">
        <v>164</v>
      </c>
      <c r="C311" t="inlineStr">
        <is>
          <t>Bar Brahma Granja - FDB Filial - Kamino</t>
        </is>
      </c>
      <c r="D311" t="n">
        <v>148</v>
      </c>
      <c r="E311" t="inlineStr">
        <is>
          <t>Bar Brahma - Granja</t>
        </is>
      </c>
      <c r="F311" s="27" t="n">
        <v>46035</v>
      </c>
      <c r="G311" t="inlineStr">
        <is>
          <t>DEBITO</t>
        </is>
      </c>
      <c r="H311" t="inlineStr">
        <is>
          <t>Horta Nova Distribuidora de Hortifruti Ltda</t>
        </is>
      </c>
      <c r="I311" t="n">
        <v>-109.4</v>
      </c>
    </row>
    <row r="312">
      <c r="A312" t="n">
        <v>232300</v>
      </c>
      <c r="B312" t="n">
        <v>164</v>
      </c>
      <c r="C312" t="inlineStr">
        <is>
          <t>Bar Brahma Granja - FDB Filial - Kamino</t>
        </is>
      </c>
      <c r="D312" t="n">
        <v>148</v>
      </c>
      <c r="E312" t="inlineStr">
        <is>
          <t>Bar Brahma - Granja</t>
        </is>
      </c>
      <c r="F312" s="27" t="n">
        <v>46035</v>
      </c>
      <c r="G312" t="inlineStr">
        <is>
          <t>DEBITO</t>
        </is>
      </c>
      <c r="H312" t="inlineStr">
        <is>
          <t>Bb Dist de Carnes Ltda</t>
        </is>
      </c>
      <c r="I312" t="n">
        <v>-399</v>
      </c>
    </row>
    <row r="313">
      <c r="A313" t="n">
        <v>232294</v>
      </c>
      <c r="B313" t="n">
        <v>164</v>
      </c>
      <c r="C313" t="inlineStr">
        <is>
          <t>Bar Brahma Granja - FDB Filial - Kamino</t>
        </is>
      </c>
      <c r="D313" t="n">
        <v>148</v>
      </c>
      <c r="E313" t="inlineStr">
        <is>
          <t>Bar Brahma - Granja</t>
        </is>
      </c>
      <c r="F313" s="27" t="n">
        <v>46035</v>
      </c>
      <c r="G313" t="inlineStr">
        <is>
          <t>DEBITO</t>
        </is>
      </c>
      <c r="H313" t="inlineStr">
        <is>
          <t>Front Bebidas Litda</t>
        </is>
      </c>
      <c r="I313" t="n">
        <v>-247.2</v>
      </c>
    </row>
    <row r="314">
      <c r="A314" t="n">
        <v>232284</v>
      </c>
      <c r="B314" t="n">
        <v>164</v>
      </c>
      <c r="C314" t="inlineStr">
        <is>
          <t>Bar Brahma Granja - FDB Filial - Kamino</t>
        </is>
      </c>
      <c r="D314" t="n">
        <v>148</v>
      </c>
      <c r="E314" t="inlineStr">
        <is>
          <t>Bar Brahma - Granja</t>
        </is>
      </c>
      <c r="F314" s="27" t="n">
        <v>46035</v>
      </c>
      <c r="G314" t="inlineStr">
        <is>
          <t>DEBITO</t>
        </is>
      </c>
      <c r="H314" t="inlineStr">
        <is>
          <t>Bb Dist de Carnes Ltda</t>
        </is>
      </c>
      <c r="I314" t="n">
        <v>-3429.96</v>
      </c>
    </row>
    <row r="315">
      <c r="A315" t="n">
        <v>232292</v>
      </c>
      <c r="B315" t="n">
        <v>164</v>
      </c>
      <c r="C315" t="inlineStr">
        <is>
          <t>Bar Brahma Granja - FDB Filial - Kamino</t>
        </is>
      </c>
      <c r="D315" t="n">
        <v>148</v>
      </c>
      <c r="E315" t="inlineStr">
        <is>
          <t>Bar Brahma - Granja</t>
        </is>
      </c>
      <c r="F315" s="27" t="n">
        <v>46035</v>
      </c>
      <c r="G315" t="inlineStr">
        <is>
          <t>DEBITO</t>
        </is>
      </c>
      <c r="H315" t="inlineStr">
        <is>
          <t>Mar Direto Poc Comercio de Peixes Ltda</t>
        </is>
      </c>
      <c r="I315" t="n">
        <v>-657.2</v>
      </c>
    </row>
    <row r="316">
      <c r="A316" t="n">
        <v>232291</v>
      </c>
      <c r="B316" t="n">
        <v>164</v>
      </c>
      <c r="C316" t="inlineStr">
        <is>
          <t>Bar Brahma Granja - FDB Filial - Kamino</t>
        </is>
      </c>
      <c r="D316" t="n">
        <v>148</v>
      </c>
      <c r="E316" t="inlineStr">
        <is>
          <t>Bar Brahma - Granja</t>
        </is>
      </c>
      <c r="F316" s="27" t="n">
        <v>46035</v>
      </c>
      <c r="G316" t="inlineStr">
        <is>
          <t>DEBITO</t>
        </is>
      </c>
      <c r="H316" t="inlineStr">
        <is>
          <t>Pss - Central da Limpeza Ltda</t>
        </is>
      </c>
      <c r="I316" t="n">
        <v>-2012.3</v>
      </c>
    </row>
    <row r="317">
      <c r="A317" t="n">
        <v>232290</v>
      </c>
      <c r="B317" t="n">
        <v>164</v>
      </c>
      <c r="C317" t="inlineStr">
        <is>
          <t>Bar Brahma Granja - FDB Filial - Kamino</t>
        </is>
      </c>
      <c r="D317" t="n">
        <v>148</v>
      </c>
      <c r="E317" t="inlineStr">
        <is>
          <t>Bar Brahma - Granja</t>
        </is>
      </c>
      <c r="F317" s="27" t="n">
        <v>46035</v>
      </c>
      <c r="G317" t="inlineStr">
        <is>
          <t>DEBITO</t>
        </is>
      </c>
      <c r="H317" t="inlineStr">
        <is>
          <t>M. Barbosa dos Santos</t>
        </is>
      </c>
      <c r="I317" t="n">
        <v>-163.5</v>
      </c>
    </row>
    <row r="318">
      <c r="A318" t="n">
        <v>232289</v>
      </c>
      <c r="B318" t="n">
        <v>164</v>
      </c>
      <c r="C318" t="inlineStr">
        <is>
          <t>Bar Brahma Granja - FDB Filial - Kamino</t>
        </is>
      </c>
      <c r="D318" t="n">
        <v>148</v>
      </c>
      <c r="E318" t="inlineStr">
        <is>
          <t>Bar Brahma - Granja</t>
        </is>
      </c>
      <c r="F318" s="27" t="n">
        <v>46035</v>
      </c>
      <c r="G318" t="inlineStr">
        <is>
          <t>DEBITO</t>
        </is>
      </c>
      <c r="H318" t="inlineStr">
        <is>
          <t>Pagseguro Internet I.P. S.A.</t>
        </is>
      </c>
      <c r="I318" t="n">
        <v>-395</v>
      </c>
    </row>
    <row r="319">
      <c r="A319" t="n">
        <v>232288</v>
      </c>
      <c r="B319" t="n">
        <v>164</v>
      </c>
      <c r="C319" t="inlineStr">
        <is>
          <t>Bar Brahma Granja - FDB Filial - Kamino</t>
        </is>
      </c>
      <c r="D319" t="n">
        <v>148</v>
      </c>
      <c r="E319" t="inlineStr">
        <is>
          <t>Bar Brahma - Granja</t>
        </is>
      </c>
      <c r="F319" s="27" t="n">
        <v>46035</v>
      </c>
      <c r="G319" t="inlineStr">
        <is>
          <t>DEBITO</t>
        </is>
      </c>
      <c r="H319" t="inlineStr">
        <is>
          <t>Gilberto Ferreira da Silva Junior</t>
        </is>
      </c>
      <c r="I319" t="n">
        <v>-800</v>
      </c>
    </row>
    <row r="320">
      <c r="A320" t="n">
        <v>232287</v>
      </c>
      <c r="B320" t="n">
        <v>164</v>
      </c>
      <c r="C320" t="inlineStr">
        <is>
          <t>Bar Brahma Granja - FDB Filial - Kamino</t>
        </is>
      </c>
      <c r="D320" t="n">
        <v>148</v>
      </c>
      <c r="E320" t="inlineStr">
        <is>
          <t>Bar Brahma - Granja</t>
        </is>
      </c>
      <c r="F320" s="27" t="n">
        <v>46035</v>
      </c>
      <c r="G320" t="inlineStr">
        <is>
          <t>DEBITO</t>
        </is>
      </c>
      <c r="H320" t="inlineStr">
        <is>
          <t>Arena Bebidas</t>
        </is>
      </c>
      <c r="I320" t="n">
        <v>-165</v>
      </c>
    </row>
    <row r="321">
      <c r="A321" t="n">
        <v>232286</v>
      </c>
      <c r="B321" t="n">
        <v>164</v>
      </c>
      <c r="C321" t="inlineStr">
        <is>
          <t>Bar Brahma Granja - FDB Filial - Kamino</t>
        </is>
      </c>
      <c r="D321" t="n">
        <v>148</v>
      </c>
      <c r="E321" t="inlineStr">
        <is>
          <t>Bar Brahma - Granja</t>
        </is>
      </c>
      <c r="F321" s="27" t="n">
        <v>46035</v>
      </c>
      <c r="G321" t="inlineStr">
        <is>
          <t>DEBITO</t>
        </is>
      </c>
      <c r="H321" t="inlineStr">
        <is>
          <t>Mario Pedro Feliciano Hortifru</t>
        </is>
      </c>
      <c r="I321" t="n">
        <v>-289.17</v>
      </c>
    </row>
    <row r="322">
      <c r="A322" t="n">
        <v>232285</v>
      </c>
      <c r="B322" t="n">
        <v>164</v>
      </c>
      <c r="C322" t="inlineStr">
        <is>
          <t>Bar Brahma Granja - FDB Filial - Kamino</t>
        </is>
      </c>
      <c r="D322" t="n">
        <v>148</v>
      </c>
      <c r="E322" t="inlineStr">
        <is>
          <t>Bar Brahma - Granja</t>
        </is>
      </c>
      <c r="F322" s="27" t="n">
        <v>46035</v>
      </c>
      <c r="G322" t="inlineStr">
        <is>
          <t>DEBITO</t>
        </is>
      </c>
      <c r="H322" t="inlineStr">
        <is>
          <t>Mario Pedro Feliciano Hortifru</t>
        </is>
      </c>
      <c r="I322" t="n">
        <v>-72.77</v>
      </c>
    </row>
    <row r="323">
      <c r="A323" t="n">
        <v>232302</v>
      </c>
      <c r="B323" t="n">
        <v>164</v>
      </c>
      <c r="C323" t="inlineStr">
        <is>
          <t>Bar Brahma Granja - FDB Filial - Kamino</t>
        </is>
      </c>
      <c r="D323" t="n">
        <v>148</v>
      </c>
      <c r="E323" t="inlineStr">
        <is>
          <t>Bar Brahma - Granja</t>
        </is>
      </c>
      <c r="F323" s="27" t="n">
        <v>46035</v>
      </c>
      <c r="G323" t="inlineStr">
        <is>
          <t>DEBITO</t>
        </is>
      </c>
      <c r="H323" t="inlineStr">
        <is>
          <t>Machine Seguranca Patrimonial Ltda</t>
        </is>
      </c>
      <c r="I323" t="n">
        <v>-190</v>
      </c>
    </row>
    <row r="324">
      <c r="A324" t="n">
        <v>232280</v>
      </c>
      <c r="B324" t="n">
        <v>164</v>
      </c>
      <c r="C324" t="inlineStr">
        <is>
          <t>Bar Brahma Granja - FDB Filial - Kamino</t>
        </is>
      </c>
      <c r="D324" t="n">
        <v>148</v>
      </c>
      <c r="E324" t="inlineStr">
        <is>
          <t>Bar Brahma - Granja</t>
        </is>
      </c>
      <c r="F324" s="27" t="n">
        <v>46035</v>
      </c>
      <c r="G324" t="inlineStr">
        <is>
          <t>CREDITO</t>
        </is>
      </c>
      <c r="H324" t="inlineStr">
        <is>
          <t>Zig Tecnologia S.A.</t>
        </is>
      </c>
      <c r="I324" t="n">
        <v>5264.95</v>
      </c>
    </row>
    <row r="325">
      <c r="A325" t="n">
        <v>232281</v>
      </c>
      <c r="B325" t="n">
        <v>164</v>
      </c>
      <c r="C325" t="inlineStr">
        <is>
          <t>Bar Brahma Granja - FDB Filial - Kamino</t>
        </is>
      </c>
      <c r="D325" t="n">
        <v>148</v>
      </c>
      <c r="E325" t="inlineStr">
        <is>
          <t>Bar Brahma - Granja</t>
        </is>
      </c>
      <c r="F325" s="27" t="n">
        <v>46035</v>
      </c>
      <c r="G325" t="inlineStr">
        <is>
          <t>DEBITO</t>
        </is>
      </c>
      <c r="H325" t="inlineStr">
        <is>
          <t>W P P C Carnes Eireli Epp</t>
        </is>
      </c>
      <c r="I325" t="n">
        <v>-2351.95</v>
      </c>
    </row>
    <row r="326">
      <c r="A326" t="n">
        <v>232335</v>
      </c>
      <c r="B326" t="n">
        <v>153</v>
      </c>
      <c r="C326" t="inlineStr">
        <is>
          <t>Bar Brahma Granja - FDB Novo - Banco do Brasil</t>
        </is>
      </c>
      <c r="D326" t="n">
        <v>148</v>
      </c>
      <c r="E326" t="inlineStr">
        <is>
          <t>Bar Brahma - Granja</t>
        </is>
      </c>
      <c r="F326" s="27" t="n">
        <v>46035</v>
      </c>
      <c r="G326" t="inlineStr">
        <is>
          <t>CREDITO</t>
        </is>
      </c>
      <c r="H326" t="inlineStr">
        <is>
          <t>RECEBIMENTO FORNECEDOR - 04.740.876/0001-25 ALELO INSTITUICAO D</t>
        </is>
      </c>
      <c r="I326" t="n">
        <v>728.74</v>
      </c>
    </row>
    <row r="327">
      <c r="A327" t="n">
        <v>232336</v>
      </c>
      <c r="B327" t="n">
        <v>153</v>
      </c>
      <c r="C327" t="inlineStr">
        <is>
          <t>Bar Brahma Granja - FDB Novo - Banco do Brasil</t>
        </is>
      </c>
      <c r="D327" t="n">
        <v>148</v>
      </c>
      <c r="E327" t="inlineStr">
        <is>
          <t>Bar Brahma - Granja</t>
        </is>
      </c>
      <c r="F327" s="27" t="n">
        <v>46035</v>
      </c>
      <c r="G327" t="inlineStr">
        <is>
          <t>CREDITO</t>
        </is>
      </c>
      <c r="H327" t="inlineStr">
        <is>
          <t>PIX - RECEBIDO - 13/01 08:28 02535864000133 VR BENEFICI</t>
        </is>
      </c>
      <c r="I327" t="n">
        <v>233.84</v>
      </c>
    </row>
    <row r="328">
      <c r="A328" t="n">
        <v>232282</v>
      </c>
      <c r="B328" t="n">
        <v>164</v>
      </c>
      <c r="C328" t="inlineStr">
        <is>
          <t>Bar Brahma Granja - FDB Filial - Kamino</t>
        </is>
      </c>
      <c r="D328" t="n">
        <v>148</v>
      </c>
      <c r="E328" t="inlineStr">
        <is>
          <t>Bar Brahma - Granja</t>
        </is>
      </c>
      <c r="F328" s="27" t="n">
        <v>46035</v>
      </c>
      <c r="G328" t="inlineStr">
        <is>
          <t>DEBITO</t>
        </is>
      </c>
      <c r="H328" t="inlineStr">
        <is>
          <t>Cia do Whisky</t>
        </is>
      </c>
      <c r="I328" t="n">
        <v>-657.5</v>
      </c>
    </row>
    <row r="329">
      <c r="A329" t="n">
        <v>232283</v>
      </c>
      <c r="B329" t="n">
        <v>164</v>
      </c>
      <c r="C329" t="inlineStr">
        <is>
          <t>Bar Brahma Granja - FDB Filial - Kamino</t>
        </is>
      </c>
      <c r="D329" t="n">
        <v>148</v>
      </c>
      <c r="E329" t="inlineStr">
        <is>
          <t>Bar Brahma - Granja</t>
        </is>
      </c>
      <c r="F329" s="27" t="n">
        <v>46035</v>
      </c>
      <c r="G329" t="inlineStr">
        <is>
          <t>DEBITO</t>
        </is>
      </c>
      <c r="H329" t="inlineStr">
        <is>
          <t>Eau Distribuidora a M Ltda</t>
        </is>
      </c>
      <c r="I329" t="n">
        <v>-272.1</v>
      </c>
    </row>
    <row r="330">
      <c r="A330" t="n">
        <v>232343</v>
      </c>
      <c r="B330" t="n">
        <v>148</v>
      </c>
      <c r="C330" t="inlineStr">
        <is>
          <t>Bar Brahma Granja - Tutum Filial - Kamino</t>
        </is>
      </c>
      <c r="D330" t="n">
        <v>148</v>
      </c>
      <c r="E330" t="inlineStr">
        <is>
          <t>Bar Brahma - Granja</t>
        </is>
      </c>
      <c r="F330" s="27" t="n">
        <v>46035</v>
      </c>
      <c r="G330" t="inlineStr">
        <is>
          <t>CREDITO</t>
        </is>
      </c>
      <c r="H330" t="inlineStr">
        <is>
          <t>FDB BAR NOVO COMERCIO E EVENTOS LTDA</t>
        </is>
      </c>
      <c r="I330" t="n">
        <v>7500</v>
      </c>
    </row>
    <row r="331">
      <c r="A331" t="n">
        <v>232344</v>
      </c>
      <c r="B331" t="n">
        <v>148</v>
      </c>
      <c r="C331" t="inlineStr">
        <is>
          <t>Bar Brahma Granja - Tutum Filial - Kamino</t>
        </is>
      </c>
      <c r="D331" t="n">
        <v>148</v>
      </c>
      <c r="E331" t="inlineStr">
        <is>
          <t>Bar Brahma - Granja</t>
        </is>
      </c>
      <c r="F331" s="27" t="n">
        <v>46035</v>
      </c>
      <c r="G331" t="inlineStr">
        <is>
          <t>DEBITO</t>
        </is>
      </c>
      <c r="H331" t="inlineStr">
        <is>
          <t>Nilza Vanderley Borges Vicentini 06444183898</t>
        </is>
      </c>
      <c r="I331" t="n">
        <v>-2500</v>
      </c>
    </row>
    <row r="332">
      <c r="A332" t="n">
        <v>232345</v>
      </c>
      <c r="B332" t="n">
        <v>148</v>
      </c>
      <c r="C332" t="inlineStr">
        <is>
          <t>Bar Brahma Granja - Tutum Filial - Kamino</t>
        </is>
      </c>
      <c r="D332" t="n">
        <v>148</v>
      </c>
      <c r="E332" t="inlineStr">
        <is>
          <t>Bar Brahma - Granja</t>
        </is>
      </c>
      <c r="F332" s="27" t="n">
        <v>46035</v>
      </c>
      <c r="G332" t="inlineStr">
        <is>
          <t>DEBITO</t>
        </is>
      </c>
      <c r="H332" t="inlineStr">
        <is>
          <t>Erika de Paula Alves Novaes</t>
        </is>
      </c>
      <c r="I332" t="n">
        <v>-5000</v>
      </c>
    </row>
    <row r="333">
      <c r="A333" t="n">
        <v>232306</v>
      </c>
      <c r="B333" t="n">
        <v>164</v>
      </c>
      <c r="C333" t="inlineStr">
        <is>
          <t>Bar Brahma Granja - FDB Filial - Kamino</t>
        </is>
      </c>
      <c r="D333" t="n">
        <v>148</v>
      </c>
      <c r="E333" t="inlineStr">
        <is>
          <t>Bar Brahma - Granja</t>
        </is>
      </c>
      <c r="F333" s="27" t="n">
        <v>46035</v>
      </c>
      <c r="G333" t="inlineStr">
        <is>
          <t>DEBITO</t>
        </is>
      </c>
      <c r="H333" t="inlineStr">
        <is>
          <t>Tutum Filial Granja</t>
        </is>
      </c>
      <c r="I333" t="n">
        <v>-7500</v>
      </c>
    </row>
    <row r="334">
      <c r="A334" t="n">
        <v>232305</v>
      </c>
      <c r="B334" t="n">
        <v>164</v>
      </c>
      <c r="C334" t="inlineStr">
        <is>
          <t>Bar Brahma Granja - FDB Filial - Kamino</t>
        </is>
      </c>
      <c r="D334" t="n">
        <v>148</v>
      </c>
      <c r="E334" t="inlineStr">
        <is>
          <t>Bar Brahma - Granja</t>
        </is>
      </c>
      <c r="F334" s="27" t="n">
        <v>46035</v>
      </c>
      <c r="G334" t="inlineStr">
        <is>
          <t>DEBITO</t>
        </is>
      </c>
      <c r="H334" t="inlineStr">
        <is>
          <t>Horta Nova Distribuidora de Hortifruti Ltda</t>
        </is>
      </c>
      <c r="I334" t="n">
        <v>-114.82</v>
      </c>
    </row>
    <row r="335">
      <c r="A335" t="n">
        <v>232304</v>
      </c>
      <c r="B335" t="n">
        <v>164</v>
      </c>
      <c r="C335" t="inlineStr">
        <is>
          <t>Bar Brahma Granja - FDB Filial - Kamino</t>
        </is>
      </c>
      <c r="D335" t="n">
        <v>148</v>
      </c>
      <c r="E335" t="inlineStr">
        <is>
          <t>Bar Brahma - Granja</t>
        </is>
      </c>
      <c r="F335" s="27" t="n">
        <v>46035</v>
      </c>
      <c r="G335" t="inlineStr">
        <is>
          <t>DEBITO</t>
        </is>
      </c>
      <c r="H335" t="inlineStr">
        <is>
          <t>Cia do Whisky</t>
        </is>
      </c>
      <c r="I335" t="n">
        <v>-262.7</v>
      </c>
    </row>
    <row r="336">
      <c r="A336" t="n">
        <v>232303</v>
      </c>
      <c r="B336" t="n">
        <v>164</v>
      </c>
      <c r="C336" t="inlineStr">
        <is>
          <t>Bar Brahma Granja - FDB Filial - Kamino</t>
        </is>
      </c>
      <c r="D336" t="n">
        <v>148</v>
      </c>
      <c r="E336" t="inlineStr">
        <is>
          <t>Bar Brahma - Granja</t>
        </is>
      </c>
      <c r="F336" s="27" t="n">
        <v>46035</v>
      </c>
      <c r="G336" t="inlineStr">
        <is>
          <t>DEBITO</t>
        </is>
      </c>
      <c r="H336" t="inlineStr">
        <is>
          <t>Cia do Whisky</t>
        </is>
      </c>
      <c r="I336" t="n">
        <v>-4085.77</v>
      </c>
    </row>
    <row r="337">
      <c r="A337" t="n">
        <v>232301</v>
      </c>
      <c r="B337" t="n">
        <v>164</v>
      </c>
      <c r="C337" t="inlineStr">
        <is>
          <t>Bar Brahma Granja - FDB Filial - Kamino</t>
        </is>
      </c>
      <c r="D337" t="n">
        <v>148</v>
      </c>
      <c r="E337" t="inlineStr">
        <is>
          <t>Bar Brahma - Granja</t>
        </is>
      </c>
      <c r="F337" s="27" t="n">
        <v>46035</v>
      </c>
      <c r="G337" t="inlineStr">
        <is>
          <t>DEBITO</t>
        </is>
      </c>
      <c r="H337" t="inlineStr">
        <is>
          <t>Rubens Oliveira Andrade da Silva</t>
        </is>
      </c>
      <c r="I337" t="n">
        <v>-6000</v>
      </c>
    </row>
    <row r="338">
      <c r="A338" t="n">
        <v>239721</v>
      </c>
      <c r="B338" t="n">
        <v>187</v>
      </c>
      <c r="C338" t="inlineStr">
        <is>
          <t>Bar Brahma Granja - FDB Novo - Caixa</t>
        </is>
      </c>
      <c r="D338" t="n">
        <v>148</v>
      </c>
      <c r="E338" t="inlineStr">
        <is>
          <t>Bar Brahma - Granja</t>
        </is>
      </c>
      <c r="F338" s="27" t="n">
        <v>46034.625</v>
      </c>
      <c r="G338" t="inlineStr">
        <is>
          <t>DEBITO</t>
        </is>
      </c>
      <c r="H338" t="inlineStr">
        <is>
          <t>DB T CESTA</t>
        </is>
      </c>
      <c r="I338" t="n">
        <v>-125</v>
      </c>
    </row>
    <row r="339">
      <c r="A339" t="n">
        <v>232271</v>
      </c>
      <c r="B339" t="n">
        <v>164</v>
      </c>
      <c r="C339" t="inlineStr">
        <is>
          <t>Bar Brahma Granja - FDB Filial - Kamino</t>
        </is>
      </c>
      <c r="D339" t="n">
        <v>148</v>
      </c>
      <c r="E339" t="inlineStr">
        <is>
          <t>Bar Brahma - Granja</t>
        </is>
      </c>
      <c r="F339" s="27" t="n">
        <v>46034</v>
      </c>
      <c r="G339" t="inlineStr">
        <is>
          <t>DEBITO</t>
        </is>
      </c>
      <c r="H339" t="inlineStr">
        <is>
          <t>Mario Pedro Feliciano Hortifru</t>
        </is>
      </c>
      <c r="I339" t="n">
        <v>-222.8</v>
      </c>
    </row>
    <row r="340">
      <c r="A340" t="n">
        <v>232266</v>
      </c>
      <c r="B340" t="n">
        <v>164</v>
      </c>
      <c r="C340" t="inlineStr">
        <is>
          <t>Bar Brahma Granja - FDB Filial - Kamino</t>
        </is>
      </c>
      <c r="D340" t="n">
        <v>148</v>
      </c>
      <c r="E340" t="inlineStr">
        <is>
          <t>Bar Brahma - Granja</t>
        </is>
      </c>
      <c r="F340" s="27" t="n">
        <v>46034</v>
      </c>
      <c r="G340" t="inlineStr">
        <is>
          <t>DEBITO</t>
        </is>
      </c>
      <c r="H340" t="inlineStr">
        <is>
          <t>Marcos Silva do Nascimento 00753897547</t>
        </is>
      </c>
      <c r="I340" t="n">
        <v>-643.77</v>
      </c>
    </row>
    <row r="341">
      <c r="A341" t="n">
        <v>232267</v>
      </c>
      <c r="B341" t="n">
        <v>164</v>
      </c>
      <c r="C341" t="inlineStr">
        <is>
          <t>Bar Brahma Granja - FDB Filial - Kamino</t>
        </is>
      </c>
      <c r="D341" t="n">
        <v>148</v>
      </c>
      <c r="E341" t="inlineStr">
        <is>
          <t>Bar Brahma - Granja</t>
        </is>
      </c>
      <c r="F341" s="27" t="n">
        <v>46034</v>
      </c>
      <c r="G341" t="inlineStr">
        <is>
          <t>DEBITO</t>
        </is>
      </c>
      <c r="H341" t="inlineStr">
        <is>
          <t>Ad Zupa Comercial - Eireli</t>
        </is>
      </c>
      <c r="I341" t="n">
        <v>-2900</v>
      </c>
    </row>
    <row r="342">
      <c r="A342" t="n">
        <v>232268</v>
      </c>
      <c r="B342" t="n">
        <v>164</v>
      </c>
      <c r="C342" t="inlineStr">
        <is>
          <t>Bar Brahma Granja - FDB Filial - Kamino</t>
        </is>
      </c>
      <c r="D342" t="n">
        <v>148</v>
      </c>
      <c r="E342" t="inlineStr">
        <is>
          <t>Bar Brahma - Granja</t>
        </is>
      </c>
      <c r="F342" s="27" t="n">
        <v>46034</v>
      </c>
      <c r="G342" t="inlineStr">
        <is>
          <t>DEBITO</t>
        </is>
      </c>
      <c r="H342" t="inlineStr">
        <is>
          <t>Deolinda dos Santos Freitas</t>
        </is>
      </c>
      <c r="I342" t="n">
        <v>-464.08</v>
      </c>
    </row>
    <row r="343">
      <c r="A343" t="n">
        <v>232269</v>
      </c>
      <c r="B343" t="n">
        <v>164</v>
      </c>
      <c r="C343" t="inlineStr">
        <is>
          <t>Bar Brahma Granja - FDB Filial - Kamino</t>
        </is>
      </c>
      <c r="D343" t="n">
        <v>148</v>
      </c>
      <c r="E343" t="inlineStr">
        <is>
          <t>Bar Brahma - Granja</t>
        </is>
      </c>
      <c r="F343" s="27" t="n">
        <v>46034</v>
      </c>
      <c r="G343" t="inlineStr">
        <is>
          <t>DEBITO</t>
        </is>
      </c>
      <c r="H343" t="inlineStr">
        <is>
          <t>Stemme Telecomunicacoes do Brasil Ltda.</t>
        </is>
      </c>
      <c r="I343" t="n">
        <v>-249.9</v>
      </c>
    </row>
    <row r="344">
      <c r="A344" t="n">
        <v>232270</v>
      </c>
      <c r="B344" t="n">
        <v>164</v>
      </c>
      <c r="C344" t="inlineStr">
        <is>
          <t>Bar Brahma Granja - FDB Filial - Kamino</t>
        </is>
      </c>
      <c r="D344" t="n">
        <v>148</v>
      </c>
      <c r="E344" t="inlineStr">
        <is>
          <t>Bar Brahma - Granja</t>
        </is>
      </c>
      <c r="F344" s="27" t="n">
        <v>46034</v>
      </c>
      <c r="G344" t="inlineStr">
        <is>
          <t>DEBITO</t>
        </is>
      </c>
      <c r="H344" t="inlineStr">
        <is>
          <t>Cecilia Tsuyaco Araki Silva Ltda</t>
        </is>
      </c>
      <c r="I344" t="n">
        <v>-245.13</v>
      </c>
    </row>
    <row r="345">
      <c r="A345" t="n">
        <v>232258</v>
      </c>
      <c r="B345" t="n">
        <v>164</v>
      </c>
      <c r="C345" t="inlineStr">
        <is>
          <t>Bar Brahma Granja - FDB Filial - Kamino</t>
        </is>
      </c>
      <c r="D345" t="n">
        <v>148</v>
      </c>
      <c r="E345" t="inlineStr">
        <is>
          <t>Bar Brahma - Granja</t>
        </is>
      </c>
      <c r="F345" s="27" t="n">
        <v>46034</v>
      </c>
      <c r="G345" t="inlineStr">
        <is>
          <t>CREDITO</t>
        </is>
      </c>
      <c r="H345" t="inlineStr">
        <is>
          <t>Zig Tecnologia S.A.</t>
        </is>
      </c>
      <c r="I345" t="n">
        <v>98005.73</v>
      </c>
    </row>
    <row r="346">
      <c r="A346" t="n">
        <v>232265</v>
      </c>
      <c r="B346" t="n">
        <v>164</v>
      </c>
      <c r="C346" t="inlineStr">
        <is>
          <t>Bar Brahma Granja - FDB Filial - Kamino</t>
        </is>
      </c>
      <c r="D346" t="n">
        <v>148</v>
      </c>
      <c r="E346" t="inlineStr">
        <is>
          <t>Bar Brahma - Granja</t>
        </is>
      </c>
      <c r="F346" s="27" t="n">
        <v>46034</v>
      </c>
      <c r="G346" t="inlineStr">
        <is>
          <t>DEBITO</t>
        </is>
      </c>
      <c r="H346" t="inlineStr">
        <is>
          <t>Bb Dist de Carnes Ltda</t>
        </is>
      </c>
      <c r="I346" t="n">
        <v>-2494.8</v>
      </c>
    </row>
    <row r="347">
      <c r="A347" t="n">
        <v>232264</v>
      </c>
      <c r="B347" t="n">
        <v>164</v>
      </c>
      <c r="C347" t="inlineStr">
        <is>
          <t>Bar Brahma Granja - FDB Filial - Kamino</t>
        </is>
      </c>
      <c r="D347" t="n">
        <v>148</v>
      </c>
      <c r="E347" t="inlineStr">
        <is>
          <t>Bar Brahma - Granja</t>
        </is>
      </c>
      <c r="F347" s="27" t="n">
        <v>46034</v>
      </c>
      <c r="G347" t="inlineStr">
        <is>
          <t>DEBITO</t>
        </is>
      </c>
      <c r="H347" t="inlineStr">
        <is>
          <t>Mario Pedro Feliciano Hortifru</t>
        </is>
      </c>
      <c r="I347" t="n">
        <v>-170.12</v>
      </c>
    </row>
    <row r="348">
      <c r="A348" t="n">
        <v>232263</v>
      </c>
      <c r="B348" t="n">
        <v>164</v>
      </c>
      <c r="C348" t="inlineStr">
        <is>
          <t>Bar Brahma Granja - FDB Filial - Kamino</t>
        </is>
      </c>
      <c r="D348" t="n">
        <v>148</v>
      </c>
      <c r="E348" t="inlineStr">
        <is>
          <t>Bar Brahma - Granja</t>
        </is>
      </c>
      <c r="F348" s="27" t="n">
        <v>46034</v>
      </c>
      <c r="G348" t="inlineStr">
        <is>
          <t>DEBITO</t>
        </is>
      </c>
      <c r="H348" t="inlineStr">
        <is>
          <t>Horta Nova Distribuidora de Hortifruti Ltda</t>
        </is>
      </c>
      <c r="I348" t="n">
        <v>-348.41</v>
      </c>
    </row>
    <row r="349">
      <c r="A349" t="n">
        <v>232262</v>
      </c>
      <c r="B349" t="n">
        <v>164</v>
      </c>
      <c r="C349" t="inlineStr">
        <is>
          <t>Bar Brahma Granja - FDB Filial - Kamino</t>
        </is>
      </c>
      <c r="D349" t="n">
        <v>148</v>
      </c>
      <c r="E349" t="inlineStr">
        <is>
          <t>Bar Brahma - Granja</t>
        </is>
      </c>
      <c r="F349" s="27" t="n">
        <v>46034</v>
      </c>
      <c r="G349" t="inlineStr">
        <is>
          <t>DEBITO</t>
        </is>
      </c>
      <c r="H349" t="inlineStr">
        <is>
          <t>Preshh Bar Ltda</t>
        </is>
      </c>
      <c r="I349" t="n">
        <v>-383.4</v>
      </c>
    </row>
    <row r="350">
      <c r="A350" t="n">
        <v>232261</v>
      </c>
      <c r="B350" t="n">
        <v>164</v>
      </c>
      <c r="C350" t="inlineStr">
        <is>
          <t>Bar Brahma Granja - FDB Filial - Kamino</t>
        </is>
      </c>
      <c r="D350" t="n">
        <v>148</v>
      </c>
      <c r="E350" t="inlineStr">
        <is>
          <t>Bar Brahma - Granja</t>
        </is>
      </c>
      <c r="F350" s="27" t="n">
        <v>46034</v>
      </c>
      <c r="G350" t="inlineStr">
        <is>
          <t>DEBITO</t>
        </is>
      </c>
      <c r="H350" t="inlineStr">
        <is>
          <t>Arena Bebidas</t>
        </is>
      </c>
      <c r="I350" t="n">
        <v>-872.73</v>
      </c>
    </row>
    <row r="351">
      <c r="A351" t="n">
        <v>232260</v>
      </c>
      <c r="B351" t="n">
        <v>164</v>
      </c>
      <c r="C351" t="inlineStr">
        <is>
          <t>Bar Brahma Granja - FDB Filial - Kamino</t>
        </is>
      </c>
      <c r="D351" t="n">
        <v>148</v>
      </c>
      <c r="E351" t="inlineStr">
        <is>
          <t>Bar Brahma - Granja</t>
        </is>
      </c>
      <c r="F351" s="27" t="n">
        <v>46034</v>
      </c>
      <c r="G351" t="inlineStr">
        <is>
          <t>DEBITO</t>
        </is>
      </c>
      <c r="H351" t="inlineStr">
        <is>
          <t>Trilha do Pao</t>
        </is>
      </c>
      <c r="I351" t="n">
        <v>-3058.14</v>
      </c>
    </row>
    <row r="352">
      <c r="A352" t="n">
        <v>232259</v>
      </c>
      <c r="B352" t="n">
        <v>164</v>
      </c>
      <c r="C352" t="inlineStr">
        <is>
          <t>Bar Brahma Granja - FDB Filial - Kamino</t>
        </is>
      </c>
      <c r="D352" t="n">
        <v>148</v>
      </c>
      <c r="E352" t="inlineStr">
        <is>
          <t>Bar Brahma - Granja</t>
        </is>
      </c>
      <c r="F352" s="27" t="n">
        <v>46034</v>
      </c>
      <c r="G352" t="inlineStr">
        <is>
          <t>DEBITO</t>
        </is>
      </c>
      <c r="H352" t="inlineStr">
        <is>
          <t>Pdo Alimentos e Comercio Ltda</t>
        </is>
      </c>
      <c r="I352" t="n">
        <v>-161.88</v>
      </c>
    </row>
    <row r="353">
      <c r="A353" t="n">
        <v>232272</v>
      </c>
      <c r="B353" t="n">
        <v>164</v>
      </c>
      <c r="C353" t="inlineStr">
        <is>
          <t>Bar Brahma Granja - FDB Filial - Kamino</t>
        </is>
      </c>
      <c r="D353" t="n">
        <v>148</v>
      </c>
      <c r="E353" t="inlineStr">
        <is>
          <t>Bar Brahma - Granja</t>
        </is>
      </c>
      <c r="F353" s="27" t="n">
        <v>46034</v>
      </c>
      <c r="G353" t="inlineStr">
        <is>
          <t>DEBITO</t>
        </is>
      </c>
      <c r="H353" t="inlineStr">
        <is>
          <t>Dio Mio Gelato</t>
        </is>
      </c>
      <c r="I353" t="n">
        <v>-584.96</v>
      </c>
    </row>
    <row r="354">
      <c r="A354" t="n">
        <v>232273</v>
      </c>
      <c r="B354" t="n">
        <v>164</v>
      </c>
      <c r="C354" t="inlineStr">
        <is>
          <t>Bar Brahma Granja - FDB Filial - Kamino</t>
        </is>
      </c>
      <c r="D354" t="n">
        <v>148</v>
      </c>
      <c r="E354" t="inlineStr">
        <is>
          <t>Bar Brahma - Granja</t>
        </is>
      </c>
      <c r="F354" s="27" t="n">
        <v>46034</v>
      </c>
      <c r="G354" t="inlineStr">
        <is>
          <t>DEBITO</t>
        </is>
      </c>
      <c r="H354" t="inlineStr">
        <is>
          <t>Horta Nova Distribuidora de Hortifruti Ltda</t>
        </is>
      </c>
      <c r="I354" t="n">
        <v>-114.26</v>
      </c>
    </row>
    <row r="355">
      <c r="A355" t="n">
        <v>232274</v>
      </c>
      <c r="B355" t="n">
        <v>164</v>
      </c>
      <c r="C355" t="inlineStr">
        <is>
          <t>Bar Brahma Granja - FDB Filial - Kamino</t>
        </is>
      </c>
      <c r="D355" t="n">
        <v>148</v>
      </c>
      <c r="E355" t="inlineStr">
        <is>
          <t>Bar Brahma - Granja</t>
        </is>
      </c>
      <c r="F355" s="27" t="n">
        <v>46034</v>
      </c>
      <c r="G355" t="inlineStr">
        <is>
          <t>DEBITO</t>
        </is>
      </c>
      <c r="H355" t="inlineStr">
        <is>
          <t>Deolinda dos Santos Freitas</t>
        </is>
      </c>
      <c r="I355" t="n">
        <v>-480.19</v>
      </c>
    </row>
    <row r="356">
      <c r="A356" t="n">
        <v>232275</v>
      </c>
      <c r="B356" t="n">
        <v>164</v>
      </c>
      <c r="C356" t="inlineStr">
        <is>
          <t>Bar Brahma Granja - FDB Filial - Kamino</t>
        </is>
      </c>
      <c r="D356" t="n">
        <v>148</v>
      </c>
      <c r="E356" t="inlineStr">
        <is>
          <t>Bar Brahma - Granja</t>
        </is>
      </c>
      <c r="F356" s="27" t="n">
        <v>46034</v>
      </c>
      <c r="G356" t="inlineStr">
        <is>
          <t>DEBITO</t>
        </is>
      </c>
      <c r="H356" t="inlineStr">
        <is>
          <t>Eshows Promocoes Artisticas Ltda</t>
        </is>
      </c>
      <c r="I356" t="n">
        <v>-10550</v>
      </c>
    </row>
    <row r="357">
      <c r="A357" t="n">
        <v>232276</v>
      </c>
      <c r="B357" t="n">
        <v>164</v>
      </c>
      <c r="C357" t="inlineStr">
        <is>
          <t>Bar Brahma Granja - FDB Filial - Kamino</t>
        </is>
      </c>
      <c r="D357" t="n">
        <v>148</v>
      </c>
      <c r="E357" t="inlineStr">
        <is>
          <t>Bar Brahma - Granja</t>
        </is>
      </c>
      <c r="F357" s="27" t="n">
        <v>46034</v>
      </c>
      <c r="G357" t="inlineStr">
        <is>
          <t>DEBITO</t>
        </is>
      </c>
      <c r="H357" t="inlineStr">
        <is>
          <t>Trilha do Pao</t>
        </is>
      </c>
      <c r="I357" t="n">
        <v>-1090.66</v>
      </c>
    </row>
    <row r="358">
      <c r="A358" t="n">
        <v>232277</v>
      </c>
      <c r="B358" t="n">
        <v>164</v>
      </c>
      <c r="C358" t="inlineStr">
        <is>
          <t>Bar Brahma Granja - FDB Filial - Kamino</t>
        </is>
      </c>
      <c r="D358" t="n">
        <v>148</v>
      </c>
      <c r="E358" t="inlineStr">
        <is>
          <t>Bar Brahma - Granja</t>
        </is>
      </c>
      <c r="F358" s="27" t="n">
        <v>46034</v>
      </c>
      <c r="G358" t="inlineStr">
        <is>
          <t>DEBITO</t>
        </is>
      </c>
      <c r="H358" t="inlineStr">
        <is>
          <t>M. Barbosa dos Santos</t>
        </is>
      </c>
      <c r="I358" t="n">
        <v>-259.29</v>
      </c>
    </row>
    <row r="359">
      <c r="A359" t="n">
        <v>232278</v>
      </c>
      <c r="B359" t="n">
        <v>164</v>
      </c>
      <c r="C359" t="inlineStr">
        <is>
          <t>Bar Brahma Granja - FDB Filial - Kamino</t>
        </is>
      </c>
      <c r="D359" t="n">
        <v>148</v>
      </c>
      <c r="E359" t="inlineStr">
        <is>
          <t>Bar Brahma - Granja</t>
        </is>
      </c>
      <c r="F359" s="27" t="n">
        <v>46034</v>
      </c>
      <c r="G359" t="inlineStr">
        <is>
          <t>DEBITO</t>
        </is>
      </c>
      <c r="H359" t="inlineStr">
        <is>
          <t>Eau Distribuidora a M Ltda</t>
        </is>
      </c>
      <c r="I359" t="n">
        <v>-590.1</v>
      </c>
    </row>
    <row r="360">
      <c r="A360" t="n">
        <v>232279</v>
      </c>
      <c r="B360" t="n">
        <v>164</v>
      </c>
      <c r="C360" t="inlineStr">
        <is>
          <t>Bar Brahma Granja - FDB Filial - Kamino</t>
        </is>
      </c>
      <c r="D360" t="n">
        <v>148</v>
      </c>
      <c r="E360" t="inlineStr">
        <is>
          <t>Bar Brahma - Granja</t>
        </is>
      </c>
      <c r="F360" s="27" t="n">
        <v>46034</v>
      </c>
      <c r="G360" t="inlineStr">
        <is>
          <t>DEBITO</t>
        </is>
      </c>
      <c r="H360" t="inlineStr">
        <is>
          <t>Tutum Filial Granja</t>
        </is>
      </c>
      <c r="I360" t="n">
        <v>-800</v>
      </c>
    </row>
    <row r="361">
      <c r="A361" t="n">
        <v>232342</v>
      </c>
      <c r="B361" t="n">
        <v>148</v>
      </c>
      <c r="C361" t="inlineStr">
        <is>
          <t>Bar Brahma Granja - Tutum Filial - Kamino</t>
        </is>
      </c>
      <c r="D361" t="n">
        <v>148</v>
      </c>
      <c r="E361" t="inlineStr">
        <is>
          <t>Bar Brahma - Granja</t>
        </is>
      </c>
      <c r="F361" s="27" t="n">
        <v>46034</v>
      </c>
      <c r="G361" t="inlineStr">
        <is>
          <t>DEBITO</t>
        </is>
      </c>
      <c r="H361" t="inlineStr">
        <is>
          <t>Sindicato dos Empregados no Comercio Hot</t>
        </is>
      </c>
      <c r="I361" t="n">
        <v>-741</v>
      </c>
    </row>
    <row r="362">
      <c r="A362" t="n">
        <v>232341</v>
      </c>
      <c r="B362" t="n">
        <v>148</v>
      </c>
      <c r="C362" t="inlineStr">
        <is>
          <t>Bar Brahma Granja - Tutum Filial - Kamino</t>
        </is>
      </c>
      <c r="D362" t="n">
        <v>148</v>
      </c>
      <c r="E362" t="inlineStr">
        <is>
          <t>Bar Brahma - Granja</t>
        </is>
      </c>
      <c r="F362" s="27" t="n">
        <v>46034</v>
      </c>
      <c r="G362" t="inlineStr">
        <is>
          <t>CREDITO</t>
        </is>
      </c>
      <c r="H362" t="inlineStr">
        <is>
          <t>FDB BAR NOVO COMERCIO E EVENTOS LTDA</t>
        </is>
      </c>
      <c r="I362" t="n">
        <v>800</v>
      </c>
    </row>
    <row r="363">
      <c r="A363" t="n">
        <v>232334</v>
      </c>
      <c r="B363" t="n">
        <v>153</v>
      </c>
      <c r="C363" t="inlineStr">
        <is>
          <t>Bar Brahma Granja - FDB Novo - Banco do Brasil</t>
        </is>
      </c>
      <c r="D363" t="n">
        <v>148</v>
      </c>
      <c r="E363" t="inlineStr">
        <is>
          <t>Bar Brahma - Granja</t>
        </is>
      </c>
      <c r="F363" s="27" t="n">
        <v>46034</v>
      </c>
      <c r="G363" t="inlineStr">
        <is>
          <t>DEBITO</t>
        </is>
      </c>
      <c r="H363" t="inlineStr">
        <is>
          <t>TARIFA PACOTE DE SERVIOS - COBRANA REFERENTE 12/01/2026</t>
        </is>
      </c>
      <c r="I363" t="n">
        <v>-62.45</v>
      </c>
    </row>
    <row r="364">
      <c r="A364" t="n">
        <v>232333</v>
      </c>
      <c r="B364" t="n">
        <v>153</v>
      </c>
      <c r="C364" t="inlineStr">
        <is>
          <t>Bar Brahma Granja - FDB Novo - Banco do Brasil</t>
        </is>
      </c>
      <c r="D364" t="n">
        <v>148</v>
      </c>
      <c r="E364" t="inlineStr">
        <is>
          <t>Bar Brahma - Granja</t>
        </is>
      </c>
      <c r="F364" s="27" t="n">
        <v>46034</v>
      </c>
      <c r="G364" t="inlineStr">
        <is>
          <t>CREDITO</t>
        </is>
      </c>
      <c r="H364" t="inlineStr">
        <is>
          <t>TED-CRDITO EM CONTA - 341 0262 47866934000174 TICKET SERVICO</t>
        </is>
      </c>
      <c r="I364" t="n">
        <v>2356.92</v>
      </c>
    </row>
    <row r="365">
      <c r="A365" t="n">
        <v>232332</v>
      </c>
      <c r="B365" t="n">
        <v>153</v>
      </c>
      <c r="C365" t="inlineStr">
        <is>
          <t>Bar Brahma Granja - FDB Novo - Banco do Brasil</t>
        </is>
      </c>
      <c r="D365" t="n">
        <v>148</v>
      </c>
      <c r="E365" t="inlineStr">
        <is>
          <t>Bar Brahma - Granja</t>
        </is>
      </c>
      <c r="F365" s="27" t="n">
        <v>46034</v>
      </c>
      <c r="G365" t="inlineStr">
        <is>
          <t>CREDITO</t>
        </is>
      </c>
      <c r="H365" t="inlineStr">
        <is>
          <t>RECEBIMENTO FORNECEDOR - 04.740.876/0001-25 ALELO INSTITUICAO D</t>
        </is>
      </c>
      <c r="I365" t="n">
        <v>2055.44</v>
      </c>
    </row>
    <row r="366">
      <c r="A366" t="n">
        <v>232331</v>
      </c>
      <c r="B366" t="n">
        <v>153</v>
      </c>
      <c r="C366" t="inlineStr">
        <is>
          <t>Bar Brahma Granja - FDB Novo - Banco do Brasil</t>
        </is>
      </c>
      <c r="D366" t="n">
        <v>148</v>
      </c>
      <c r="E366" t="inlineStr">
        <is>
          <t>Bar Brahma - Granja</t>
        </is>
      </c>
      <c r="F366" s="27" t="n">
        <v>46031</v>
      </c>
      <c r="G366" t="inlineStr">
        <is>
          <t>CREDITO</t>
        </is>
      </c>
      <c r="H366" t="inlineStr">
        <is>
          <t>TED-CRDITO EM CONTA - 341 0912 69034668000156 PLUXEE BENEFIC</t>
        </is>
      </c>
      <c r="I366" t="n">
        <v>488.06</v>
      </c>
    </row>
    <row r="367">
      <c r="A367" t="n">
        <v>232328</v>
      </c>
      <c r="B367" t="n">
        <v>153</v>
      </c>
      <c r="C367" t="inlineStr">
        <is>
          <t>Bar Brahma Granja - FDB Novo - Banco do Brasil</t>
        </is>
      </c>
      <c r="D367" t="n">
        <v>148</v>
      </c>
      <c r="E367" t="inlineStr">
        <is>
          <t>Bar Brahma - Granja</t>
        </is>
      </c>
      <c r="F367" s="27" t="n">
        <v>46031</v>
      </c>
      <c r="G367" t="inlineStr">
        <is>
          <t>CREDITO</t>
        </is>
      </c>
      <c r="H367" t="inlineStr">
        <is>
          <t>RECEBIMENTO FORNECEDOR - 04.740.876/0001-25 ALELO INSTITUICAO D</t>
        </is>
      </c>
      <c r="I367" t="n">
        <v>148.04</v>
      </c>
    </row>
    <row r="368">
      <c r="A368" t="n">
        <v>232329</v>
      </c>
      <c r="B368" t="n">
        <v>153</v>
      </c>
      <c r="C368" t="inlineStr">
        <is>
          <t>Bar Brahma Granja - FDB Novo - Banco do Brasil</t>
        </is>
      </c>
      <c r="D368" t="n">
        <v>148</v>
      </c>
      <c r="E368" t="inlineStr">
        <is>
          <t>Bar Brahma - Granja</t>
        </is>
      </c>
      <c r="F368" s="27" t="n">
        <v>46031</v>
      </c>
      <c r="G368" t="inlineStr">
        <is>
          <t>CREDITO</t>
        </is>
      </c>
      <c r="H368" t="inlineStr">
        <is>
          <t>TED-CRDITO EM CONTA - 341 0262 47866934000174 TICKET SERVICO</t>
        </is>
      </c>
      <c r="I368" t="n">
        <v>33.12</v>
      </c>
    </row>
    <row r="369">
      <c r="A369" t="n">
        <v>232330</v>
      </c>
      <c r="B369" t="n">
        <v>153</v>
      </c>
      <c r="C369" t="inlineStr">
        <is>
          <t>Bar Brahma Granja - FDB Novo - Banco do Brasil</t>
        </is>
      </c>
      <c r="D369" t="n">
        <v>148</v>
      </c>
      <c r="E369" t="inlineStr">
        <is>
          <t>Bar Brahma - Granja</t>
        </is>
      </c>
      <c r="F369" s="27" t="n">
        <v>46031</v>
      </c>
      <c r="G369" t="inlineStr">
        <is>
          <t>CREDITO</t>
        </is>
      </c>
      <c r="H369" t="inlineStr">
        <is>
          <t>TED-CRDITO EM CONTA - 341 0912 69034668000156 PLUXEE BENEFIC</t>
        </is>
      </c>
      <c r="I369" t="n">
        <v>137.02</v>
      </c>
    </row>
    <row r="370">
      <c r="A370" t="n">
        <v>232257</v>
      </c>
      <c r="B370" t="n">
        <v>164</v>
      </c>
      <c r="C370" t="inlineStr">
        <is>
          <t>Bar Brahma Granja - FDB Filial - Kamino</t>
        </is>
      </c>
      <c r="D370" t="n">
        <v>148</v>
      </c>
      <c r="E370" t="inlineStr">
        <is>
          <t>Bar Brahma - Granja</t>
        </is>
      </c>
      <c r="F370" s="27" t="n">
        <v>46031</v>
      </c>
      <c r="G370" t="inlineStr">
        <is>
          <t>CREDITO</t>
        </is>
      </c>
      <c r="H370" t="inlineStr">
        <is>
          <t>Zig Tecnologia S.A.</t>
        </is>
      </c>
      <c r="I370" t="n">
        <v>10948.92</v>
      </c>
    </row>
    <row r="371">
      <c r="A371" t="n">
        <v>222949</v>
      </c>
      <c r="B371" t="n">
        <v>164</v>
      </c>
      <c r="C371" t="inlineStr">
        <is>
          <t>Bar Brahma Granja - FDB Filial - Kamino</t>
        </is>
      </c>
      <c r="D371" t="n">
        <v>148</v>
      </c>
      <c r="E371" t="inlineStr">
        <is>
          <t>Bar Brahma - Granja</t>
        </is>
      </c>
      <c r="F371" s="27" t="n">
        <v>46030</v>
      </c>
      <c r="G371" t="inlineStr">
        <is>
          <t>DEBITO</t>
        </is>
      </c>
      <c r="H371" t="inlineStr">
        <is>
          <t>Mario Pedro Feliciano Hortifru</t>
        </is>
      </c>
      <c r="I371" t="n">
        <v>-795.89</v>
      </c>
    </row>
    <row r="372">
      <c r="A372" t="n">
        <v>222941</v>
      </c>
      <c r="B372" t="n">
        <v>164</v>
      </c>
      <c r="C372" t="inlineStr">
        <is>
          <t>Bar Brahma Granja - FDB Filial - Kamino</t>
        </is>
      </c>
      <c r="D372" t="n">
        <v>148</v>
      </c>
      <c r="E372" t="inlineStr">
        <is>
          <t>Bar Brahma - Granja</t>
        </is>
      </c>
      <c r="F372" s="27" t="n">
        <v>46030</v>
      </c>
      <c r="G372" t="inlineStr">
        <is>
          <t>CREDITO</t>
        </is>
      </c>
      <c r="H372" t="inlineStr">
        <is>
          <t>TEMPUS FUGIT PARTICIPACOES E EMPREENDIMENTOS LTDA</t>
        </is>
      </c>
      <c r="I372" t="n">
        <v>10000</v>
      </c>
    </row>
    <row r="373">
      <c r="A373" t="n">
        <v>222942</v>
      </c>
      <c r="B373" t="n">
        <v>164</v>
      </c>
      <c r="C373" t="inlineStr">
        <is>
          <t>Bar Brahma Granja - FDB Filial - Kamino</t>
        </is>
      </c>
      <c r="D373" t="n">
        <v>148</v>
      </c>
      <c r="E373" t="inlineStr">
        <is>
          <t>Bar Brahma - Granja</t>
        </is>
      </c>
      <c r="F373" s="27" t="n">
        <v>46030</v>
      </c>
      <c r="G373" t="inlineStr">
        <is>
          <t>DEBITO</t>
        </is>
      </c>
      <c r="H373" t="inlineStr">
        <is>
          <t>PIX Marketplace</t>
        </is>
      </c>
      <c r="I373" t="n">
        <v>-85.98</v>
      </c>
    </row>
    <row r="374">
      <c r="A374" t="n">
        <v>222943</v>
      </c>
      <c r="B374" t="n">
        <v>164</v>
      </c>
      <c r="C374" t="inlineStr">
        <is>
          <t>Bar Brahma Granja - FDB Filial - Kamino</t>
        </is>
      </c>
      <c r="D374" t="n">
        <v>148</v>
      </c>
      <c r="E374" t="inlineStr">
        <is>
          <t>Bar Brahma - Granja</t>
        </is>
      </c>
      <c r="F374" s="27" t="n">
        <v>46030</v>
      </c>
      <c r="G374" t="inlineStr">
        <is>
          <t>DEBITO</t>
        </is>
      </c>
      <c r="H374" t="inlineStr">
        <is>
          <t>Ice4pros Fabrica de Gelo Ltda</t>
        </is>
      </c>
      <c r="I374" t="n">
        <v>-217.06</v>
      </c>
    </row>
    <row r="375">
      <c r="A375" t="n">
        <v>222944</v>
      </c>
      <c r="B375" t="n">
        <v>164</v>
      </c>
      <c r="C375" t="inlineStr">
        <is>
          <t>Bar Brahma Granja - FDB Filial - Kamino</t>
        </is>
      </c>
      <c r="D375" t="n">
        <v>148</v>
      </c>
      <c r="E375" t="inlineStr">
        <is>
          <t>Bar Brahma - Granja</t>
        </is>
      </c>
      <c r="F375" s="27" t="n">
        <v>46030</v>
      </c>
      <c r="G375" t="inlineStr">
        <is>
          <t>DEBITO</t>
        </is>
      </c>
      <c r="H375" t="inlineStr">
        <is>
          <t>Cecilia Tsuyaco Araki Silva Ltda</t>
        </is>
      </c>
      <c r="I375" t="n">
        <v>-519.98</v>
      </c>
    </row>
    <row r="376">
      <c r="A376" t="n">
        <v>222945</v>
      </c>
      <c r="B376" t="n">
        <v>164</v>
      </c>
      <c r="C376" t="inlineStr">
        <is>
          <t>Bar Brahma Granja - FDB Filial - Kamino</t>
        </is>
      </c>
      <c r="D376" t="n">
        <v>148</v>
      </c>
      <c r="E376" t="inlineStr">
        <is>
          <t>Bar Brahma - Granja</t>
        </is>
      </c>
      <c r="F376" s="27" t="n">
        <v>46030</v>
      </c>
      <c r="G376" t="inlineStr">
        <is>
          <t>DEBITO</t>
        </is>
      </c>
      <c r="H376" t="inlineStr">
        <is>
          <t>Cia do Whisky</t>
        </is>
      </c>
      <c r="I376" t="n">
        <v>-623.21</v>
      </c>
    </row>
    <row r="377">
      <c r="A377" t="n">
        <v>222946</v>
      </c>
      <c r="B377" t="n">
        <v>164</v>
      </c>
      <c r="C377" t="inlineStr">
        <is>
          <t>Bar Brahma Granja - FDB Filial - Kamino</t>
        </is>
      </c>
      <c r="D377" t="n">
        <v>148</v>
      </c>
      <c r="E377" t="inlineStr">
        <is>
          <t>Bar Brahma - Granja</t>
        </is>
      </c>
      <c r="F377" s="27" t="n">
        <v>46030</v>
      </c>
      <c r="G377" t="inlineStr">
        <is>
          <t>DEBITO</t>
        </is>
      </c>
      <c r="H377" t="inlineStr">
        <is>
          <t>Plasticos Segantini Eireli</t>
        </is>
      </c>
      <c r="I377" t="n">
        <v>-1567.5</v>
      </c>
    </row>
    <row r="378">
      <c r="A378" t="n">
        <v>222947</v>
      </c>
      <c r="B378" t="n">
        <v>164</v>
      </c>
      <c r="C378" t="inlineStr">
        <is>
          <t>Bar Brahma Granja - FDB Filial - Kamino</t>
        </is>
      </c>
      <c r="D378" t="n">
        <v>148</v>
      </c>
      <c r="E378" t="inlineStr">
        <is>
          <t>Bar Brahma - Granja</t>
        </is>
      </c>
      <c r="F378" s="27" t="n">
        <v>46030</v>
      </c>
      <c r="G378" t="inlineStr">
        <is>
          <t>DEBITO</t>
        </is>
      </c>
      <c r="H378" t="inlineStr">
        <is>
          <t>Marcos Silva do Nascimento 00753897547</t>
        </is>
      </c>
      <c r="I378" t="n">
        <v>-2125.18</v>
      </c>
    </row>
    <row r="379">
      <c r="A379" t="n">
        <v>222948</v>
      </c>
      <c r="B379" t="n">
        <v>164</v>
      </c>
      <c r="C379" t="inlineStr">
        <is>
          <t>Bar Brahma Granja - FDB Filial - Kamino</t>
        </is>
      </c>
      <c r="D379" t="n">
        <v>148</v>
      </c>
      <c r="E379" t="inlineStr">
        <is>
          <t>Bar Brahma - Granja</t>
        </is>
      </c>
      <c r="F379" s="27" t="n">
        <v>46030</v>
      </c>
      <c r="G379" t="inlineStr">
        <is>
          <t>DEBITO</t>
        </is>
      </c>
      <c r="H379" t="inlineStr">
        <is>
          <t>Horta Nova Distribuidora de Hortifruti Ltda</t>
        </is>
      </c>
      <c r="I379" t="n">
        <v>-125.45</v>
      </c>
    </row>
    <row r="380">
      <c r="A380" t="n">
        <v>222940</v>
      </c>
      <c r="B380" t="n">
        <v>164</v>
      </c>
      <c r="C380" t="inlineStr">
        <is>
          <t>Bar Brahma Granja - FDB Filial - Kamino</t>
        </is>
      </c>
      <c r="D380" t="n">
        <v>148</v>
      </c>
      <c r="E380" t="inlineStr">
        <is>
          <t>Bar Brahma - Granja</t>
        </is>
      </c>
      <c r="F380" s="27" t="n">
        <v>46030</v>
      </c>
      <c r="G380" t="inlineStr">
        <is>
          <t>DEBITO</t>
        </is>
      </c>
      <c r="H380" t="inlineStr">
        <is>
          <t>Arthur Alves da Silva</t>
        </is>
      </c>
      <c r="I380" t="n">
        <v>-1470</v>
      </c>
    </row>
    <row r="381">
      <c r="A381" t="n">
        <v>222950</v>
      </c>
      <c r="B381" t="n">
        <v>164</v>
      </c>
      <c r="C381" t="inlineStr">
        <is>
          <t>Bar Brahma Granja - FDB Filial - Kamino</t>
        </is>
      </c>
      <c r="D381" t="n">
        <v>148</v>
      </c>
      <c r="E381" t="inlineStr">
        <is>
          <t>Bar Brahma - Granja</t>
        </is>
      </c>
      <c r="F381" s="27" t="n">
        <v>46030</v>
      </c>
      <c r="G381" t="inlineStr">
        <is>
          <t>DEBITO</t>
        </is>
      </c>
      <c r="H381" t="inlineStr">
        <is>
          <t>Atelie Gastronomico e Utensilios Ltda</t>
        </is>
      </c>
      <c r="I381" t="n">
        <v>-224.88</v>
      </c>
    </row>
    <row r="382">
      <c r="A382" t="n">
        <v>222951</v>
      </c>
      <c r="B382" t="n">
        <v>164</v>
      </c>
      <c r="C382" t="inlineStr">
        <is>
          <t>Bar Brahma Granja - FDB Filial - Kamino</t>
        </is>
      </c>
      <c r="D382" t="n">
        <v>148</v>
      </c>
      <c r="E382" t="inlineStr">
        <is>
          <t>Bar Brahma - Granja</t>
        </is>
      </c>
      <c r="F382" s="27" t="n">
        <v>46030</v>
      </c>
      <c r="G382" t="inlineStr">
        <is>
          <t>DEBITO</t>
        </is>
      </c>
      <c r="H382" t="inlineStr">
        <is>
          <t>Cia do Whisky</t>
        </is>
      </c>
      <c r="I382" t="n">
        <v>-3300.71</v>
      </c>
    </row>
    <row r="383">
      <c r="A383" t="n">
        <v>222952</v>
      </c>
      <c r="B383" t="n">
        <v>164</v>
      </c>
      <c r="C383" t="inlineStr">
        <is>
          <t>Bar Brahma Granja - FDB Filial - Kamino</t>
        </is>
      </c>
      <c r="D383" t="n">
        <v>148</v>
      </c>
      <c r="E383" t="inlineStr">
        <is>
          <t>Bar Brahma - Granja</t>
        </is>
      </c>
      <c r="F383" s="27" t="n">
        <v>46030</v>
      </c>
      <c r="G383" t="inlineStr">
        <is>
          <t>DEBITO</t>
        </is>
      </c>
      <c r="H383" t="inlineStr">
        <is>
          <t>Cecilia Tsuyaco Araki Silva Ltda</t>
        </is>
      </c>
      <c r="I383" t="n">
        <v>-140.35</v>
      </c>
    </row>
    <row r="384">
      <c r="A384" t="n">
        <v>222957</v>
      </c>
      <c r="B384" t="n">
        <v>148</v>
      </c>
      <c r="C384" t="inlineStr">
        <is>
          <t>Bar Brahma Granja - Tutum Filial - Kamino</t>
        </is>
      </c>
      <c r="D384" t="n">
        <v>148</v>
      </c>
      <c r="E384" t="inlineStr">
        <is>
          <t>Bar Brahma - Granja</t>
        </is>
      </c>
      <c r="F384" s="27" t="n">
        <v>46030</v>
      </c>
      <c r="G384" t="inlineStr">
        <is>
          <t>CREDITO</t>
        </is>
      </c>
      <c r="H384" t="inlineStr">
        <is>
          <t>TEMPUS FUGIT PARTICIPACOES E EMPREENDIMENTOS LTDA</t>
        </is>
      </c>
      <c r="I384" t="n">
        <v>600</v>
      </c>
    </row>
    <row r="385">
      <c r="A385" t="n">
        <v>222954</v>
      </c>
      <c r="B385" t="n">
        <v>153</v>
      </c>
      <c r="C385" t="inlineStr">
        <is>
          <t>Bar Brahma Granja - FDB Novo - Banco do Brasil</t>
        </is>
      </c>
      <c r="D385" t="n">
        <v>148</v>
      </c>
      <c r="E385" t="inlineStr">
        <is>
          <t>Bar Brahma - Granja</t>
        </is>
      </c>
      <c r="F385" s="27" t="n">
        <v>46030</v>
      </c>
      <c r="G385" t="inlineStr">
        <is>
          <t>CREDITO</t>
        </is>
      </c>
      <c r="H385" t="inlineStr">
        <is>
          <t>RECEBIMENTO FORNECEDOR - 04.740.876/0001-25 ALELO INSTITUICAO D</t>
        </is>
      </c>
      <c r="I385" t="n">
        <v>105.38</v>
      </c>
    </row>
    <row r="386">
      <c r="A386" t="n">
        <v>222955</v>
      </c>
      <c r="B386" t="n">
        <v>148</v>
      </c>
      <c r="C386" t="inlineStr">
        <is>
          <t>Bar Brahma Granja - Tutum Filial - Kamino</t>
        </is>
      </c>
      <c r="D386" t="n">
        <v>148</v>
      </c>
      <c r="E386" t="inlineStr">
        <is>
          <t>Bar Brahma - Granja</t>
        </is>
      </c>
      <c r="F386" s="27" t="n">
        <v>46030</v>
      </c>
      <c r="G386" t="inlineStr">
        <is>
          <t>CREDITO</t>
        </is>
      </c>
      <c r="H386" t="inlineStr">
        <is>
          <t>TEMPUS FUGIT PARTICIPACOES E EMPREENDIMENTOS LTDA</t>
        </is>
      </c>
      <c r="I386" t="n">
        <v>5900</v>
      </c>
    </row>
    <row r="387">
      <c r="A387" t="n">
        <v>222956</v>
      </c>
      <c r="B387" t="n">
        <v>148</v>
      </c>
      <c r="C387" t="inlineStr">
        <is>
          <t>Bar Brahma Granja - Tutum Filial - Kamino</t>
        </is>
      </c>
      <c r="D387" t="n">
        <v>148</v>
      </c>
      <c r="E387" t="inlineStr">
        <is>
          <t>Bar Brahma - Granja</t>
        </is>
      </c>
      <c r="F387" s="27" t="n">
        <v>46030</v>
      </c>
      <c r="G387" t="inlineStr">
        <is>
          <t>DEBITO</t>
        </is>
      </c>
      <c r="H387" t="inlineStr">
        <is>
          <t>Flash Tec e Pagamentos Ltda.</t>
        </is>
      </c>
      <c r="I387" t="n">
        <v>-5850</v>
      </c>
    </row>
    <row r="388">
      <c r="A388" t="n">
        <v>222932</v>
      </c>
      <c r="B388" t="n">
        <v>164</v>
      </c>
      <c r="C388" t="inlineStr">
        <is>
          <t>Bar Brahma Granja - FDB Filial - Kamino</t>
        </is>
      </c>
      <c r="D388" t="n">
        <v>148</v>
      </c>
      <c r="E388" t="inlineStr">
        <is>
          <t>Bar Brahma - Granja</t>
        </is>
      </c>
      <c r="F388" s="27" t="n">
        <v>46030</v>
      </c>
      <c r="G388" t="inlineStr">
        <is>
          <t>DEBITO</t>
        </is>
      </c>
      <c r="H388" t="inlineStr">
        <is>
          <t>Mario Pedro Feliciano Hortifru</t>
        </is>
      </c>
      <c r="I388" t="n">
        <v>-272.98</v>
      </c>
    </row>
    <row r="389">
      <c r="A389" t="n">
        <v>222958</v>
      </c>
      <c r="B389" t="n">
        <v>148</v>
      </c>
      <c r="C389" t="inlineStr">
        <is>
          <t>Bar Brahma Granja - Tutum Filial - Kamino</t>
        </is>
      </c>
      <c r="D389" t="n">
        <v>148</v>
      </c>
      <c r="E389" t="inlineStr">
        <is>
          <t>Bar Brahma - Granja</t>
        </is>
      </c>
      <c r="F389" s="27" t="n">
        <v>46030</v>
      </c>
      <c r="G389" t="inlineStr">
        <is>
          <t>DEBITO</t>
        </is>
      </c>
      <c r="H389" t="inlineStr">
        <is>
          <t>Brh Saude Ocupacional Ltda Epp</t>
        </is>
      </c>
      <c r="I389" t="n">
        <v>-553.86</v>
      </c>
    </row>
    <row r="390">
      <c r="A390" t="n">
        <v>222925</v>
      </c>
      <c r="B390" t="n">
        <v>164</v>
      </c>
      <c r="C390" t="inlineStr">
        <is>
          <t>Bar Brahma Granja - FDB Filial - Kamino</t>
        </is>
      </c>
      <c r="D390" t="n">
        <v>148</v>
      </c>
      <c r="E390" t="inlineStr">
        <is>
          <t>Bar Brahma - Granja</t>
        </is>
      </c>
      <c r="F390" s="27" t="n">
        <v>46030</v>
      </c>
      <c r="G390" t="inlineStr">
        <is>
          <t>CREDITO</t>
        </is>
      </c>
      <c r="H390" t="inlineStr">
        <is>
          <t>Zig Tecnologia S.A.</t>
        </is>
      </c>
      <c r="I390" t="n">
        <v>7218.75</v>
      </c>
    </row>
    <row r="391">
      <c r="A391" t="n">
        <v>222926</v>
      </c>
      <c r="B391" t="n">
        <v>164</v>
      </c>
      <c r="C391" t="inlineStr">
        <is>
          <t>Bar Brahma Granja - FDB Filial - Kamino</t>
        </is>
      </c>
      <c r="D391" t="n">
        <v>148</v>
      </c>
      <c r="E391" t="inlineStr">
        <is>
          <t>Bar Brahma - Granja</t>
        </is>
      </c>
      <c r="F391" s="27" t="n">
        <v>46030</v>
      </c>
      <c r="G391" t="inlineStr">
        <is>
          <t>DEBITO</t>
        </is>
      </c>
      <c r="H391" t="inlineStr">
        <is>
          <t>Reginaldo Silva do Nascimento</t>
        </is>
      </c>
      <c r="I391" t="n">
        <v>-1000</v>
      </c>
    </row>
    <row r="392">
      <c r="A392" t="n">
        <v>222927</v>
      </c>
      <c r="B392" t="n">
        <v>164</v>
      </c>
      <c r="C392" t="inlineStr">
        <is>
          <t>Bar Brahma Granja - FDB Filial - Kamino</t>
        </is>
      </c>
      <c r="D392" t="n">
        <v>148</v>
      </c>
      <c r="E392" t="inlineStr">
        <is>
          <t>Bar Brahma - Granja</t>
        </is>
      </c>
      <c r="F392" s="27" t="n">
        <v>46030</v>
      </c>
      <c r="G392" t="inlineStr">
        <is>
          <t>DEBITO</t>
        </is>
      </c>
      <c r="H392" t="inlineStr">
        <is>
          <t>Bgc Comercio de Utensilios Par</t>
        </is>
      </c>
      <c r="I392" t="n">
        <v>-136.14</v>
      </c>
    </row>
    <row r="393">
      <c r="A393" t="n">
        <v>222928</v>
      </c>
      <c r="B393" t="n">
        <v>164</v>
      </c>
      <c r="C393" t="inlineStr">
        <is>
          <t>Bar Brahma Granja - FDB Filial - Kamino</t>
        </is>
      </c>
      <c r="D393" t="n">
        <v>148</v>
      </c>
      <c r="E393" t="inlineStr">
        <is>
          <t>Bar Brahma - Granja</t>
        </is>
      </c>
      <c r="F393" s="27" t="n">
        <v>46030</v>
      </c>
      <c r="G393" t="inlineStr">
        <is>
          <t>DEBITO</t>
        </is>
      </c>
      <c r="H393" t="inlineStr">
        <is>
          <t>Horta Nova Distribuidora de Hortifruti Ltda</t>
        </is>
      </c>
      <c r="I393" t="n">
        <v>-162.5</v>
      </c>
    </row>
    <row r="394">
      <c r="A394" t="n">
        <v>222929</v>
      </c>
      <c r="B394" t="n">
        <v>164</v>
      </c>
      <c r="C394" t="inlineStr">
        <is>
          <t>Bar Brahma Granja - FDB Filial - Kamino</t>
        </is>
      </c>
      <c r="D394" t="n">
        <v>148</v>
      </c>
      <c r="E394" t="inlineStr">
        <is>
          <t>Bar Brahma - Granja</t>
        </is>
      </c>
      <c r="F394" s="27" t="n">
        <v>46030</v>
      </c>
      <c r="G394" t="inlineStr">
        <is>
          <t>DEBITO</t>
        </is>
      </c>
      <c r="H394" t="inlineStr">
        <is>
          <t>Laticinios Piramide Ltda</t>
        </is>
      </c>
      <c r="I394" t="n">
        <v>-1607</v>
      </c>
    </row>
    <row r="395">
      <c r="A395" t="n">
        <v>222930</v>
      </c>
      <c r="B395" t="n">
        <v>164</v>
      </c>
      <c r="C395" t="inlineStr">
        <is>
          <t>Bar Brahma Granja - FDB Filial - Kamino</t>
        </is>
      </c>
      <c r="D395" t="n">
        <v>148</v>
      </c>
      <c r="E395" t="inlineStr">
        <is>
          <t>Bar Brahma - Granja</t>
        </is>
      </c>
      <c r="F395" s="27" t="n">
        <v>46030</v>
      </c>
      <c r="G395" t="inlineStr">
        <is>
          <t>DEBITO</t>
        </is>
      </c>
      <c r="H395" t="inlineStr">
        <is>
          <t>Fg7 Comercio D B Eireli Epp</t>
        </is>
      </c>
      <c r="I395" t="n">
        <v>-305.56</v>
      </c>
    </row>
    <row r="396">
      <c r="A396" t="n">
        <v>222931</v>
      </c>
      <c r="B396" t="n">
        <v>164</v>
      </c>
      <c r="C396" t="inlineStr">
        <is>
          <t>Bar Brahma Granja - FDB Filial - Kamino</t>
        </is>
      </c>
      <c r="D396" t="n">
        <v>148</v>
      </c>
      <c r="E396" t="inlineStr">
        <is>
          <t>Bar Brahma - Granja</t>
        </is>
      </c>
      <c r="F396" s="27" t="n">
        <v>46030</v>
      </c>
      <c r="G396" t="inlineStr">
        <is>
          <t>DEBITO</t>
        </is>
      </c>
      <c r="H396" t="inlineStr">
        <is>
          <t>Horta Nova Distribuidora de Hortifruti Ltda</t>
        </is>
      </c>
      <c r="I396" t="n">
        <v>-145.75</v>
      </c>
    </row>
    <row r="397">
      <c r="A397" t="n">
        <v>222933</v>
      </c>
      <c r="B397" t="n">
        <v>164</v>
      </c>
      <c r="C397" t="inlineStr">
        <is>
          <t>Bar Brahma Granja - FDB Filial - Kamino</t>
        </is>
      </c>
      <c r="D397" t="n">
        <v>148</v>
      </c>
      <c r="E397" t="inlineStr">
        <is>
          <t>Bar Brahma - Granja</t>
        </is>
      </c>
      <c r="F397" s="27" t="n">
        <v>46030</v>
      </c>
      <c r="G397" t="inlineStr">
        <is>
          <t>DEBITO</t>
        </is>
      </c>
      <c r="H397" t="inlineStr">
        <is>
          <t>Ambev S A</t>
        </is>
      </c>
      <c r="I397" t="n">
        <v>-1643.81</v>
      </c>
    </row>
    <row r="398">
      <c r="A398" t="n">
        <v>222934</v>
      </c>
      <c r="B398" t="n">
        <v>164</v>
      </c>
      <c r="C398" t="inlineStr">
        <is>
          <t>Bar Brahma Granja - FDB Filial - Kamino</t>
        </is>
      </c>
      <c r="D398" t="n">
        <v>148</v>
      </c>
      <c r="E398" t="inlineStr">
        <is>
          <t>Bar Brahma - Granja</t>
        </is>
      </c>
      <c r="F398" s="27" t="n">
        <v>46030</v>
      </c>
      <c r="G398" t="inlineStr">
        <is>
          <t>DEBITO</t>
        </is>
      </c>
      <c r="H398" t="inlineStr">
        <is>
          <t>Laticinios Piramide Ltda</t>
        </is>
      </c>
      <c r="I398" t="n">
        <v>-2040.3</v>
      </c>
    </row>
    <row r="399">
      <c r="A399" t="n">
        <v>222935</v>
      </c>
      <c r="B399" t="n">
        <v>164</v>
      </c>
      <c r="C399" t="inlineStr">
        <is>
          <t>Bar Brahma Granja - FDB Filial - Kamino</t>
        </is>
      </c>
      <c r="D399" t="n">
        <v>148</v>
      </c>
      <c r="E399" t="inlineStr">
        <is>
          <t>Bar Brahma - Granja</t>
        </is>
      </c>
      <c r="F399" s="27" t="n">
        <v>46030</v>
      </c>
      <c r="G399" t="inlineStr">
        <is>
          <t>DEBITO</t>
        </is>
      </c>
      <c r="H399" t="inlineStr">
        <is>
          <t>Estaff Solucoes Tecnologicas de Agenciam</t>
        </is>
      </c>
      <c r="I399" t="n">
        <v>-5845.29</v>
      </c>
    </row>
    <row r="400">
      <c r="A400" t="n">
        <v>222936</v>
      </c>
      <c r="B400" t="n">
        <v>164</v>
      </c>
      <c r="C400" t="inlineStr">
        <is>
          <t>Bar Brahma Granja - FDB Filial - Kamino</t>
        </is>
      </c>
      <c r="D400" t="n">
        <v>148</v>
      </c>
      <c r="E400" t="inlineStr">
        <is>
          <t>Bar Brahma - Granja</t>
        </is>
      </c>
      <c r="F400" s="27" t="n">
        <v>46030</v>
      </c>
      <c r="G400" t="inlineStr">
        <is>
          <t>DEBITO</t>
        </is>
      </c>
      <c r="H400" t="inlineStr">
        <is>
          <t>Cecilia Tsuyaco Araki Silva Ltda</t>
        </is>
      </c>
      <c r="I400" t="n">
        <v>-279.9</v>
      </c>
    </row>
    <row r="401">
      <c r="A401" t="n">
        <v>222937</v>
      </c>
      <c r="B401" t="n">
        <v>164</v>
      </c>
      <c r="C401" t="inlineStr">
        <is>
          <t>Bar Brahma Granja - FDB Filial - Kamino</t>
        </is>
      </c>
      <c r="D401" t="n">
        <v>148</v>
      </c>
      <c r="E401" t="inlineStr">
        <is>
          <t>Bar Brahma - Granja</t>
        </is>
      </c>
      <c r="F401" s="27" t="n">
        <v>46030</v>
      </c>
      <c r="G401" t="inlineStr">
        <is>
          <t>DEBITO</t>
        </is>
      </c>
      <c r="H401" t="inlineStr">
        <is>
          <t>Ambev S A</t>
        </is>
      </c>
      <c r="I401" t="n">
        <v>-919.55</v>
      </c>
    </row>
    <row r="402">
      <c r="A402" t="n">
        <v>222938</v>
      </c>
      <c r="B402" t="n">
        <v>164</v>
      </c>
      <c r="C402" t="inlineStr">
        <is>
          <t>Bar Brahma Granja - FDB Filial - Kamino</t>
        </is>
      </c>
      <c r="D402" t="n">
        <v>148</v>
      </c>
      <c r="E402" t="inlineStr">
        <is>
          <t>Bar Brahma - Granja</t>
        </is>
      </c>
      <c r="F402" s="27" t="n">
        <v>46030</v>
      </c>
      <c r="G402" t="inlineStr">
        <is>
          <t>DEBITO</t>
        </is>
      </c>
      <c r="H402" t="inlineStr">
        <is>
          <t>Pss - Central da Limpeza Ltda</t>
        </is>
      </c>
      <c r="I402" t="n">
        <v>-1688.94</v>
      </c>
    </row>
    <row r="403">
      <c r="A403" t="n">
        <v>222939</v>
      </c>
      <c r="B403" t="n">
        <v>164</v>
      </c>
      <c r="C403" t="inlineStr">
        <is>
          <t>Bar Brahma Granja - FDB Filial - Kamino</t>
        </is>
      </c>
      <c r="D403" t="n">
        <v>148</v>
      </c>
      <c r="E403" t="inlineStr">
        <is>
          <t>Bar Brahma - Granja</t>
        </is>
      </c>
      <c r="F403" s="27" t="n">
        <v>46030</v>
      </c>
      <c r="G403" t="inlineStr">
        <is>
          <t>CREDITO</t>
        </is>
      </c>
      <c r="H403" t="inlineStr">
        <is>
          <t>TEMPUS FUGIT PARTICIPACOES E EMPREENDIMENTOS LTDA</t>
        </is>
      </c>
      <c r="I403" t="n">
        <v>500</v>
      </c>
    </row>
    <row r="404">
      <c r="A404" t="n">
        <v>239720</v>
      </c>
      <c r="B404" t="n">
        <v>187</v>
      </c>
      <c r="C404" t="inlineStr">
        <is>
          <t>Bar Brahma Granja - FDB Novo - Caixa</t>
        </is>
      </c>
      <c r="D404" t="n">
        <v>148</v>
      </c>
      <c r="E404" t="inlineStr">
        <is>
          <t>Bar Brahma - Granja</t>
        </is>
      </c>
      <c r="F404" s="27" t="n">
        <v>46029.625</v>
      </c>
      <c r="G404" t="inlineStr">
        <is>
          <t>CREDITO</t>
        </is>
      </c>
      <c r="H404" t="inlineStr">
        <is>
          <t>CRED TED</t>
        </is>
      </c>
      <c r="I404" t="n">
        <v>1966.36</v>
      </c>
    </row>
    <row r="405">
      <c r="A405" t="n">
        <v>222924</v>
      </c>
      <c r="B405" t="n">
        <v>164</v>
      </c>
      <c r="C405" t="inlineStr">
        <is>
          <t>Bar Brahma Granja - FDB Filial - Kamino</t>
        </is>
      </c>
      <c r="D405" t="n">
        <v>148</v>
      </c>
      <c r="E405" t="inlineStr">
        <is>
          <t>Bar Brahma - Granja</t>
        </is>
      </c>
      <c r="F405" s="27" t="n">
        <v>46029</v>
      </c>
      <c r="G405" t="inlineStr">
        <is>
          <t>CREDITO</t>
        </is>
      </c>
      <c r="H405" t="inlineStr">
        <is>
          <t>Zig Tecnologia S.A.</t>
        </is>
      </c>
      <c r="I405" t="n">
        <v>5102.47</v>
      </c>
    </row>
    <row r="406">
      <c r="A406" t="n">
        <v>222953</v>
      </c>
      <c r="B406" t="n">
        <v>153</v>
      </c>
      <c r="C406" t="inlineStr">
        <is>
          <t>Bar Brahma Granja - FDB Novo - Banco do Brasil</t>
        </is>
      </c>
      <c r="D406" t="n">
        <v>148</v>
      </c>
      <c r="E406" t="inlineStr">
        <is>
          <t>Bar Brahma - Granja</t>
        </is>
      </c>
      <c r="F406" s="27" t="n">
        <v>46029</v>
      </c>
      <c r="G406" t="inlineStr">
        <is>
          <t>CREDITO</t>
        </is>
      </c>
      <c r="H406" t="inlineStr">
        <is>
          <t>RECEBIMENTO FORNECEDOR - 04.740.876/0001-25 ALELO INSTITUICAO D</t>
        </is>
      </c>
      <c r="I406" t="n">
        <v>96.76000000000001</v>
      </c>
    </row>
    <row r="407">
      <c r="A407" t="n">
        <v>222638</v>
      </c>
      <c r="B407" t="n">
        <v>164</v>
      </c>
      <c r="C407" t="inlineStr">
        <is>
          <t>Bar Brahma Granja - FDB Filial - Kamino</t>
        </is>
      </c>
      <c r="D407" t="n">
        <v>148</v>
      </c>
      <c r="E407" t="inlineStr">
        <is>
          <t>Bar Brahma - Granja</t>
        </is>
      </c>
      <c r="F407" s="27" t="n">
        <v>46028</v>
      </c>
      <c r="G407" t="inlineStr">
        <is>
          <t>DEBITO</t>
        </is>
      </c>
      <c r="H407" t="inlineStr">
        <is>
          <t>W P P C Carnes Eireli Epp</t>
        </is>
      </c>
      <c r="I407" t="n">
        <v>-2285.05</v>
      </c>
    </row>
    <row r="408">
      <c r="A408" t="n">
        <v>222665</v>
      </c>
      <c r="B408" t="n">
        <v>148</v>
      </c>
      <c r="C408" t="inlineStr">
        <is>
          <t>Bar Brahma Granja - Tutum Filial - Kamino</t>
        </is>
      </c>
      <c r="D408" t="n">
        <v>148</v>
      </c>
      <c r="E408" t="inlineStr">
        <is>
          <t>Bar Brahma - Granja</t>
        </is>
      </c>
      <c r="F408" s="27" t="n">
        <v>46028</v>
      </c>
      <c r="G408" t="inlineStr">
        <is>
          <t>DEBITO</t>
        </is>
      </c>
      <c r="H408" t="inlineStr">
        <is>
          <t>Daiane de Jesus Rocha</t>
        </is>
      </c>
      <c r="I408" t="n">
        <v>-2704.72</v>
      </c>
    </row>
    <row r="409">
      <c r="A409" t="n">
        <v>222664</v>
      </c>
      <c r="B409" t="n">
        <v>148</v>
      </c>
      <c r="C409" t="inlineStr">
        <is>
          <t>Bar Brahma Granja - Tutum Filial - Kamino</t>
        </is>
      </c>
      <c r="D409" t="n">
        <v>148</v>
      </c>
      <c r="E409" t="inlineStr">
        <is>
          <t>Bar Brahma - Granja</t>
        </is>
      </c>
      <c r="F409" s="27" t="n">
        <v>46028</v>
      </c>
      <c r="G409" t="inlineStr">
        <is>
          <t>DEBITO</t>
        </is>
      </c>
      <c r="H409" t="inlineStr">
        <is>
          <t>Fabio Aparecido Marques</t>
        </is>
      </c>
      <c r="I409" t="n">
        <v>-1937.25</v>
      </c>
    </row>
    <row r="410">
      <c r="A410" t="n">
        <v>222663</v>
      </c>
      <c r="B410" t="n">
        <v>148</v>
      </c>
      <c r="C410" t="inlineStr">
        <is>
          <t>Bar Brahma Granja - Tutum Filial - Kamino</t>
        </is>
      </c>
      <c r="D410" t="n">
        <v>148</v>
      </c>
      <c r="E410" t="inlineStr">
        <is>
          <t>Bar Brahma - Granja</t>
        </is>
      </c>
      <c r="F410" s="27" t="n">
        <v>46028</v>
      </c>
      <c r="G410" t="inlineStr">
        <is>
          <t>DEBITO</t>
        </is>
      </c>
      <c r="H410" t="inlineStr">
        <is>
          <t>Adrian Cardenas Rodriguez</t>
        </is>
      </c>
      <c r="I410" t="n">
        <v>-2166.03</v>
      </c>
    </row>
    <row r="411">
      <c r="A411" t="n">
        <v>222662</v>
      </c>
      <c r="B411" t="n">
        <v>148</v>
      </c>
      <c r="C411" t="inlineStr">
        <is>
          <t>Bar Brahma Granja - Tutum Filial - Kamino</t>
        </is>
      </c>
      <c r="D411" t="n">
        <v>148</v>
      </c>
      <c r="E411" t="inlineStr">
        <is>
          <t>Bar Brahma - Granja</t>
        </is>
      </c>
      <c r="F411" s="27" t="n">
        <v>46028</v>
      </c>
      <c r="G411" t="inlineStr">
        <is>
          <t>DEBITO</t>
        </is>
      </c>
      <c r="H411" t="inlineStr">
        <is>
          <t>Ana Paula Nascimento Soares</t>
        </is>
      </c>
      <c r="I411" t="n">
        <v>-2520.82</v>
      </c>
    </row>
    <row r="412">
      <c r="A412" t="n">
        <v>222661</v>
      </c>
      <c r="B412" t="n">
        <v>148</v>
      </c>
      <c r="C412" t="inlineStr">
        <is>
          <t>Bar Brahma Granja - Tutum Filial - Kamino</t>
        </is>
      </c>
      <c r="D412" t="n">
        <v>148</v>
      </c>
      <c r="E412" t="inlineStr">
        <is>
          <t>Bar Brahma - Granja</t>
        </is>
      </c>
      <c r="F412" s="27" t="n">
        <v>46028</v>
      </c>
      <c r="G412" t="inlineStr">
        <is>
          <t>CREDITO</t>
        </is>
      </c>
      <c r="H412" t="inlineStr">
        <is>
          <t>TEMPUS FUGIT PARTICIPACOES E EMPREENDIMENTOS LTDA</t>
        </is>
      </c>
      <c r="I412" t="n">
        <v>52100</v>
      </c>
    </row>
    <row r="413">
      <c r="A413" t="n">
        <v>222654</v>
      </c>
      <c r="B413" t="n">
        <v>153</v>
      </c>
      <c r="C413" t="inlineStr">
        <is>
          <t>Bar Brahma Granja - FDB Novo - Banco do Brasil</t>
        </is>
      </c>
      <c r="D413" t="n">
        <v>148</v>
      </c>
      <c r="E413" t="inlineStr">
        <is>
          <t>Bar Brahma - Granja</t>
        </is>
      </c>
      <c r="F413" s="27" t="n">
        <v>46028</v>
      </c>
      <c r="G413" t="inlineStr">
        <is>
          <t>DEBITO</t>
        </is>
      </c>
      <c r="H413" t="inlineStr">
        <is>
          <t>TED TRANSF.ELETR.DISPONIV - 301 0001 042728081000190 TEMPUS FUGIT</t>
        </is>
      </c>
      <c r="I413" t="n">
        <v>-45000</v>
      </c>
    </row>
    <row r="414">
      <c r="A414" t="n">
        <v>222653</v>
      </c>
      <c r="B414" t="n">
        <v>153</v>
      </c>
      <c r="C414" t="inlineStr">
        <is>
          <t>Bar Brahma Granja - FDB Novo - Banco do Brasil</t>
        </is>
      </c>
      <c r="D414" t="n">
        <v>148</v>
      </c>
      <c r="E414" t="inlineStr">
        <is>
          <t>Bar Brahma - Granja</t>
        </is>
      </c>
      <c r="F414" s="27" t="n">
        <v>46028</v>
      </c>
      <c r="G414" t="inlineStr">
        <is>
          <t>CREDITO</t>
        </is>
      </c>
      <c r="H414" t="inlineStr">
        <is>
          <t>PIX - RECEBIDO - 06/01 10:13 02535864000133 VR BENEFICI</t>
        </is>
      </c>
      <c r="I414" t="n">
        <v>493.09</v>
      </c>
    </row>
    <row r="415">
      <c r="A415" t="n">
        <v>222652</v>
      </c>
      <c r="B415" t="n">
        <v>153</v>
      </c>
      <c r="C415" t="inlineStr">
        <is>
          <t>Bar Brahma Granja - FDB Novo - Banco do Brasil</t>
        </is>
      </c>
      <c r="D415" t="n">
        <v>148</v>
      </c>
      <c r="E415" t="inlineStr">
        <is>
          <t>Bar Brahma - Granja</t>
        </is>
      </c>
      <c r="F415" s="27" t="n">
        <v>46028</v>
      </c>
      <c r="G415" t="inlineStr">
        <is>
          <t>CREDITO</t>
        </is>
      </c>
      <c r="H415" t="inlineStr">
        <is>
          <t>RECEBIMENTO FORNECEDOR - 04.740.876/0001-25 ALELO INSTITUICAO D</t>
        </is>
      </c>
      <c r="I415" t="n">
        <v>302.79</v>
      </c>
    </row>
    <row r="416">
      <c r="A416" t="n">
        <v>222645</v>
      </c>
      <c r="B416" t="n">
        <v>164</v>
      </c>
      <c r="C416" t="inlineStr">
        <is>
          <t>Bar Brahma Granja - FDB Filial - Kamino</t>
        </is>
      </c>
      <c r="D416" t="n">
        <v>148</v>
      </c>
      <c r="E416" t="inlineStr">
        <is>
          <t>Bar Brahma - Granja</t>
        </is>
      </c>
      <c r="F416" s="27" t="n">
        <v>46028</v>
      </c>
      <c r="G416" t="inlineStr">
        <is>
          <t>DEBITO</t>
        </is>
      </c>
      <c r="H416" t="inlineStr">
        <is>
          <t>Laticinios Piramide Ltda</t>
        </is>
      </c>
      <c r="I416" t="n">
        <v>-3320.2</v>
      </c>
    </row>
    <row r="417">
      <c r="A417" t="n">
        <v>222644</v>
      </c>
      <c r="B417" t="n">
        <v>164</v>
      </c>
      <c r="C417" t="inlineStr">
        <is>
          <t>Bar Brahma Granja - FDB Filial - Kamino</t>
        </is>
      </c>
      <c r="D417" t="n">
        <v>148</v>
      </c>
      <c r="E417" t="inlineStr">
        <is>
          <t>Bar Brahma - Granja</t>
        </is>
      </c>
      <c r="F417" s="27" t="n">
        <v>46028</v>
      </c>
      <c r="G417" t="inlineStr">
        <is>
          <t>DEBITO</t>
        </is>
      </c>
      <c r="H417" t="inlineStr">
        <is>
          <t>Cecilia Tsuyaco Araki Silva Ltda</t>
        </is>
      </c>
      <c r="I417" t="n">
        <v>-413.85</v>
      </c>
    </row>
    <row r="418">
      <c r="A418" t="n">
        <v>222643</v>
      </c>
      <c r="B418" t="n">
        <v>164</v>
      </c>
      <c r="C418" t="inlineStr">
        <is>
          <t>Bar Brahma Granja - FDB Filial - Kamino</t>
        </is>
      </c>
      <c r="D418" t="n">
        <v>148</v>
      </c>
      <c r="E418" t="inlineStr">
        <is>
          <t>Bar Brahma - Granja</t>
        </is>
      </c>
      <c r="F418" s="27" t="n">
        <v>46028</v>
      </c>
      <c r="G418" t="inlineStr">
        <is>
          <t>DEBITO</t>
        </is>
      </c>
      <c r="H418" t="inlineStr">
        <is>
          <t>Bb Dist de Carnes Ltda</t>
        </is>
      </c>
      <c r="I418" t="n">
        <v>-960</v>
      </c>
    </row>
    <row r="419">
      <c r="A419" t="n">
        <v>222641</v>
      </c>
      <c r="B419" t="n">
        <v>164</v>
      </c>
      <c r="C419" t="inlineStr">
        <is>
          <t>Bar Brahma Granja - FDB Filial - Kamino</t>
        </is>
      </c>
      <c r="D419" t="n">
        <v>148</v>
      </c>
      <c r="E419" t="inlineStr">
        <is>
          <t>Bar Brahma - Granja</t>
        </is>
      </c>
      <c r="F419" s="27" t="n">
        <v>46028</v>
      </c>
      <c r="G419" t="inlineStr">
        <is>
          <t>DEBITO</t>
        </is>
      </c>
      <c r="H419" t="inlineStr">
        <is>
          <t>Filipe Ferreira Oliveira</t>
        </is>
      </c>
      <c r="I419" t="n">
        <v>-150</v>
      </c>
    </row>
    <row r="420">
      <c r="A420" t="n">
        <v>222640</v>
      </c>
      <c r="B420" t="n">
        <v>164</v>
      </c>
      <c r="C420" t="inlineStr">
        <is>
          <t>Bar Brahma Granja - FDB Filial - Kamino</t>
        </is>
      </c>
      <c r="D420" t="n">
        <v>148</v>
      </c>
      <c r="E420" t="inlineStr">
        <is>
          <t>Bar Brahma - Granja</t>
        </is>
      </c>
      <c r="F420" s="27" t="n">
        <v>46028</v>
      </c>
      <c r="G420" t="inlineStr">
        <is>
          <t>DEBITO</t>
        </is>
      </c>
      <c r="H420" t="inlineStr">
        <is>
          <t>King Comercio de Bebidas Ltda</t>
        </is>
      </c>
      <c r="I420" t="n">
        <v>-1774.83</v>
      </c>
    </row>
    <row r="421">
      <c r="A421" t="n">
        <v>222639</v>
      </c>
      <c r="B421" t="n">
        <v>164</v>
      </c>
      <c r="C421" t="inlineStr">
        <is>
          <t>Bar Brahma Granja - FDB Filial - Kamino</t>
        </is>
      </c>
      <c r="D421" t="n">
        <v>148</v>
      </c>
      <c r="E421" t="inlineStr">
        <is>
          <t>Bar Brahma - Granja</t>
        </is>
      </c>
      <c r="F421" s="27" t="n">
        <v>46028</v>
      </c>
      <c r="G421" t="inlineStr">
        <is>
          <t>DEBITO</t>
        </is>
      </c>
      <c r="H421" t="inlineStr">
        <is>
          <t>Pagseguro Internet I.P. S.A.</t>
        </is>
      </c>
      <c r="I421" t="n">
        <v>-395</v>
      </c>
    </row>
    <row r="422">
      <c r="A422" t="n">
        <v>222637</v>
      </c>
      <c r="B422" t="n">
        <v>164</v>
      </c>
      <c r="C422" t="inlineStr">
        <is>
          <t>Bar Brahma Granja - FDB Filial - Kamino</t>
        </is>
      </c>
      <c r="D422" t="n">
        <v>148</v>
      </c>
      <c r="E422" t="inlineStr">
        <is>
          <t>Bar Brahma - Granja</t>
        </is>
      </c>
      <c r="F422" s="27" t="n">
        <v>46028</v>
      </c>
      <c r="G422" t="inlineStr">
        <is>
          <t>DEBITO</t>
        </is>
      </c>
      <c r="H422" t="inlineStr">
        <is>
          <t>Mario Pedro Feliciano Hortifru</t>
        </is>
      </c>
      <c r="I422" t="n">
        <v>-133.17</v>
      </c>
    </row>
    <row r="423">
      <c r="A423" t="n">
        <v>222636</v>
      </c>
      <c r="B423" t="n">
        <v>164</v>
      </c>
      <c r="C423" t="inlineStr">
        <is>
          <t>Bar Brahma Granja - FDB Filial - Kamino</t>
        </is>
      </c>
      <c r="D423" t="n">
        <v>148</v>
      </c>
      <c r="E423" t="inlineStr">
        <is>
          <t>Bar Brahma - Granja</t>
        </is>
      </c>
      <c r="F423" s="27" t="n">
        <v>46028</v>
      </c>
      <c r="G423" t="inlineStr">
        <is>
          <t>DEBITO</t>
        </is>
      </c>
      <c r="H423" t="inlineStr">
        <is>
          <t>Bb Dist de Carnes Ltda</t>
        </is>
      </c>
      <c r="I423" t="n">
        <v>-589.05</v>
      </c>
    </row>
    <row r="424">
      <c r="A424" t="n">
        <v>222635</v>
      </c>
      <c r="B424" t="n">
        <v>164</v>
      </c>
      <c r="C424" t="inlineStr">
        <is>
          <t>Bar Brahma Granja - FDB Filial - Kamino</t>
        </is>
      </c>
      <c r="D424" t="n">
        <v>148</v>
      </c>
      <c r="E424" t="inlineStr">
        <is>
          <t>Bar Brahma - Granja</t>
        </is>
      </c>
      <c r="F424" s="27" t="n">
        <v>46028</v>
      </c>
      <c r="G424" t="inlineStr">
        <is>
          <t>DEBITO</t>
        </is>
      </c>
      <c r="H424" t="inlineStr">
        <is>
          <t>Distribuidora Cantaros B Ltda</t>
        </is>
      </c>
      <c r="I424" t="n">
        <v>-789.6</v>
      </c>
    </row>
    <row r="425">
      <c r="A425" t="n">
        <v>222634</v>
      </c>
      <c r="B425" t="n">
        <v>164</v>
      </c>
      <c r="C425" t="inlineStr">
        <is>
          <t>Bar Brahma Granja - FDB Filial - Kamino</t>
        </is>
      </c>
      <c r="D425" t="n">
        <v>148</v>
      </c>
      <c r="E425" t="inlineStr">
        <is>
          <t>Bar Brahma - Granja</t>
        </is>
      </c>
      <c r="F425" s="27" t="n">
        <v>46028</v>
      </c>
      <c r="G425" t="inlineStr">
        <is>
          <t>DEBITO</t>
        </is>
      </c>
      <c r="H425" t="inlineStr">
        <is>
          <t>Casa de Carnes P.J.J.Ltda</t>
        </is>
      </c>
      <c r="I425" t="n">
        <v>-348.74</v>
      </c>
    </row>
    <row r="426">
      <c r="A426" t="n">
        <v>222633</v>
      </c>
      <c r="B426" t="n">
        <v>164</v>
      </c>
      <c r="C426" t="inlineStr">
        <is>
          <t>Bar Brahma Granja - FDB Filial - Kamino</t>
        </is>
      </c>
      <c r="D426" t="n">
        <v>148</v>
      </c>
      <c r="E426" t="inlineStr">
        <is>
          <t>Bar Brahma - Granja</t>
        </is>
      </c>
      <c r="F426" s="27" t="n">
        <v>46028</v>
      </c>
      <c r="G426" t="inlineStr">
        <is>
          <t>DEBITO</t>
        </is>
      </c>
      <c r="H426" t="inlineStr">
        <is>
          <t>Cecilia Tsuyaco Araki Silva Ltda</t>
        </is>
      </c>
      <c r="I426" t="n">
        <v>-306.4</v>
      </c>
    </row>
    <row r="427">
      <c r="A427" t="n">
        <v>222632</v>
      </c>
      <c r="B427" t="n">
        <v>164</v>
      </c>
      <c r="C427" t="inlineStr">
        <is>
          <t>Bar Brahma Granja - FDB Filial - Kamino</t>
        </is>
      </c>
      <c r="D427" t="n">
        <v>148</v>
      </c>
      <c r="E427" t="inlineStr">
        <is>
          <t>Bar Brahma - Granja</t>
        </is>
      </c>
      <c r="F427" s="27" t="n">
        <v>46028</v>
      </c>
      <c r="G427" t="inlineStr">
        <is>
          <t>DEBITO</t>
        </is>
      </c>
      <c r="H427" t="inlineStr">
        <is>
          <t>Horta Nova Distribuidora de Hortifruti Ltda</t>
        </is>
      </c>
      <c r="I427" t="n">
        <v>-152.58</v>
      </c>
    </row>
    <row r="428">
      <c r="A428" t="n">
        <v>222631</v>
      </c>
      <c r="B428" t="n">
        <v>164</v>
      </c>
      <c r="C428" t="inlineStr">
        <is>
          <t>Bar Brahma Granja - FDB Filial - Kamino</t>
        </is>
      </c>
      <c r="D428" t="n">
        <v>148</v>
      </c>
      <c r="E428" t="inlineStr">
        <is>
          <t>Bar Brahma - Granja</t>
        </is>
      </c>
      <c r="F428" s="27" t="n">
        <v>46028</v>
      </c>
      <c r="G428" t="inlineStr">
        <is>
          <t>DEBITO</t>
        </is>
      </c>
      <c r="H428" t="inlineStr">
        <is>
          <t>Front Bebidas Litda</t>
        </is>
      </c>
      <c r="I428" t="n">
        <v>-319.8</v>
      </c>
    </row>
    <row r="429">
      <c r="A429" t="n">
        <v>222630</v>
      </c>
      <c r="B429" t="n">
        <v>164</v>
      </c>
      <c r="C429" t="inlineStr">
        <is>
          <t>Bar Brahma Granja - FDB Filial - Kamino</t>
        </is>
      </c>
      <c r="D429" t="n">
        <v>148</v>
      </c>
      <c r="E429" t="inlineStr">
        <is>
          <t>Bar Brahma - Granja</t>
        </is>
      </c>
      <c r="F429" s="27" t="n">
        <v>46028</v>
      </c>
      <c r="G429" t="inlineStr">
        <is>
          <t>DEBITO</t>
        </is>
      </c>
      <c r="H429" t="inlineStr">
        <is>
          <t>Wide Stock com e Rep Ltda</t>
        </is>
      </c>
      <c r="I429" t="n">
        <v>-354.23</v>
      </c>
    </row>
    <row r="430">
      <c r="A430" t="n">
        <v>222629</v>
      </c>
      <c r="B430" t="n">
        <v>164</v>
      </c>
      <c r="C430" t="inlineStr">
        <is>
          <t>Bar Brahma Granja - FDB Filial - Kamino</t>
        </is>
      </c>
      <c r="D430" t="n">
        <v>148</v>
      </c>
      <c r="E430" t="inlineStr">
        <is>
          <t>Bar Brahma - Granja</t>
        </is>
      </c>
      <c r="F430" s="27" t="n">
        <v>46028</v>
      </c>
      <c r="G430" t="inlineStr">
        <is>
          <t>DEBITO</t>
        </is>
      </c>
      <c r="H430" t="inlineStr">
        <is>
          <t>Eau Distribuidora a M Ltda</t>
        </is>
      </c>
      <c r="I430" t="n">
        <v>-373.6</v>
      </c>
    </row>
    <row r="431">
      <c r="A431" t="n">
        <v>222628</v>
      </c>
      <c r="B431" t="n">
        <v>164</v>
      </c>
      <c r="C431" t="inlineStr">
        <is>
          <t>Bar Brahma Granja - FDB Filial - Kamino</t>
        </is>
      </c>
      <c r="D431" t="n">
        <v>148</v>
      </c>
      <c r="E431" t="inlineStr">
        <is>
          <t>Bar Brahma - Granja</t>
        </is>
      </c>
      <c r="F431" s="27" t="n">
        <v>46028</v>
      </c>
      <c r="G431" t="inlineStr">
        <is>
          <t>DEBITO</t>
        </is>
      </c>
      <c r="H431" t="inlineStr">
        <is>
          <t>King Comercio de Bebidas Ltda</t>
        </is>
      </c>
      <c r="I431" t="n">
        <v>-379.69</v>
      </c>
    </row>
    <row r="432">
      <c r="A432" t="n">
        <v>222627</v>
      </c>
      <c r="B432" t="n">
        <v>164</v>
      </c>
      <c r="C432" t="inlineStr">
        <is>
          <t>Bar Brahma Granja - FDB Filial - Kamino</t>
        </is>
      </c>
      <c r="D432" t="n">
        <v>148</v>
      </c>
      <c r="E432" t="inlineStr">
        <is>
          <t>Bar Brahma - Granja</t>
        </is>
      </c>
      <c r="F432" s="27" t="n">
        <v>46028</v>
      </c>
      <c r="G432" t="inlineStr">
        <is>
          <t>DEBITO</t>
        </is>
      </c>
      <c r="H432" t="inlineStr">
        <is>
          <t>Dtk Comercio de Alimentos Ltda Epp</t>
        </is>
      </c>
      <c r="I432" t="n">
        <v>-4117.4</v>
      </c>
    </row>
    <row r="433">
      <c r="A433" t="n">
        <v>222626</v>
      </c>
      <c r="B433" t="n">
        <v>164</v>
      </c>
      <c r="C433" t="inlineStr">
        <is>
          <t>Bar Brahma Granja - FDB Filial - Kamino</t>
        </is>
      </c>
      <c r="D433" t="n">
        <v>148</v>
      </c>
      <c r="E433" t="inlineStr">
        <is>
          <t>Bar Brahma - Granja</t>
        </is>
      </c>
      <c r="F433" s="27" t="n">
        <v>46028</v>
      </c>
      <c r="G433" t="inlineStr">
        <is>
          <t>DEBITO</t>
        </is>
      </c>
      <c r="H433" t="inlineStr">
        <is>
          <t>Cg Food S Distr Alimentos Ltda</t>
        </is>
      </c>
      <c r="I433" t="n">
        <v>-731.2</v>
      </c>
    </row>
    <row r="434">
      <c r="A434" t="n">
        <v>222625</v>
      </c>
      <c r="B434" t="n">
        <v>164</v>
      </c>
      <c r="C434" t="inlineStr">
        <is>
          <t>Bar Brahma Granja - FDB Filial - Kamino</t>
        </is>
      </c>
      <c r="D434" t="n">
        <v>148</v>
      </c>
      <c r="E434" t="inlineStr">
        <is>
          <t>Bar Brahma - Granja</t>
        </is>
      </c>
      <c r="F434" s="27" t="n">
        <v>46028</v>
      </c>
      <c r="G434" t="inlineStr">
        <is>
          <t>CREDITO</t>
        </is>
      </c>
      <c r="H434" t="inlineStr">
        <is>
          <t>Zig Tecnologia S.A.</t>
        </is>
      </c>
      <c r="I434" t="n">
        <v>4107</v>
      </c>
    </row>
    <row r="435">
      <c r="A435" t="n">
        <v>222642</v>
      </c>
      <c r="B435" t="n">
        <v>164</v>
      </c>
      <c r="C435" t="inlineStr">
        <is>
          <t>Bar Brahma Granja - FDB Filial - Kamino</t>
        </is>
      </c>
      <c r="D435" t="n">
        <v>148</v>
      </c>
      <c r="E435" t="inlineStr">
        <is>
          <t>Bar Brahma - Granja</t>
        </is>
      </c>
      <c r="F435" s="27" t="n">
        <v>46028</v>
      </c>
      <c r="G435" t="inlineStr">
        <is>
          <t>DEBITO</t>
        </is>
      </c>
      <c r="H435" t="inlineStr">
        <is>
          <t>Bb Dist de Carnes Ltda</t>
        </is>
      </c>
      <c r="I435" t="n">
        <v>-3893.4</v>
      </c>
    </row>
    <row r="436">
      <c r="A436" t="n">
        <v>222667</v>
      </c>
      <c r="B436" t="n">
        <v>148</v>
      </c>
      <c r="C436" t="inlineStr">
        <is>
          <t>Bar Brahma Granja - Tutum Filial - Kamino</t>
        </is>
      </c>
      <c r="D436" t="n">
        <v>148</v>
      </c>
      <c r="E436" t="inlineStr">
        <is>
          <t>Bar Brahma - Granja</t>
        </is>
      </c>
      <c r="F436" s="27" t="n">
        <v>46028</v>
      </c>
      <c r="G436" t="inlineStr">
        <is>
          <t>DEBITO</t>
        </is>
      </c>
      <c r="H436" t="inlineStr">
        <is>
          <t>Flavio Pereira dos Santos</t>
        </is>
      </c>
      <c r="I436" t="n">
        <v>-2222.21</v>
      </c>
    </row>
    <row r="437">
      <c r="A437" t="n">
        <v>222682</v>
      </c>
      <c r="B437" t="n">
        <v>148</v>
      </c>
      <c r="C437" t="inlineStr">
        <is>
          <t>Bar Brahma Granja - Tutum Filial - Kamino</t>
        </is>
      </c>
      <c r="D437" t="n">
        <v>148</v>
      </c>
      <c r="E437" t="inlineStr">
        <is>
          <t>Bar Brahma - Granja</t>
        </is>
      </c>
      <c r="F437" s="27" t="n">
        <v>46028</v>
      </c>
      <c r="G437" t="inlineStr">
        <is>
          <t>DEBITO</t>
        </is>
      </c>
      <c r="H437" t="inlineStr">
        <is>
          <t>Marilia Marcelino Pereira</t>
        </is>
      </c>
      <c r="I437" t="n">
        <v>-2081.51</v>
      </c>
    </row>
    <row r="438">
      <c r="A438" t="n">
        <v>222681</v>
      </c>
      <c r="B438" t="n">
        <v>148</v>
      </c>
      <c r="C438" t="inlineStr">
        <is>
          <t>Bar Brahma Granja - Tutum Filial - Kamino</t>
        </is>
      </c>
      <c r="D438" t="n">
        <v>148</v>
      </c>
      <c r="E438" t="inlineStr">
        <is>
          <t>Bar Brahma - Granja</t>
        </is>
      </c>
      <c r="F438" s="27" t="n">
        <v>46028</v>
      </c>
      <c r="G438" t="inlineStr">
        <is>
          <t>DEBITO</t>
        </is>
      </c>
      <c r="H438" t="inlineStr">
        <is>
          <t>Iara Samiris Oliveira Braga</t>
        </is>
      </c>
      <c r="I438" t="n">
        <v>-1398.93</v>
      </c>
    </row>
    <row r="439">
      <c r="A439" t="n">
        <v>222680</v>
      </c>
      <c r="B439" t="n">
        <v>148</v>
      </c>
      <c r="C439" t="inlineStr">
        <is>
          <t>Bar Brahma Granja - Tutum Filial - Kamino</t>
        </is>
      </c>
      <c r="D439" t="n">
        <v>148</v>
      </c>
      <c r="E439" t="inlineStr">
        <is>
          <t>Bar Brahma - Granja</t>
        </is>
      </c>
      <c r="F439" s="27" t="n">
        <v>46028</v>
      </c>
      <c r="G439" t="inlineStr">
        <is>
          <t>DEBITO</t>
        </is>
      </c>
      <c r="H439" t="inlineStr">
        <is>
          <t>Kelly Nunes Torres Teotonio</t>
        </is>
      </c>
      <c r="I439" t="n">
        <v>-2395.82</v>
      </c>
    </row>
    <row r="440">
      <c r="A440" t="n">
        <v>222679</v>
      </c>
      <c r="B440" t="n">
        <v>148</v>
      </c>
      <c r="C440" t="inlineStr">
        <is>
          <t>Bar Brahma Granja - Tutum Filial - Kamino</t>
        </is>
      </c>
      <c r="D440" t="n">
        <v>148</v>
      </c>
      <c r="E440" t="inlineStr">
        <is>
          <t>Bar Brahma - Granja</t>
        </is>
      </c>
      <c r="F440" s="27" t="n">
        <v>46028</v>
      </c>
      <c r="G440" t="inlineStr">
        <is>
          <t>DEBITO</t>
        </is>
      </c>
      <c r="H440" t="inlineStr">
        <is>
          <t>Maria Eduarda Evangelista</t>
        </is>
      </c>
      <c r="I440" t="n">
        <v>-3452.34</v>
      </c>
    </row>
    <row r="441">
      <c r="A441" t="n">
        <v>222678</v>
      </c>
      <c r="B441" t="n">
        <v>148</v>
      </c>
      <c r="C441" t="inlineStr">
        <is>
          <t>Bar Brahma Granja - Tutum Filial - Kamino</t>
        </is>
      </c>
      <c r="D441" t="n">
        <v>148</v>
      </c>
      <c r="E441" t="inlineStr">
        <is>
          <t>Bar Brahma - Granja</t>
        </is>
      </c>
      <c r="F441" s="27" t="n">
        <v>46028</v>
      </c>
      <c r="G441" t="inlineStr">
        <is>
          <t>DEBITO</t>
        </is>
      </c>
      <c r="H441" t="inlineStr">
        <is>
          <t>Jeferson Gomes Silva</t>
        </is>
      </c>
      <c r="I441" t="n">
        <v>-2501.44</v>
      </c>
    </row>
    <row r="442">
      <c r="A442" t="n">
        <v>222677</v>
      </c>
      <c r="B442" t="n">
        <v>148</v>
      </c>
      <c r="C442" t="inlineStr">
        <is>
          <t>Bar Brahma Granja - Tutum Filial - Kamino</t>
        </is>
      </c>
      <c r="D442" t="n">
        <v>148</v>
      </c>
      <c r="E442" t="inlineStr">
        <is>
          <t>Bar Brahma - Granja</t>
        </is>
      </c>
      <c r="F442" s="27" t="n">
        <v>46028</v>
      </c>
      <c r="G442" t="inlineStr">
        <is>
          <t>DEBITO</t>
        </is>
      </c>
      <c r="H442" t="inlineStr">
        <is>
          <t>Taelly Silva Santos</t>
        </is>
      </c>
      <c r="I442" t="n">
        <v>-2568.66</v>
      </c>
    </row>
    <row r="443">
      <c r="A443" t="n">
        <v>222676</v>
      </c>
      <c r="B443" t="n">
        <v>148</v>
      </c>
      <c r="C443" t="inlineStr">
        <is>
          <t>Bar Brahma Granja - Tutum Filial - Kamino</t>
        </is>
      </c>
      <c r="D443" t="n">
        <v>148</v>
      </c>
      <c r="E443" t="inlineStr">
        <is>
          <t>Bar Brahma - Granja</t>
        </is>
      </c>
      <c r="F443" s="27" t="n">
        <v>46028</v>
      </c>
      <c r="G443" t="inlineStr">
        <is>
          <t>DEBITO</t>
        </is>
      </c>
      <c r="H443" t="inlineStr">
        <is>
          <t>Joo Henrique Nunes</t>
        </is>
      </c>
      <c r="I443" t="n">
        <v>-2436.91</v>
      </c>
    </row>
    <row r="444">
      <c r="A444" t="n">
        <v>222675</v>
      </c>
      <c r="B444" t="n">
        <v>148</v>
      </c>
      <c r="C444" t="inlineStr">
        <is>
          <t>Bar Brahma Granja - Tutum Filial - Kamino</t>
        </is>
      </c>
      <c r="D444" t="n">
        <v>148</v>
      </c>
      <c r="E444" t="inlineStr">
        <is>
          <t>Bar Brahma - Granja</t>
        </is>
      </c>
      <c r="F444" s="27" t="n">
        <v>46028</v>
      </c>
      <c r="G444" t="inlineStr">
        <is>
          <t>DEBITO</t>
        </is>
      </c>
      <c r="H444" t="inlineStr">
        <is>
          <t>Vitoria Almeida Correa</t>
        </is>
      </c>
      <c r="I444" t="n">
        <v>-3816.59</v>
      </c>
    </row>
    <row r="445">
      <c r="A445" t="n">
        <v>222674</v>
      </c>
      <c r="B445" t="n">
        <v>148</v>
      </c>
      <c r="C445" t="inlineStr">
        <is>
          <t>Bar Brahma Granja - Tutum Filial - Kamino</t>
        </is>
      </c>
      <c r="D445" t="n">
        <v>148</v>
      </c>
      <c r="E445" t="inlineStr">
        <is>
          <t>Bar Brahma - Granja</t>
        </is>
      </c>
      <c r="F445" s="27" t="n">
        <v>46028</v>
      </c>
      <c r="G445" t="inlineStr">
        <is>
          <t>DEBITO</t>
        </is>
      </c>
      <c r="H445" t="inlineStr">
        <is>
          <t>Natalia Coelho de Jesus</t>
        </is>
      </c>
      <c r="I445" t="n">
        <v>-2408.35</v>
      </c>
    </row>
    <row r="446">
      <c r="A446" t="n">
        <v>222673</v>
      </c>
      <c r="B446" t="n">
        <v>148</v>
      </c>
      <c r="C446" t="inlineStr">
        <is>
          <t>Bar Brahma Granja - Tutum Filial - Kamino</t>
        </is>
      </c>
      <c r="D446" t="n">
        <v>148</v>
      </c>
      <c r="E446" t="inlineStr">
        <is>
          <t>Bar Brahma - Granja</t>
        </is>
      </c>
      <c r="F446" s="27" t="n">
        <v>46028</v>
      </c>
      <c r="G446" t="inlineStr">
        <is>
          <t>DEBITO</t>
        </is>
      </c>
      <c r="H446" t="inlineStr">
        <is>
          <t>Edivaldo Alves Esteves</t>
        </is>
      </c>
      <c r="I446" t="n">
        <v>-2511.26</v>
      </c>
    </row>
    <row r="447">
      <c r="A447" t="n">
        <v>222672</v>
      </c>
      <c r="B447" t="n">
        <v>148</v>
      </c>
      <c r="C447" t="inlineStr">
        <is>
          <t>Bar Brahma Granja - Tutum Filial - Kamino</t>
        </is>
      </c>
      <c r="D447" t="n">
        <v>148</v>
      </c>
      <c r="E447" t="inlineStr">
        <is>
          <t>Bar Brahma - Granja</t>
        </is>
      </c>
      <c r="F447" s="27" t="n">
        <v>46028</v>
      </c>
      <c r="G447" t="inlineStr">
        <is>
          <t>DEBITO</t>
        </is>
      </c>
      <c r="H447" t="inlineStr">
        <is>
          <t>Lais da Silva Conceio</t>
        </is>
      </c>
      <c r="I447" t="n">
        <v>-2488.37</v>
      </c>
    </row>
    <row r="448">
      <c r="A448" t="n">
        <v>222668</v>
      </c>
      <c r="B448" t="n">
        <v>148</v>
      </c>
      <c r="C448" t="inlineStr">
        <is>
          <t>Bar Brahma Granja - Tutum Filial - Kamino</t>
        </is>
      </c>
      <c r="D448" t="n">
        <v>148</v>
      </c>
      <c r="E448" t="inlineStr">
        <is>
          <t>Bar Brahma - Granja</t>
        </is>
      </c>
      <c r="F448" s="27" t="n">
        <v>46028</v>
      </c>
      <c r="G448" t="inlineStr">
        <is>
          <t>DEBITO</t>
        </is>
      </c>
      <c r="H448" t="inlineStr">
        <is>
          <t>Ana Paula Rosa Santana</t>
        </is>
      </c>
      <c r="I448" t="n">
        <v>-2345.05</v>
      </c>
    </row>
    <row r="449">
      <c r="A449" t="n">
        <v>222669</v>
      </c>
      <c r="B449" t="n">
        <v>148</v>
      </c>
      <c r="C449" t="inlineStr">
        <is>
          <t>Bar Brahma Granja - Tutum Filial - Kamino</t>
        </is>
      </c>
      <c r="D449" t="n">
        <v>148</v>
      </c>
      <c r="E449" t="inlineStr">
        <is>
          <t>Bar Brahma - Granja</t>
        </is>
      </c>
      <c r="F449" s="27" t="n">
        <v>46028</v>
      </c>
      <c r="G449" t="inlineStr">
        <is>
          <t>DEBITO</t>
        </is>
      </c>
      <c r="H449" t="inlineStr">
        <is>
          <t>Ariana Teixeira de Azevedo</t>
        </is>
      </c>
      <c r="I449" t="n">
        <v>-2050.09</v>
      </c>
    </row>
    <row r="450">
      <c r="A450" t="n">
        <v>222670</v>
      </c>
      <c r="B450" t="n">
        <v>148</v>
      </c>
      <c r="C450" t="inlineStr">
        <is>
          <t>Bar Brahma Granja - Tutum Filial - Kamino</t>
        </is>
      </c>
      <c r="D450" t="n">
        <v>148</v>
      </c>
      <c r="E450" t="inlineStr">
        <is>
          <t>Bar Brahma - Granja</t>
        </is>
      </c>
      <c r="F450" s="27" t="n">
        <v>46028</v>
      </c>
      <c r="G450" t="inlineStr">
        <is>
          <t>DEBITO</t>
        </is>
      </c>
      <c r="H450" t="inlineStr">
        <is>
          <t>Valdir Rodrigues dos Santos</t>
        </is>
      </c>
      <c r="I450" t="n">
        <v>-2565.8</v>
      </c>
    </row>
    <row r="451">
      <c r="A451" t="n">
        <v>222671</v>
      </c>
      <c r="B451" t="n">
        <v>148</v>
      </c>
      <c r="C451" t="inlineStr">
        <is>
          <t>Bar Brahma Granja - Tutum Filial - Kamino</t>
        </is>
      </c>
      <c r="D451" t="n">
        <v>148</v>
      </c>
      <c r="E451" t="inlineStr">
        <is>
          <t>Bar Brahma - Granja</t>
        </is>
      </c>
      <c r="F451" s="27" t="n">
        <v>46028</v>
      </c>
      <c r="G451" t="inlineStr">
        <is>
          <t>DEBITO</t>
        </is>
      </c>
      <c r="H451" t="inlineStr">
        <is>
          <t>Iago Carino Porto Ramos</t>
        </is>
      </c>
      <c r="I451" t="n">
        <v>-2951.51</v>
      </c>
    </row>
    <row r="452">
      <c r="A452" t="n">
        <v>222666</v>
      </c>
      <c r="B452" t="n">
        <v>148</v>
      </c>
      <c r="C452" t="inlineStr">
        <is>
          <t>Bar Brahma Granja - Tutum Filial - Kamino</t>
        </is>
      </c>
      <c r="D452" t="n">
        <v>148</v>
      </c>
      <c r="E452" t="inlineStr">
        <is>
          <t>Bar Brahma - Granja</t>
        </is>
      </c>
      <c r="F452" s="27" t="n">
        <v>46028</v>
      </c>
      <c r="G452" t="inlineStr">
        <is>
          <t>DEBITO</t>
        </is>
      </c>
      <c r="H452" t="inlineStr">
        <is>
          <t>Julio Cesar da Cunha Junior</t>
        </is>
      </c>
      <c r="I452" t="n">
        <v>-2631.98</v>
      </c>
    </row>
    <row r="453">
      <c r="A453" t="n">
        <v>222604</v>
      </c>
      <c r="B453" t="n">
        <v>164</v>
      </c>
      <c r="C453" t="inlineStr">
        <is>
          <t>Bar Brahma Granja - FDB Filial - Kamino</t>
        </is>
      </c>
      <c r="D453" t="n">
        <v>148</v>
      </c>
      <c r="E453" t="inlineStr">
        <is>
          <t>Bar Brahma - Granja</t>
        </is>
      </c>
      <c r="F453" s="27" t="n">
        <v>46027</v>
      </c>
      <c r="G453" t="inlineStr">
        <is>
          <t>CREDITO</t>
        </is>
      </c>
      <c r="H453" t="inlineStr">
        <is>
          <t>Zig Tecnologia S.A.</t>
        </is>
      </c>
      <c r="I453" t="n">
        <v>73473</v>
      </c>
    </row>
    <row r="454">
      <c r="A454" t="n">
        <v>222608</v>
      </c>
      <c r="B454" t="n">
        <v>164</v>
      </c>
      <c r="C454" t="inlineStr">
        <is>
          <t>Bar Brahma Granja - FDB Filial - Kamino</t>
        </is>
      </c>
      <c r="D454" t="n">
        <v>148</v>
      </c>
      <c r="E454" t="inlineStr">
        <is>
          <t>Bar Brahma - Granja</t>
        </is>
      </c>
      <c r="F454" s="27" t="n">
        <v>46027</v>
      </c>
      <c r="G454" t="inlineStr">
        <is>
          <t>DEBITO</t>
        </is>
      </c>
      <c r="H454" t="inlineStr">
        <is>
          <t>Deolinda dos Santos Freitas</t>
        </is>
      </c>
      <c r="I454" t="n">
        <v>-675.42</v>
      </c>
    </row>
    <row r="455">
      <c r="A455" t="n">
        <v>222607</v>
      </c>
      <c r="B455" t="n">
        <v>164</v>
      </c>
      <c r="C455" t="inlineStr">
        <is>
          <t>Bar Brahma Granja - FDB Filial - Kamino</t>
        </is>
      </c>
      <c r="D455" t="n">
        <v>148</v>
      </c>
      <c r="E455" t="inlineStr">
        <is>
          <t>Bar Brahma - Granja</t>
        </is>
      </c>
      <c r="F455" s="27" t="n">
        <v>46027</v>
      </c>
      <c r="G455" t="inlineStr">
        <is>
          <t>DEBITO</t>
        </is>
      </c>
      <c r="H455" t="inlineStr">
        <is>
          <t>Mario Pedro Feliciano Hortifru</t>
        </is>
      </c>
      <c r="I455" t="n">
        <v>-143.81</v>
      </c>
    </row>
    <row r="456">
      <c r="A456" t="n">
        <v>222624</v>
      </c>
      <c r="B456" t="n">
        <v>164</v>
      </c>
      <c r="C456" t="inlineStr">
        <is>
          <t>Bar Brahma Granja - FDB Filial - Kamino</t>
        </is>
      </c>
      <c r="D456" t="n">
        <v>148</v>
      </c>
      <c r="E456" t="inlineStr">
        <is>
          <t>Bar Brahma - Granja</t>
        </is>
      </c>
      <c r="F456" s="27" t="n">
        <v>46027</v>
      </c>
      <c r="G456" t="inlineStr">
        <is>
          <t>DEBITO</t>
        </is>
      </c>
      <c r="H456" t="inlineStr">
        <is>
          <t>KAMINO INSTITUICAO DE PAGAMENTO LTDA</t>
        </is>
      </c>
      <c r="I456" t="n">
        <v>-3750.59</v>
      </c>
    </row>
    <row r="457">
      <c r="A457" t="n">
        <v>222606</v>
      </c>
      <c r="B457" t="n">
        <v>164</v>
      </c>
      <c r="C457" t="inlineStr">
        <is>
          <t>Bar Brahma Granja - FDB Filial - Kamino</t>
        </is>
      </c>
      <c r="D457" t="n">
        <v>148</v>
      </c>
      <c r="E457" t="inlineStr">
        <is>
          <t>Bar Brahma - Granja</t>
        </is>
      </c>
      <c r="F457" s="27" t="n">
        <v>46027</v>
      </c>
      <c r="G457" t="inlineStr">
        <is>
          <t>DEBITO</t>
        </is>
      </c>
      <c r="H457" t="inlineStr">
        <is>
          <t>Cepel Comercio de Papeis e Emb</t>
        </is>
      </c>
      <c r="I457" t="n">
        <v>-380</v>
      </c>
    </row>
    <row r="458">
      <c r="A458" t="n">
        <v>222623</v>
      </c>
      <c r="B458" t="n">
        <v>164</v>
      </c>
      <c r="C458" t="inlineStr">
        <is>
          <t>Bar Brahma Granja - FDB Filial - Kamino</t>
        </is>
      </c>
      <c r="D458" t="n">
        <v>148</v>
      </c>
      <c r="E458" t="inlineStr">
        <is>
          <t>Bar Brahma - Granja</t>
        </is>
      </c>
      <c r="F458" s="27" t="n">
        <v>46027</v>
      </c>
      <c r="G458" t="inlineStr">
        <is>
          <t>DEBITO</t>
        </is>
      </c>
      <c r="H458" t="inlineStr">
        <is>
          <t>Mario Pedro Feliciano Hortifru</t>
        </is>
      </c>
      <c r="I458" t="n">
        <v>-215.36</v>
      </c>
    </row>
    <row r="459">
      <c r="A459" t="n">
        <v>222605</v>
      </c>
      <c r="B459" t="n">
        <v>164</v>
      </c>
      <c r="C459" t="inlineStr">
        <is>
          <t>Bar Brahma Granja - FDB Filial - Kamino</t>
        </is>
      </c>
      <c r="D459" t="n">
        <v>148</v>
      </c>
      <c r="E459" t="inlineStr">
        <is>
          <t>Bar Brahma - Granja</t>
        </is>
      </c>
      <c r="F459" s="27" t="n">
        <v>46027</v>
      </c>
      <c r="G459" t="inlineStr">
        <is>
          <t>DEBITO</t>
        </is>
      </c>
      <c r="H459" t="inlineStr">
        <is>
          <t>Ambev S A</t>
        </is>
      </c>
      <c r="I459" t="n">
        <v>-2414</v>
      </c>
    </row>
    <row r="460">
      <c r="A460" t="n">
        <v>222622</v>
      </c>
      <c r="B460" t="n">
        <v>164</v>
      </c>
      <c r="C460" t="inlineStr">
        <is>
          <t>Bar Brahma Granja - FDB Filial - Kamino</t>
        </is>
      </c>
      <c r="D460" t="n">
        <v>148</v>
      </c>
      <c r="E460" t="inlineStr">
        <is>
          <t>Bar Brahma - Granja</t>
        </is>
      </c>
      <c r="F460" s="27" t="n">
        <v>46027</v>
      </c>
      <c r="G460" t="inlineStr">
        <is>
          <t>DEBITO</t>
        </is>
      </c>
      <c r="H460" t="inlineStr">
        <is>
          <t>Multifrangos com Alim Ltda Me</t>
        </is>
      </c>
      <c r="I460" t="n">
        <v>-492.58</v>
      </c>
    </row>
    <row r="461">
      <c r="A461" t="n">
        <v>222613</v>
      </c>
      <c r="B461" t="n">
        <v>164</v>
      </c>
      <c r="C461" t="inlineStr">
        <is>
          <t>Bar Brahma Granja - FDB Filial - Kamino</t>
        </is>
      </c>
      <c r="D461" t="n">
        <v>148</v>
      </c>
      <c r="E461" t="inlineStr">
        <is>
          <t>Bar Brahma - Granja</t>
        </is>
      </c>
      <c r="F461" s="27" t="n">
        <v>46027</v>
      </c>
      <c r="G461" t="inlineStr">
        <is>
          <t>DEBITO</t>
        </is>
      </c>
      <c r="H461" t="inlineStr">
        <is>
          <t>Trilha do Pao</t>
        </is>
      </c>
      <c r="I461" t="n">
        <v>-976.63</v>
      </c>
    </row>
    <row r="462">
      <c r="A462" t="n">
        <v>222609</v>
      </c>
      <c r="B462" t="n">
        <v>164</v>
      </c>
      <c r="C462" t="inlineStr">
        <is>
          <t>Bar Brahma Granja - FDB Filial - Kamino</t>
        </is>
      </c>
      <c r="D462" t="n">
        <v>148</v>
      </c>
      <c r="E462" t="inlineStr">
        <is>
          <t>Bar Brahma - Granja</t>
        </is>
      </c>
      <c r="F462" s="27" t="n">
        <v>46027</v>
      </c>
      <c r="G462" t="inlineStr">
        <is>
          <t>DEBITO</t>
        </is>
      </c>
      <c r="H462" t="inlineStr">
        <is>
          <t>Cecilia Tsuyaco Araki Silva Ltda</t>
        </is>
      </c>
      <c r="I462" t="n">
        <v>-233.15</v>
      </c>
    </row>
    <row r="463">
      <c r="A463" t="n">
        <v>222621</v>
      </c>
      <c r="B463" t="n">
        <v>164</v>
      </c>
      <c r="C463" t="inlineStr">
        <is>
          <t>Bar Brahma Granja - FDB Filial - Kamino</t>
        </is>
      </c>
      <c r="D463" t="n">
        <v>148</v>
      </c>
      <c r="E463" t="inlineStr">
        <is>
          <t>Bar Brahma - Granja</t>
        </is>
      </c>
      <c r="F463" s="27" t="n">
        <v>46027</v>
      </c>
      <c r="G463" t="inlineStr">
        <is>
          <t>DEBITO</t>
        </is>
      </c>
      <c r="H463" t="inlineStr">
        <is>
          <t>Eshows Promocoes Artisticas Ltda</t>
        </is>
      </c>
      <c r="I463" t="n">
        <v>-18750</v>
      </c>
    </row>
    <row r="464">
      <c r="A464" t="n">
        <v>222610</v>
      </c>
      <c r="B464" t="n">
        <v>164</v>
      </c>
      <c r="C464" t="inlineStr">
        <is>
          <t>Bar Brahma Granja - FDB Filial - Kamino</t>
        </is>
      </c>
      <c r="D464" t="n">
        <v>148</v>
      </c>
      <c r="E464" t="inlineStr">
        <is>
          <t>Bar Brahma - Granja</t>
        </is>
      </c>
      <c r="F464" s="27" t="n">
        <v>46027</v>
      </c>
      <c r="G464" t="inlineStr">
        <is>
          <t>DEBITO</t>
        </is>
      </c>
      <c r="H464" t="inlineStr">
        <is>
          <t>Andreia Santos Freitas Duarte</t>
        </is>
      </c>
      <c r="I464" t="n">
        <v>-297.07</v>
      </c>
    </row>
    <row r="465">
      <c r="A465" t="n">
        <v>222620</v>
      </c>
      <c r="B465" t="n">
        <v>164</v>
      </c>
      <c r="C465" t="inlineStr">
        <is>
          <t>Bar Brahma Granja - FDB Filial - Kamino</t>
        </is>
      </c>
      <c r="D465" t="n">
        <v>148</v>
      </c>
      <c r="E465" t="inlineStr">
        <is>
          <t>Bar Brahma - Granja</t>
        </is>
      </c>
      <c r="F465" s="27" t="n">
        <v>46027</v>
      </c>
      <c r="G465" t="inlineStr">
        <is>
          <t>DEBITO</t>
        </is>
      </c>
      <c r="H465" t="inlineStr">
        <is>
          <t>Btags Tecnologia Ltda</t>
        </is>
      </c>
      <c r="I465" t="n">
        <v>-380</v>
      </c>
    </row>
    <row r="466">
      <c r="A466" t="n">
        <v>222619</v>
      </c>
      <c r="B466" t="n">
        <v>164</v>
      </c>
      <c r="C466" t="inlineStr">
        <is>
          <t>Bar Brahma Granja - FDB Filial - Kamino</t>
        </is>
      </c>
      <c r="D466" t="n">
        <v>148</v>
      </c>
      <c r="E466" t="inlineStr">
        <is>
          <t>Bar Brahma - Granja</t>
        </is>
      </c>
      <c r="F466" s="27" t="n">
        <v>46027</v>
      </c>
      <c r="G466" t="inlineStr">
        <is>
          <t>DEBITO</t>
        </is>
      </c>
      <c r="H466" t="inlineStr">
        <is>
          <t>Headchef Assessoria de Seguranca dos Ali</t>
        </is>
      </c>
      <c r="I466" t="n">
        <v>-2545.89</v>
      </c>
    </row>
    <row r="467">
      <c r="A467" t="n">
        <v>222618</v>
      </c>
      <c r="B467" t="n">
        <v>164</v>
      </c>
      <c r="C467" t="inlineStr">
        <is>
          <t>Bar Brahma Granja - FDB Filial - Kamino</t>
        </is>
      </c>
      <c r="D467" t="n">
        <v>148</v>
      </c>
      <c r="E467" t="inlineStr">
        <is>
          <t>Bar Brahma - Granja</t>
        </is>
      </c>
      <c r="F467" s="27" t="n">
        <v>46027</v>
      </c>
      <c r="G467" t="inlineStr">
        <is>
          <t>DEBITO</t>
        </is>
      </c>
      <c r="H467" t="inlineStr">
        <is>
          <t>Companhia de Gas de Sp Comgas</t>
        </is>
      </c>
      <c r="I467" t="n">
        <v>-9898.450000000001</v>
      </c>
    </row>
    <row r="468">
      <c r="A468" t="n">
        <v>222617</v>
      </c>
      <c r="B468" t="n">
        <v>164</v>
      </c>
      <c r="C468" t="inlineStr">
        <is>
          <t>Bar Brahma Granja - FDB Filial - Kamino</t>
        </is>
      </c>
      <c r="D468" t="n">
        <v>148</v>
      </c>
      <c r="E468" t="inlineStr">
        <is>
          <t>Bar Brahma - Granja</t>
        </is>
      </c>
      <c r="F468" s="27" t="n">
        <v>46027</v>
      </c>
      <c r="G468" t="inlineStr">
        <is>
          <t>DEBITO</t>
        </is>
      </c>
      <c r="H468" t="inlineStr">
        <is>
          <t>Multifrangos com Alim Ltda Me</t>
        </is>
      </c>
      <c r="I468" t="n">
        <v>-1243.02</v>
      </c>
    </row>
    <row r="469">
      <c r="A469" t="n">
        <v>222616</v>
      </c>
      <c r="B469" t="n">
        <v>164</v>
      </c>
      <c r="C469" t="inlineStr">
        <is>
          <t>Bar Brahma Granja - FDB Filial - Kamino</t>
        </is>
      </c>
      <c r="D469" t="n">
        <v>148</v>
      </c>
      <c r="E469" t="inlineStr">
        <is>
          <t>Bar Brahma - Granja</t>
        </is>
      </c>
      <c r="F469" s="27" t="n">
        <v>46027</v>
      </c>
      <c r="G469" t="inlineStr">
        <is>
          <t>DEBITO</t>
        </is>
      </c>
      <c r="H469" t="inlineStr">
        <is>
          <t>Ambev S A</t>
        </is>
      </c>
      <c r="I469" t="n">
        <v>-4827.95</v>
      </c>
    </row>
    <row r="470">
      <c r="A470" t="n">
        <v>222615</v>
      </c>
      <c r="B470" t="n">
        <v>164</v>
      </c>
      <c r="C470" t="inlineStr">
        <is>
          <t>Bar Brahma Granja - FDB Filial - Kamino</t>
        </is>
      </c>
      <c r="D470" t="n">
        <v>148</v>
      </c>
      <c r="E470" t="inlineStr">
        <is>
          <t>Bar Brahma - Granja</t>
        </is>
      </c>
      <c r="F470" s="27" t="n">
        <v>46027</v>
      </c>
      <c r="G470" t="inlineStr">
        <is>
          <t>DEBITO</t>
        </is>
      </c>
      <c r="H470" t="inlineStr">
        <is>
          <t>Horta Nova Distribuidora de Hortifruti Ltda</t>
        </is>
      </c>
      <c r="I470" t="n">
        <v>-180.64</v>
      </c>
    </row>
    <row r="471">
      <c r="A471" t="n">
        <v>222614</v>
      </c>
      <c r="B471" t="n">
        <v>164</v>
      </c>
      <c r="C471" t="inlineStr">
        <is>
          <t>Bar Brahma Granja - FDB Filial - Kamino</t>
        </is>
      </c>
      <c r="D471" t="n">
        <v>148</v>
      </c>
      <c r="E471" t="inlineStr">
        <is>
          <t>Bar Brahma - Granja</t>
        </is>
      </c>
      <c r="F471" s="27" t="n">
        <v>46027</v>
      </c>
      <c r="G471" t="inlineStr">
        <is>
          <t>DEBITO</t>
        </is>
      </c>
      <c r="H471" t="inlineStr">
        <is>
          <t>Ambev S A</t>
        </is>
      </c>
      <c r="I471" t="n">
        <v>-2415.55</v>
      </c>
    </row>
    <row r="472">
      <c r="A472" t="n">
        <v>222611</v>
      </c>
      <c r="B472" t="n">
        <v>164</v>
      </c>
      <c r="C472" t="inlineStr">
        <is>
          <t>Bar Brahma Granja - FDB Filial - Kamino</t>
        </is>
      </c>
      <c r="D472" t="n">
        <v>148</v>
      </c>
      <c r="E472" t="inlineStr">
        <is>
          <t>Bar Brahma - Granja</t>
        </is>
      </c>
      <c r="F472" s="27" t="n">
        <v>46027</v>
      </c>
      <c r="G472" t="inlineStr">
        <is>
          <t>DEBITO</t>
        </is>
      </c>
      <c r="H472" t="inlineStr">
        <is>
          <t>Pss - Central da Limpeza Ltda</t>
        </is>
      </c>
      <c r="I472" t="n">
        <v>-1193.76</v>
      </c>
    </row>
    <row r="473">
      <c r="A473" t="n">
        <v>222612</v>
      </c>
      <c r="B473" t="n">
        <v>164</v>
      </c>
      <c r="C473" t="inlineStr">
        <is>
          <t>Bar Brahma Granja - FDB Filial - Kamino</t>
        </is>
      </c>
      <c r="D473" t="n">
        <v>148</v>
      </c>
      <c r="E473" t="inlineStr">
        <is>
          <t>Bar Brahma - Granja</t>
        </is>
      </c>
      <c r="F473" s="27" t="n">
        <v>46027</v>
      </c>
      <c r="G473" t="inlineStr">
        <is>
          <t>DEBITO</t>
        </is>
      </c>
      <c r="H473" t="inlineStr">
        <is>
          <t>Stemme Telecomunicacoes do Brasil Ltda.</t>
        </is>
      </c>
      <c r="I473" t="n">
        <v>-149.9</v>
      </c>
    </row>
    <row r="474">
      <c r="A474" t="n">
        <v>222651</v>
      </c>
      <c r="B474" t="n">
        <v>153</v>
      </c>
      <c r="C474" t="inlineStr">
        <is>
          <t>Bar Brahma Granja - FDB Novo - Banco do Brasil</t>
        </is>
      </c>
      <c r="D474" t="n">
        <v>148</v>
      </c>
      <c r="E474" t="inlineStr">
        <is>
          <t>Bar Brahma - Granja</t>
        </is>
      </c>
      <c r="F474" s="27" t="n">
        <v>46027</v>
      </c>
      <c r="G474" t="inlineStr">
        <is>
          <t>CREDITO</t>
        </is>
      </c>
      <c r="H474" t="inlineStr">
        <is>
          <t>TED-CRDITO EM CONTA - 341 0262 47866934000174 TICKET SERVICO</t>
        </is>
      </c>
      <c r="I474" t="n">
        <v>1676.41</v>
      </c>
    </row>
    <row r="475">
      <c r="A475" t="n">
        <v>222650</v>
      </c>
      <c r="B475" t="n">
        <v>153</v>
      </c>
      <c r="C475" t="inlineStr">
        <is>
          <t>Bar Brahma Granja - FDB Novo - Banco do Brasil</t>
        </is>
      </c>
      <c r="D475" t="n">
        <v>148</v>
      </c>
      <c r="E475" t="inlineStr">
        <is>
          <t>Bar Brahma - Granja</t>
        </is>
      </c>
      <c r="F475" s="27" t="n">
        <v>46027</v>
      </c>
      <c r="G475" t="inlineStr">
        <is>
          <t>CREDITO</t>
        </is>
      </c>
      <c r="H475" t="inlineStr">
        <is>
          <t>RECEBIMENTO FORNECEDOR - 04.740.876/0001-25 ALELO INSTITUICAO D</t>
        </is>
      </c>
      <c r="I475" t="n">
        <v>2242.58</v>
      </c>
    </row>
    <row r="476">
      <c r="A476" t="n">
        <v>222595</v>
      </c>
      <c r="B476" t="n">
        <v>164</v>
      </c>
      <c r="C476" t="inlineStr">
        <is>
          <t>Bar Brahma Granja - FDB Filial - Kamino</t>
        </is>
      </c>
      <c r="D476" t="n">
        <v>148</v>
      </c>
      <c r="E476" t="inlineStr">
        <is>
          <t>Bar Brahma - Granja</t>
        </is>
      </c>
      <c r="F476" s="27" t="n">
        <v>46024</v>
      </c>
      <c r="G476" t="inlineStr">
        <is>
          <t>DEBITO</t>
        </is>
      </c>
      <c r="H476" t="inlineStr">
        <is>
          <t>Laticinios Piramide Ltda</t>
        </is>
      </c>
      <c r="I476" t="n">
        <v>-2752.9</v>
      </c>
    </row>
    <row r="477">
      <c r="A477" t="n">
        <v>222586</v>
      </c>
      <c r="B477" t="n">
        <v>164</v>
      </c>
      <c r="C477" t="inlineStr">
        <is>
          <t>Bar Brahma Granja - FDB Filial - Kamino</t>
        </is>
      </c>
      <c r="D477" t="n">
        <v>148</v>
      </c>
      <c r="E477" t="inlineStr">
        <is>
          <t>Bar Brahma - Granja</t>
        </is>
      </c>
      <c r="F477" s="27" t="n">
        <v>46024</v>
      </c>
      <c r="G477" t="inlineStr">
        <is>
          <t>DEBITO</t>
        </is>
      </c>
      <c r="H477" t="inlineStr">
        <is>
          <t>Marcos Silva do Nascimento 00753897547</t>
        </is>
      </c>
      <c r="I477" t="n">
        <v>-3016.34</v>
      </c>
    </row>
    <row r="478">
      <c r="A478" t="n">
        <v>222587</v>
      </c>
      <c r="B478" t="n">
        <v>164</v>
      </c>
      <c r="C478" t="inlineStr">
        <is>
          <t>Bar Brahma Granja - FDB Filial - Kamino</t>
        </is>
      </c>
      <c r="D478" t="n">
        <v>148</v>
      </c>
      <c r="E478" t="inlineStr">
        <is>
          <t>Bar Brahma - Granja</t>
        </is>
      </c>
      <c r="F478" s="27" t="n">
        <v>46024</v>
      </c>
      <c r="G478" t="inlineStr">
        <is>
          <t>DEBITO</t>
        </is>
      </c>
      <c r="H478" t="inlineStr">
        <is>
          <t>Cecilia Tsuyaco Araki Silva Ltda</t>
        </is>
      </c>
      <c r="I478" t="n">
        <v>-836.9400000000001</v>
      </c>
    </row>
    <row r="479">
      <c r="A479" t="n">
        <v>222588</v>
      </c>
      <c r="B479" t="n">
        <v>164</v>
      </c>
      <c r="C479" t="inlineStr">
        <is>
          <t>Bar Brahma Granja - FDB Filial - Kamino</t>
        </is>
      </c>
      <c r="D479" t="n">
        <v>148</v>
      </c>
      <c r="E479" t="inlineStr">
        <is>
          <t>Bar Brahma - Granja</t>
        </is>
      </c>
      <c r="F479" s="27" t="n">
        <v>46024</v>
      </c>
      <c r="G479" t="inlineStr">
        <is>
          <t>DEBITO</t>
        </is>
      </c>
      <c r="H479" t="inlineStr">
        <is>
          <t>Cecilia Tsuyaco Araki Silva Ltda</t>
        </is>
      </c>
      <c r="I479" t="n">
        <v>-362.9</v>
      </c>
    </row>
    <row r="480">
      <c r="A480" t="n">
        <v>222589</v>
      </c>
      <c r="B480" t="n">
        <v>164</v>
      </c>
      <c r="C480" t="inlineStr">
        <is>
          <t>Bar Brahma Granja - FDB Filial - Kamino</t>
        </is>
      </c>
      <c r="D480" t="n">
        <v>148</v>
      </c>
      <c r="E480" t="inlineStr">
        <is>
          <t>Bar Brahma - Granja</t>
        </is>
      </c>
      <c r="F480" s="27" t="n">
        <v>46024</v>
      </c>
      <c r="G480" t="inlineStr">
        <is>
          <t>DEBITO</t>
        </is>
      </c>
      <c r="H480" t="inlineStr">
        <is>
          <t>Front Bebidas Litda</t>
        </is>
      </c>
      <c r="I480" t="n">
        <v>-494.67</v>
      </c>
    </row>
    <row r="481">
      <c r="A481" t="n">
        <v>222590</v>
      </c>
      <c r="B481" t="n">
        <v>164</v>
      </c>
      <c r="C481" t="inlineStr">
        <is>
          <t>Bar Brahma Granja - FDB Filial - Kamino</t>
        </is>
      </c>
      <c r="D481" t="n">
        <v>148</v>
      </c>
      <c r="E481" t="inlineStr">
        <is>
          <t>Bar Brahma - Granja</t>
        </is>
      </c>
      <c r="F481" s="27" t="n">
        <v>46024</v>
      </c>
      <c r="G481" t="inlineStr">
        <is>
          <t>DEBITO</t>
        </is>
      </c>
      <c r="H481" t="inlineStr">
        <is>
          <t>Dtk Comercio de Alimentos Ltda Epp</t>
        </is>
      </c>
      <c r="I481" t="n">
        <v>-282.2</v>
      </c>
    </row>
    <row r="482">
      <c r="A482" t="n">
        <v>222591</v>
      </c>
      <c r="B482" t="n">
        <v>164</v>
      </c>
      <c r="C482" t="inlineStr">
        <is>
          <t>Bar Brahma Granja - FDB Filial - Kamino</t>
        </is>
      </c>
      <c r="D482" t="n">
        <v>148</v>
      </c>
      <c r="E482" t="inlineStr">
        <is>
          <t>Bar Brahma - Granja</t>
        </is>
      </c>
      <c r="F482" s="27" t="n">
        <v>46024</v>
      </c>
      <c r="G482" t="inlineStr">
        <is>
          <t>DEBITO</t>
        </is>
      </c>
      <c r="H482" t="inlineStr">
        <is>
          <t>Wide Stock com e Rep Ltda</t>
        </is>
      </c>
      <c r="I482" t="n">
        <v>-518.8099999999999</v>
      </c>
    </row>
    <row r="483">
      <c r="A483" t="n">
        <v>222592</v>
      </c>
      <c r="B483" t="n">
        <v>164</v>
      </c>
      <c r="C483" t="inlineStr">
        <is>
          <t>Bar Brahma Granja - FDB Filial - Kamino</t>
        </is>
      </c>
      <c r="D483" t="n">
        <v>148</v>
      </c>
      <c r="E483" t="inlineStr">
        <is>
          <t>Bar Brahma - Granja</t>
        </is>
      </c>
      <c r="F483" s="27" t="n">
        <v>46024</v>
      </c>
      <c r="G483" t="inlineStr">
        <is>
          <t>DEBITO</t>
        </is>
      </c>
      <c r="H483" t="inlineStr">
        <is>
          <t>Horta Nova Distribuidora de Hortifruti Ltda</t>
        </is>
      </c>
      <c r="I483" t="n">
        <v>-181.78</v>
      </c>
    </row>
    <row r="484">
      <c r="A484" t="n">
        <v>222593</v>
      </c>
      <c r="B484" t="n">
        <v>164</v>
      </c>
      <c r="C484" t="inlineStr">
        <is>
          <t>Bar Brahma Granja - FDB Filial - Kamino</t>
        </is>
      </c>
      <c r="D484" t="n">
        <v>148</v>
      </c>
      <c r="E484" t="inlineStr">
        <is>
          <t>Bar Brahma - Granja</t>
        </is>
      </c>
      <c r="F484" s="27" t="n">
        <v>46024</v>
      </c>
      <c r="G484" t="inlineStr">
        <is>
          <t>DEBITO</t>
        </is>
      </c>
      <c r="H484" t="inlineStr">
        <is>
          <t>Ambev S A</t>
        </is>
      </c>
      <c r="I484" t="n">
        <v>-2853.77</v>
      </c>
    </row>
    <row r="485">
      <c r="A485" t="n">
        <v>222594</v>
      </c>
      <c r="B485" t="n">
        <v>164</v>
      </c>
      <c r="C485" t="inlineStr">
        <is>
          <t>Bar Brahma Granja - FDB Filial - Kamino</t>
        </is>
      </c>
      <c r="D485" t="n">
        <v>148</v>
      </c>
      <c r="E485" t="inlineStr">
        <is>
          <t>Bar Brahma - Granja</t>
        </is>
      </c>
      <c r="F485" s="27" t="n">
        <v>46024</v>
      </c>
      <c r="G485" t="inlineStr">
        <is>
          <t>DEBITO</t>
        </is>
      </c>
      <c r="H485" t="inlineStr">
        <is>
          <t>Ambev S A</t>
        </is>
      </c>
      <c r="I485" t="n">
        <v>-4831.55</v>
      </c>
    </row>
    <row r="486">
      <c r="A486" t="n">
        <v>222584</v>
      </c>
      <c r="B486" t="n">
        <v>164</v>
      </c>
      <c r="C486" t="inlineStr">
        <is>
          <t>Bar Brahma Granja - FDB Filial - Kamino</t>
        </is>
      </c>
      <c r="D486" t="n">
        <v>148</v>
      </c>
      <c r="E486" t="inlineStr">
        <is>
          <t>Bar Brahma - Granja</t>
        </is>
      </c>
      <c r="F486" s="27" t="n">
        <v>46024</v>
      </c>
      <c r="G486" t="inlineStr">
        <is>
          <t>DEBITO</t>
        </is>
      </c>
      <c r="H486" t="inlineStr">
        <is>
          <t>Arthur Alves da Silva</t>
        </is>
      </c>
      <c r="I486" t="n">
        <v>-1502</v>
      </c>
    </row>
    <row r="487">
      <c r="A487" t="n">
        <v>222597</v>
      </c>
      <c r="B487" t="n">
        <v>164</v>
      </c>
      <c r="C487" t="inlineStr">
        <is>
          <t>Bar Brahma Granja - FDB Filial - Kamino</t>
        </is>
      </c>
      <c r="D487" t="n">
        <v>148</v>
      </c>
      <c r="E487" t="inlineStr">
        <is>
          <t>Bar Brahma - Granja</t>
        </is>
      </c>
      <c r="F487" s="27" t="n">
        <v>46024</v>
      </c>
      <c r="G487" t="inlineStr">
        <is>
          <t>DEBITO</t>
        </is>
      </c>
      <c r="H487" t="inlineStr">
        <is>
          <t>Estaff Solucoes Tecnologicas de Agenciam</t>
        </is>
      </c>
      <c r="I487" t="n">
        <v>-8983.35</v>
      </c>
    </row>
    <row r="488">
      <c r="A488" t="n">
        <v>222598</v>
      </c>
      <c r="B488" t="n">
        <v>164</v>
      </c>
      <c r="C488" t="inlineStr">
        <is>
          <t>Bar Brahma Granja - FDB Filial - Kamino</t>
        </is>
      </c>
      <c r="D488" t="n">
        <v>148</v>
      </c>
      <c r="E488" t="inlineStr">
        <is>
          <t>Bar Brahma - Granja</t>
        </is>
      </c>
      <c r="F488" s="27" t="n">
        <v>46024</v>
      </c>
      <c r="G488" t="inlineStr">
        <is>
          <t>DEBITO</t>
        </is>
      </c>
      <c r="H488" t="inlineStr">
        <is>
          <t>Ambev S A</t>
        </is>
      </c>
      <c r="I488" t="n">
        <v>-919.55</v>
      </c>
    </row>
    <row r="489">
      <c r="A489" t="n">
        <v>222599</v>
      </c>
      <c r="B489" t="n">
        <v>164</v>
      </c>
      <c r="C489" t="inlineStr">
        <is>
          <t>Bar Brahma Granja - FDB Filial - Kamino</t>
        </is>
      </c>
      <c r="D489" t="n">
        <v>148</v>
      </c>
      <c r="E489" t="inlineStr">
        <is>
          <t>Bar Brahma - Granja</t>
        </is>
      </c>
      <c r="F489" s="27" t="n">
        <v>46024</v>
      </c>
      <c r="G489" t="inlineStr">
        <is>
          <t>DEBITO</t>
        </is>
      </c>
      <c r="H489" t="inlineStr">
        <is>
          <t>Mario Pedro Feliciano Hortifru</t>
        </is>
      </c>
      <c r="I489" t="n">
        <v>-466.22</v>
      </c>
    </row>
    <row r="490">
      <c r="A490" t="n">
        <v>222600</v>
      </c>
      <c r="B490" t="n">
        <v>164</v>
      </c>
      <c r="C490" t="inlineStr">
        <is>
          <t>Bar Brahma Granja - FDB Filial - Kamino</t>
        </is>
      </c>
      <c r="D490" t="n">
        <v>148</v>
      </c>
      <c r="E490" t="inlineStr">
        <is>
          <t>Bar Brahma - Granja</t>
        </is>
      </c>
      <c r="F490" s="27" t="n">
        <v>46024</v>
      </c>
      <c r="G490" t="inlineStr">
        <is>
          <t>DEBITO</t>
        </is>
      </c>
      <c r="H490" t="inlineStr">
        <is>
          <t>Pagseguro Internet I.P. S.A.</t>
        </is>
      </c>
      <c r="I490" t="n">
        <v>-395</v>
      </c>
    </row>
    <row r="491">
      <c r="A491" t="n">
        <v>222601</v>
      </c>
      <c r="B491" t="n">
        <v>164</v>
      </c>
      <c r="C491" t="inlineStr">
        <is>
          <t>Bar Brahma Granja - FDB Filial - Kamino</t>
        </is>
      </c>
      <c r="D491" t="n">
        <v>148</v>
      </c>
      <c r="E491" t="inlineStr">
        <is>
          <t>Bar Brahma - Granja</t>
        </is>
      </c>
      <c r="F491" s="27" t="n">
        <v>46024</v>
      </c>
      <c r="G491" t="inlineStr">
        <is>
          <t>DEBITO</t>
        </is>
      </c>
      <c r="H491" t="inlineStr">
        <is>
          <t>Cecilia Tsuyaco Araki Silva Ltda</t>
        </is>
      </c>
      <c r="I491" t="n">
        <v>-370.8</v>
      </c>
    </row>
    <row r="492">
      <c r="A492" t="n">
        <v>222602</v>
      </c>
      <c r="B492" t="n">
        <v>164</v>
      </c>
      <c r="C492" t="inlineStr">
        <is>
          <t>Bar Brahma Granja - FDB Filial - Kamino</t>
        </is>
      </c>
      <c r="D492" t="n">
        <v>148</v>
      </c>
      <c r="E492" t="inlineStr">
        <is>
          <t>Bar Brahma - Granja</t>
        </is>
      </c>
      <c r="F492" s="27" t="n">
        <v>46024</v>
      </c>
      <c r="G492" t="inlineStr">
        <is>
          <t>DEBITO</t>
        </is>
      </c>
      <c r="H492" t="inlineStr">
        <is>
          <t>Horta Nova Distribuidora de Hortifruti Ltda</t>
        </is>
      </c>
      <c r="I492" t="n">
        <v>-125.32</v>
      </c>
    </row>
    <row r="493">
      <c r="A493" t="n">
        <v>222585</v>
      </c>
      <c r="B493" t="n">
        <v>164</v>
      </c>
      <c r="C493" t="inlineStr">
        <is>
          <t>Bar Brahma Granja - FDB Filial - Kamino</t>
        </is>
      </c>
      <c r="D493" t="n">
        <v>148</v>
      </c>
      <c r="E493" t="inlineStr">
        <is>
          <t>Bar Brahma - Granja</t>
        </is>
      </c>
      <c r="F493" s="27" t="n">
        <v>46024</v>
      </c>
      <c r="G493" t="inlineStr">
        <is>
          <t>DEBITO</t>
        </is>
      </c>
      <c r="H493" t="inlineStr">
        <is>
          <t>Cia do Whisky</t>
        </is>
      </c>
      <c r="I493" t="n">
        <v>-937.01</v>
      </c>
    </row>
    <row r="494">
      <c r="A494" t="n">
        <v>222596</v>
      </c>
      <c r="B494" t="n">
        <v>164</v>
      </c>
      <c r="C494" t="inlineStr">
        <is>
          <t>Bar Brahma Granja - FDB Filial - Kamino</t>
        </is>
      </c>
      <c r="D494" t="n">
        <v>148</v>
      </c>
      <c r="E494" t="inlineStr">
        <is>
          <t>Bar Brahma - Granja</t>
        </is>
      </c>
      <c r="F494" s="27" t="n">
        <v>46024</v>
      </c>
      <c r="G494" t="inlineStr">
        <is>
          <t>DEBITO</t>
        </is>
      </c>
      <c r="H494" t="inlineStr">
        <is>
          <t>Mario Pedro Feliciano Hortifru</t>
        </is>
      </c>
      <c r="I494" t="n">
        <v>-231.54</v>
      </c>
    </row>
    <row r="495">
      <c r="A495" t="n">
        <v>222583</v>
      </c>
      <c r="B495" t="n">
        <v>164</v>
      </c>
      <c r="C495" t="inlineStr">
        <is>
          <t>Bar Brahma Granja - FDB Filial - Kamino</t>
        </is>
      </c>
      <c r="D495" t="n">
        <v>148</v>
      </c>
      <c r="E495" t="inlineStr">
        <is>
          <t>Bar Brahma - Granja</t>
        </is>
      </c>
      <c r="F495" s="27" t="n">
        <v>46024</v>
      </c>
      <c r="G495" t="inlineStr">
        <is>
          <t>CREDITO</t>
        </is>
      </c>
      <c r="H495" t="inlineStr">
        <is>
          <t>TEMPUS FUGIT PARTICIPACOES E EMPREENDIMENTOS LTDA</t>
        </is>
      </c>
      <c r="I495" t="n">
        <v>6000</v>
      </c>
    </row>
    <row r="496">
      <c r="A496" t="n">
        <v>222582</v>
      </c>
      <c r="B496" t="n">
        <v>164</v>
      </c>
      <c r="C496" t="inlineStr">
        <is>
          <t>Bar Brahma Granja - FDB Filial - Kamino</t>
        </is>
      </c>
      <c r="D496" t="n">
        <v>148</v>
      </c>
      <c r="E496" t="inlineStr">
        <is>
          <t>Bar Brahma - Granja</t>
        </is>
      </c>
      <c r="F496" s="27" t="n">
        <v>46024</v>
      </c>
      <c r="G496" t="inlineStr">
        <is>
          <t>DEBITO</t>
        </is>
      </c>
      <c r="H496" t="inlineStr">
        <is>
          <t>Plasticos Segantini Eireli</t>
        </is>
      </c>
      <c r="I496" t="n">
        <v>-1567.5</v>
      </c>
    </row>
    <row r="497">
      <c r="A497" t="n">
        <v>222581</v>
      </c>
      <c r="B497" t="n">
        <v>164</v>
      </c>
      <c r="C497" t="inlineStr">
        <is>
          <t>Bar Brahma Granja - FDB Filial - Kamino</t>
        </is>
      </c>
      <c r="D497" t="n">
        <v>148</v>
      </c>
      <c r="E497" t="inlineStr">
        <is>
          <t>Bar Brahma - Granja</t>
        </is>
      </c>
      <c r="F497" s="27" t="n">
        <v>46024</v>
      </c>
      <c r="G497" t="inlineStr">
        <is>
          <t>DEBITO</t>
        </is>
      </c>
      <c r="H497" t="inlineStr">
        <is>
          <t>Evidencia Moda P C U Ltda</t>
        </is>
      </c>
      <c r="I497" t="n">
        <v>-652.05</v>
      </c>
    </row>
    <row r="498">
      <c r="A498" t="n">
        <v>222580</v>
      </c>
      <c r="B498" t="n">
        <v>164</v>
      </c>
      <c r="C498" t="inlineStr">
        <is>
          <t>Bar Brahma Granja - FDB Filial - Kamino</t>
        </is>
      </c>
      <c r="D498" t="n">
        <v>148</v>
      </c>
      <c r="E498" t="inlineStr">
        <is>
          <t>Bar Brahma - Granja</t>
        </is>
      </c>
      <c r="F498" s="27" t="n">
        <v>46024</v>
      </c>
      <c r="G498" t="inlineStr">
        <is>
          <t>CREDITO</t>
        </is>
      </c>
      <c r="H498" t="inlineStr">
        <is>
          <t>Zig Tecnologia S.A.</t>
        </is>
      </c>
      <c r="I498" t="n">
        <v>20408.4</v>
      </c>
    </row>
    <row r="499">
      <c r="A499" t="n">
        <v>222646</v>
      </c>
      <c r="B499" t="n">
        <v>153</v>
      </c>
      <c r="C499" t="inlineStr">
        <is>
          <t>Bar Brahma Granja - FDB Novo - Banco do Brasil</t>
        </is>
      </c>
      <c r="D499" t="n">
        <v>148</v>
      </c>
      <c r="E499" t="inlineStr">
        <is>
          <t>Bar Brahma - Granja</t>
        </is>
      </c>
      <c r="F499" s="27" t="n">
        <v>46024</v>
      </c>
      <c r="G499" t="inlineStr">
        <is>
          <t>CREDITO</t>
        </is>
      </c>
      <c r="H499" t="inlineStr">
        <is>
          <t>RECEBIMENTO FORNECEDOR - 04.740.876/0001-25 ALELO INSTITUICAO D</t>
        </is>
      </c>
      <c r="I499" t="n">
        <v>1170.24</v>
      </c>
    </row>
    <row r="500">
      <c r="A500" t="n">
        <v>222647</v>
      </c>
      <c r="B500" t="n">
        <v>153</v>
      </c>
      <c r="C500" t="inlineStr">
        <is>
          <t>Bar Brahma Granja - FDB Novo - Banco do Brasil</t>
        </is>
      </c>
      <c r="D500" t="n">
        <v>148</v>
      </c>
      <c r="E500" t="inlineStr">
        <is>
          <t>Bar Brahma - Granja</t>
        </is>
      </c>
      <c r="F500" s="27" t="n">
        <v>46024</v>
      </c>
      <c r="G500" t="inlineStr">
        <is>
          <t>CREDITO</t>
        </is>
      </c>
      <c r="H500" t="inlineStr">
        <is>
          <t>TED-CRDITO EM CONTA - 341 0912 69034668000156 PLUXEE BENEFIC</t>
        </is>
      </c>
      <c r="I500" t="n">
        <v>70.45999999999999</v>
      </c>
    </row>
    <row r="501">
      <c r="A501" t="n">
        <v>222648</v>
      </c>
      <c r="B501" t="n">
        <v>153</v>
      </c>
      <c r="C501" t="inlineStr">
        <is>
          <t>Bar Brahma Granja - FDB Novo - Banco do Brasil</t>
        </is>
      </c>
      <c r="D501" t="n">
        <v>148</v>
      </c>
      <c r="E501" t="inlineStr">
        <is>
          <t>Bar Brahma - Granja</t>
        </is>
      </c>
      <c r="F501" s="27" t="n">
        <v>46024</v>
      </c>
      <c r="G501" t="inlineStr">
        <is>
          <t>CREDITO</t>
        </is>
      </c>
      <c r="H501" t="inlineStr">
        <is>
          <t>TED-CRDITO EM CONTA - 341 0912 69034668000156 PLUXEE BENEFIC</t>
        </is>
      </c>
      <c r="I501" t="n">
        <v>1987.8</v>
      </c>
    </row>
    <row r="502">
      <c r="A502" t="n">
        <v>222649</v>
      </c>
      <c r="B502" t="n">
        <v>153</v>
      </c>
      <c r="C502" t="inlineStr">
        <is>
          <t>Bar Brahma Granja - FDB Novo - Banco do Brasil</t>
        </is>
      </c>
      <c r="D502" t="n">
        <v>148</v>
      </c>
      <c r="E502" t="inlineStr">
        <is>
          <t>Bar Brahma - Granja</t>
        </is>
      </c>
      <c r="F502" s="27" t="n">
        <v>46024</v>
      </c>
      <c r="G502" t="inlineStr">
        <is>
          <t>CREDITO</t>
        </is>
      </c>
      <c r="H502" t="inlineStr">
        <is>
          <t>TED-CRDITO EM CONTA - 341 0912 69034668000156 PLUXEE BENEFIC</t>
        </is>
      </c>
      <c r="I502" t="n">
        <v>308.39</v>
      </c>
    </row>
    <row r="503">
      <c r="A503" t="n">
        <v>222655</v>
      </c>
      <c r="B503" t="n">
        <v>148</v>
      </c>
      <c r="C503" t="inlineStr">
        <is>
          <t>Bar Brahma Granja - Tutum Filial - Kamino</t>
        </is>
      </c>
      <c r="D503" t="n">
        <v>148</v>
      </c>
      <c r="E503" t="inlineStr">
        <is>
          <t>Bar Brahma - Granja</t>
        </is>
      </c>
      <c r="F503" s="27" t="n">
        <v>46024</v>
      </c>
      <c r="G503" t="inlineStr">
        <is>
          <t>CREDITO</t>
        </is>
      </c>
      <c r="H503" t="inlineStr">
        <is>
          <t>TEMPUS FUGIT PARTICIPACOES E EMPREENDIMENTOS LTDA</t>
        </is>
      </c>
      <c r="I503" t="n">
        <v>12800</v>
      </c>
    </row>
    <row r="504">
      <c r="A504" t="n">
        <v>222656</v>
      </c>
      <c r="B504" t="n">
        <v>148</v>
      </c>
      <c r="C504" t="inlineStr">
        <is>
          <t>Bar Brahma Granja - Tutum Filial - Kamino</t>
        </is>
      </c>
      <c r="D504" t="n">
        <v>148</v>
      </c>
      <c r="E504" t="inlineStr">
        <is>
          <t>Bar Brahma - Granja</t>
        </is>
      </c>
      <c r="F504" s="27" t="n">
        <v>46024</v>
      </c>
      <c r="G504" t="inlineStr">
        <is>
          <t>DEBITO</t>
        </is>
      </c>
      <c r="H504" t="inlineStr">
        <is>
          <t>Jefferson Schmaedeker dos Santos</t>
        </is>
      </c>
      <c r="I504" t="n">
        <v>-2000</v>
      </c>
    </row>
    <row r="505">
      <c r="A505" t="n">
        <v>222657</v>
      </c>
      <c r="B505" t="n">
        <v>148</v>
      </c>
      <c r="C505" t="inlineStr">
        <is>
          <t>Bar Brahma Granja - Tutum Filial - Kamino</t>
        </is>
      </c>
      <c r="D505" t="n">
        <v>148</v>
      </c>
      <c r="E505" t="inlineStr">
        <is>
          <t>Bar Brahma - Granja</t>
        </is>
      </c>
      <c r="F505" s="27" t="n">
        <v>46024</v>
      </c>
      <c r="G505" t="inlineStr">
        <is>
          <t>DEBITO</t>
        </is>
      </c>
      <c r="H505" t="inlineStr">
        <is>
          <t>Giliarde Jose Marques</t>
        </is>
      </c>
      <c r="I505" t="n">
        <v>-3300</v>
      </c>
    </row>
    <row r="506">
      <c r="A506" t="n">
        <v>222658</v>
      </c>
      <c r="B506" t="n">
        <v>148</v>
      </c>
      <c r="C506" t="inlineStr">
        <is>
          <t>Bar Brahma Granja - Tutum Filial - Kamino</t>
        </is>
      </c>
      <c r="D506" t="n">
        <v>148</v>
      </c>
      <c r="E506" t="inlineStr">
        <is>
          <t>Bar Brahma - Granja</t>
        </is>
      </c>
      <c r="F506" s="27" t="n">
        <v>46024</v>
      </c>
      <c r="G506" t="inlineStr">
        <is>
          <t>DEBITO</t>
        </is>
      </c>
      <c r="H506" t="inlineStr">
        <is>
          <t>Joao Paulo</t>
        </is>
      </c>
      <c r="I506" t="n">
        <v>-2100</v>
      </c>
    </row>
    <row r="507">
      <c r="A507" t="n">
        <v>222659</v>
      </c>
      <c r="B507" t="n">
        <v>148</v>
      </c>
      <c r="C507" t="inlineStr">
        <is>
          <t>Bar Brahma Granja - Tutum Filial - Kamino</t>
        </is>
      </c>
      <c r="D507" t="n">
        <v>148</v>
      </c>
      <c r="E507" t="inlineStr">
        <is>
          <t>Bar Brahma - Granja</t>
        </is>
      </c>
      <c r="F507" s="27" t="n">
        <v>46024</v>
      </c>
      <c r="G507" t="inlineStr">
        <is>
          <t>DEBITO</t>
        </is>
      </c>
      <c r="H507" t="inlineStr">
        <is>
          <t>Francisca Alane Paulino Gomes</t>
        </is>
      </c>
      <c r="I507" t="n">
        <v>-3300</v>
      </c>
    </row>
    <row r="508">
      <c r="A508" t="n">
        <v>222660</v>
      </c>
      <c r="B508" t="n">
        <v>148</v>
      </c>
      <c r="C508" t="inlineStr">
        <is>
          <t>Bar Brahma Granja - Tutum Filial - Kamino</t>
        </is>
      </c>
      <c r="D508" t="n">
        <v>148</v>
      </c>
      <c r="E508" t="inlineStr">
        <is>
          <t>Bar Brahma - Granja</t>
        </is>
      </c>
      <c r="F508" s="27" t="n">
        <v>46024</v>
      </c>
      <c r="G508" t="inlineStr">
        <is>
          <t>DEBITO</t>
        </is>
      </c>
      <c r="H508" t="inlineStr">
        <is>
          <t>Maicon Santos Luz Silva</t>
        </is>
      </c>
      <c r="I508" t="n">
        <v>-2100</v>
      </c>
    </row>
    <row r="509">
      <c r="A509" t="n">
        <v>222603</v>
      </c>
      <c r="B509" t="n">
        <v>164</v>
      </c>
      <c r="C509" t="inlineStr">
        <is>
          <t>Bar Brahma Granja - FDB Filial - Kamino</t>
        </is>
      </c>
      <c r="D509" t="n">
        <v>148</v>
      </c>
      <c r="E509" t="inlineStr">
        <is>
          <t>Bar Brahma - Granja</t>
        </is>
      </c>
      <c r="F509" s="27" t="n">
        <v>46024</v>
      </c>
      <c r="G509" t="inlineStr">
        <is>
          <t>DEBITO</t>
        </is>
      </c>
      <c r="H509" t="inlineStr">
        <is>
          <t>Casa de Carnes P.J.J.Ltda</t>
        </is>
      </c>
      <c r="I509" t="n">
        <v>-333.94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Mutuo_ID</t>
        </is>
      </c>
      <c r="B1" t="inlineStr">
        <is>
          <t>Data_Mutuo</t>
        </is>
      </c>
      <c r="C1" t="inlineStr">
        <is>
          <t>ID_Casa_Saida</t>
        </is>
      </c>
      <c r="D1" t="inlineStr">
        <is>
          <t>Casa_Saida</t>
        </is>
      </c>
      <c r="E1" t="inlineStr">
        <is>
          <t>ID_Conta_Saida</t>
        </is>
      </c>
      <c r="F1" t="inlineStr">
        <is>
          <t>Conta_Saida</t>
        </is>
      </c>
      <c r="G1" t="inlineStr">
        <is>
          <t>ID_Casa_Entrada</t>
        </is>
      </c>
      <c r="H1" t="inlineStr">
        <is>
          <t>Casa_Entrada</t>
        </is>
      </c>
      <c r="I1" t="inlineStr">
        <is>
          <t>ID_Conta_Entrada</t>
        </is>
      </c>
      <c r="J1" t="inlineStr">
        <is>
          <t>Conta_Entrada</t>
        </is>
      </c>
      <c r="K1" t="inlineStr">
        <is>
          <t>Tag_Faturam_Zig</t>
        </is>
      </c>
      <c r="L1" t="inlineStr">
        <is>
          <t>Observacoes</t>
        </is>
      </c>
      <c r="M1" t="inlineStr">
        <is>
          <t>Valor_Entrada</t>
        </is>
      </c>
      <c r="N1" t="inlineStr">
        <is>
          <t>Valor_Saida</t>
        </is>
      </c>
    </row>
    <row r="2">
      <c r="A2" t="n">
        <v>9072</v>
      </c>
      <c r="B2" s="27" t="n">
        <v>46050</v>
      </c>
      <c r="C2" t="n">
        <v>148</v>
      </c>
      <c r="D2" t="inlineStr">
        <is>
          <t>Bar Brahma - Granja</t>
        </is>
      </c>
      <c r="E2" t="n">
        <v>164</v>
      </c>
      <c r="F2" t="inlineStr">
        <is>
          <t>Bar Brahma Granja - FDB Filial - Kamino</t>
        </is>
      </c>
      <c r="G2" t="n">
        <v>148</v>
      </c>
      <c r="H2" t="inlineStr">
        <is>
          <t>Bar Brahma - Granja</t>
        </is>
      </c>
      <c r="I2" t="n">
        <v>148</v>
      </c>
      <c r="J2" t="inlineStr">
        <is>
          <t>Bar Brahma Granja - Tutum Filial - Kamino</t>
        </is>
      </c>
      <c r="K2" t="n">
        <v>0</v>
      </c>
      <c r="L2" t="inlineStr">
        <is>
          <t xml:space="preserve">MUTUO ELAINE </t>
        </is>
      </c>
      <c r="M2" t="n">
        <v>2100</v>
      </c>
      <c r="N2" t="n">
        <v>2100</v>
      </c>
    </row>
    <row r="3">
      <c r="A3" t="n">
        <v>9061</v>
      </c>
      <c r="B3" s="27" t="n">
        <v>46049</v>
      </c>
      <c r="C3" t="n">
        <v>148</v>
      </c>
      <c r="D3" t="inlineStr">
        <is>
          <t>Bar Brahma - Granja</t>
        </is>
      </c>
      <c r="E3" t="n">
        <v>164</v>
      </c>
      <c r="F3" t="inlineStr">
        <is>
          <t>Bar Brahma Granja - FDB Filial - Kamino</t>
        </is>
      </c>
      <c r="G3" t="n">
        <v>148</v>
      </c>
      <c r="H3" t="inlineStr">
        <is>
          <t>Bar Brahma - Granja</t>
        </is>
      </c>
      <c r="I3" t="n">
        <v>148</v>
      </c>
      <c r="J3" t="inlineStr">
        <is>
          <t>Bar Brahma Granja - Tutum Filial - Kamino</t>
        </is>
      </c>
      <c r="K3" t="n">
        <v>0</v>
      </c>
      <c r="L3" t="inlineStr">
        <is>
          <t xml:space="preserve">MUTUO ELAINE </t>
        </is>
      </c>
      <c r="M3" t="n">
        <v>7400</v>
      </c>
      <c r="N3" t="n">
        <v>7400</v>
      </c>
    </row>
    <row r="4">
      <c r="A4" t="n">
        <v>9040</v>
      </c>
      <c r="B4" s="27" t="n">
        <v>46048</v>
      </c>
      <c r="C4" t="n">
        <v>148</v>
      </c>
      <c r="D4" t="inlineStr">
        <is>
          <t>Bar Brahma - Granja</t>
        </is>
      </c>
      <c r="E4" t="n">
        <v>164</v>
      </c>
      <c r="F4" t="inlineStr">
        <is>
          <t>Bar Brahma Granja - FDB Filial - Kamino</t>
        </is>
      </c>
      <c r="G4" t="n">
        <v>148</v>
      </c>
      <c r="H4" t="inlineStr">
        <is>
          <t>Bar Brahma - Granja</t>
        </is>
      </c>
      <c r="I4" t="n">
        <v>148</v>
      </c>
      <c r="J4" t="inlineStr">
        <is>
          <t>Bar Brahma Granja - Tutum Filial - Kamino</t>
        </is>
      </c>
      <c r="K4" t="n">
        <v>0</v>
      </c>
      <c r="L4" t="inlineStr">
        <is>
          <t xml:space="preserve">MUTUO ELAINE </t>
        </is>
      </c>
      <c r="M4" t="n">
        <v>14200</v>
      </c>
      <c r="N4" t="n">
        <v>14200</v>
      </c>
    </row>
    <row r="5">
      <c r="A5" t="n">
        <v>9049</v>
      </c>
      <c r="B5" s="27" t="n">
        <v>46045</v>
      </c>
      <c r="C5" t="n">
        <v>148</v>
      </c>
      <c r="D5" t="inlineStr">
        <is>
          <t>Bar Brahma - Granja</t>
        </is>
      </c>
      <c r="E5" t="n">
        <v>164</v>
      </c>
      <c r="F5" t="inlineStr">
        <is>
          <t>Bar Brahma Granja - FDB Filial - Kamino</t>
        </is>
      </c>
      <c r="G5" t="n">
        <v>105</v>
      </c>
      <c r="H5" t="inlineStr">
        <is>
          <t>Jacaré</t>
        </is>
      </c>
      <c r="I5" t="n">
        <v>165</v>
      </c>
      <c r="J5" t="inlineStr">
        <is>
          <t>Jacaré - Fdb novo - Kamino</t>
        </is>
      </c>
      <c r="K5" t="n">
        <v>0</v>
      </c>
      <c r="L5" t="inlineStr">
        <is>
          <t xml:space="preserve">PIS JACARE PAGO PELA FILIAL GRANJA </t>
        </is>
      </c>
      <c r="M5" t="n">
        <v>0</v>
      </c>
      <c r="N5" t="n">
        <v>2607.06</v>
      </c>
    </row>
    <row r="6">
      <c r="A6" t="n">
        <v>9050</v>
      </c>
      <c r="B6" s="27" t="n">
        <v>46045</v>
      </c>
      <c r="C6" t="n">
        <v>148</v>
      </c>
      <c r="D6" t="inlineStr">
        <is>
          <t>Bar Brahma - Granja</t>
        </is>
      </c>
      <c r="E6" t="n">
        <v>164</v>
      </c>
      <c r="F6" t="inlineStr">
        <is>
          <t>Bar Brahma Granja - FDB Filial - Kamino</t>
        </is>
      </c>
      <c r="G6" t="n">
        <v>105</v>
      </c>
      <c r="H6" t="inlineStr">
        <is>
          <t>Jacaré</t>
        </is>
      </c>
      <c r="I6" t="n">
        <v>165</v>
      </c>
      <c r="J6" t="inlineStr">
        <is>
          <t>Jacaré - Fdb novo - Kamino</t>
        </is>
      </c>
      <c r="K6" t="n">
        <v>0</v>
      </c>
      <c r="L6" t="inlineStr">
        <is>
          <t xml:space="preserve">COFINS JACARE PAGO PELA FILIAL GRANJA </t>
        </is>
      </c>
      <c r="M6" t="n">
        <v>0</v>
      </c>
      <c r="N6" t="n">
        <v>12032.58</v>
      </c>
    </row>
    <row r="7">
      <c r="A7" t="n">
        <v>8994</v>
      </c>
      <c r="B7" s="27" t="n">
        <v>46043</v>
      </c>
      <c r="C7" t="n">
        <v>148</v>
      </c>
      <c r="D7" t="inlineStr">
        <is>
          <t>Bar Brahma - Granja</t>
        </is>
      </c>
      <c r="E7" t="n">
        <v>187</v>
      </c>
      <c r="F7" t="inlineStr">
        <is>
          <t>Bar Brahma Granja - FDB Novo - Caixa</t>
        </is>
      </c>
      <c r="G7" t="n">
        <v>143</v>
      </c>
      <c r="H7" t="inlineStr">
        <is>
          <t xml:space="preserve">Tempus Fugit  Ltda </t>
        </is>
      </c>
      <c r="I7" t="n">
        <v>111</v>
      </c>
      <c r="J7" t="inlineStr">
        <is>
          <t>Tempus - Bradesco</t>
        </is>
      </c>
      <c r="K7" t="n">
        <v>0</v>
      </c>
      <c r="L7" t="inlineStr">
        <is>
          <t xml:space="preserve">MUTUO ELAINE </t>
        </is>
      </c>
      <c r="M7" t="n">
        <v>0</v>
      </c>
      <c r="N7" t="n">
        <v>950</v>
      </c>
    </row>
    <row r="8">
      <c r="A8" t="n">
        <v>8988</v>
      </c>
      <c r="B8" s="27" t="n">
        <v>46042</v>
      </c>
      <c r="C8" t="n">
        <v>148</v>
      </c>
      <c r="D8" t="inlineStr">
        <is>
          <t>Bar Brahma - Granja</t>
        </is>
      </c>
      <c r="E8" t="n">
        <v>164</v>
      </c>
      <c r="F8" t="inlineStr">
        <is>
          <t>Bar Brahma Granja - FDB Filial - Kamino</t>
        </is>
      </c>
      <c r="G8" t="n">
        <v>143</v>
      </c>
      <c r="H8" t="inlineStr">
        <is>
          <t xml:space="preserve">Tempus Fugit  Ltda </t>
        </is>
      </c>
      <c r="I8" t="n">
        <v>129</v>
      </c>
      <c r="J8" t="inlineStr">
        <is>
          <t>Tempus - Kamino</t>
        </is>
      </c>
      <c r="K8" t="n">
        <v>0</v>
      </c>
      <c r="L8" t="inlineStr">
        <is>
          <t xml:space="preserve">MUTUO ELAINE </t>
        </is>
      </c>
      <c r="M8" t="n">
        <v>0</v>
      </c>
      <c r="N8" t="n">
        <v>13910</v>
      </c>
    </row>
    <row r="9">
      <c r="A9" t="n">
        <v>8973</v>
      </c>
      <c r="B9" s="27" t="n">
        <v>46042</v>
      </c>
      <c r="C9" t="n">
        <v>148</v>
      </c>
      <c r="D9" t="inlineStr">
        <is>
          <t>Bar Brahma - Granja</t>
        </is>
      </c>
      <c r="E9" t="n">
        <v>153</v>
      </c>
      <c r="F9" t="inlineStr">
        <is>
          <t>Bar Brahma Granja - FDB Novo - Banco do Brasil</t>
        </is>
      </c>
      <c r="G9" t="n">
        <v>143</v>
      </c>
      <c r="H9" t="inlineStr">
        <is>
          <t xml:space="preserve">Tempus Fugit  Ltda </t>
        </is>
      </c>
      <c r="I9" t="n">
        <v>129</v>
      </c>
      <c r="J9" t="inlineStr">
        <is>
          <t>Tempus - Kamino</t>
        </is>
      </c>
      <c r="K9" t="n">
        <v>0</v>
      </c>
      <c r="L9" t="inlineStr">
        <is>
          <t xml:space="preserve">MUTUO ELAINE </t>
        </is>
      </c>
      <c r="M9" t="n">
        <v>0</v>
      </c>
      <c r="N9" t="n">
        <v>18000</v>
      </c>
    </row>
    <row r="10">
      <c r="A10" t="n">
        <v>8959</v>
      </c>
      <c r="B10" s="27" t="n">
        <v>46041</v>
      </c>
      <c r="C10" t="n">
        <v>148</v>
      </c>
      <c r="D10" t="inlineStr">
        <is>
          <t>Bar Brahma - Granja</t>
        </is>
      </c>
      <c r="E10" t="n">
        <v>187</v>
      </c>
      <c r="F10" t="inlineStr">
        <is>
          <t>Bar Brahma Granja - FDB Novo - Caixa</t>
        </is>
      </c>
      <c r="G10" t="n">
        <v>143</v>
      </c>
      <c r="H10" t="inlineStr">
        <is>
          <t xml:space="preserve">Tempus Fugit  Ltda </t>
        </is>
      </c>
      <c r="I10" t="n">
        <v>111</v>
      </c>
      <c r="J10" t="inlineStr">
        <is>
          <t>Tempus - Bradesco</t>
        </is>
      </c>
      <c r="K10" t="n">
        <v>0</v>
      </c>
      <c r="L10" t="inlineStr">
        <is>
          <t xml:space="preserve">MUTUO ELAINE </t>
        </is>
      </c>
      <c r="M10" t="n">
        <v>0</v>
      </c>
      <c r="N10" t="n">
        <v>4500</v>
      </c>
    </row>
    <row r="11">
      <c r="A11" t="n">
        <v>8936</v>
      </c>
      <c r="B11" s="27" t="n">
        <v>46037</v>
      </c>
      <c r="C11" t="n">
        <v>148</v>
      </c>
      <c r="D11" t="inlineStr">
        <is>
          <t>Bar Brahma - Granja</t>
        </is>
      </c>
      <c r="E11" t="n">
        <v>164</v>
      </c>
      <c r="F11" t="inlineStr">
        <is>
          <t>Bar Brahma Granja - FDB Filial - Kamino</t>
        </is>
      </c>
      <c r="G11" t="n">
        <v>143</v>
      </c>
      <c r="H11" t="inlineStr">
        <is>
          <t xml:space="preserve">Tempus Fugit  Ltda </t>
        </is>
      </c>
      <c r="I11" t="n">
        <v>129</v>
      </c>
      <c r="J11" t="inlineStr">
        <is>
          <t>Tempus - Kamino</t>
        </is>
      </c>
      <c r="K11" t="n">
        <v>0</v>
      </c>
      <c r="L11" t="inlineStr">
        <is>
          <t>MUTUO</t>
        </is>
      </c>
      <c r="M11" t="n">
        <v>0</v>
      </c>
      <c r="N11" t="n">
        <v>20000</v>
      </c>
    </row>
    <row r="12">
      <c r="A12" t="n">
        <v>8937</v>
      </c>
      <c r="B12" s="27" t="n">
        <v>46037</v>
      </c>
      <c r="C12" t="n">
        <v>148</v>
      </c>
      <c r="D12" t="inlineStr">
        <is>
          <t>Bar Brahma - Granja</t>
        </is>
      </c>
      <c r="E12" t="n">
        <v>164</v>
      </c>
      <c r="F12" t="inlineStr">
        <is>
          <t>Bar Brahma Granja - FDB Filial - Kamino</t>
        </is>
      </c>
      <c r="G12" t="n">
        <v>148</v>
      </c>
      <c r="H12" t="inlineStr">
        <is>
          <t>Bar Brahma - Granja</t>
        </is>
      </c>
      <c r="I12" t="n">
        <v>148</v>
      </c>
      <c r="J12" t="inlineStr">
        <is>
          <t>Bar Brahma Granja - Tutum Filial - Kamino</t>
        </is>
      </c>
      <c r="K12" t="n">
        <v>0</v>
      </c>
      <c r="L12" t="inlineStr">
        <is>
          <t>MUTUO</t>
        </is>
      </c>
      <c r="M12" t="n">
        <v>500</v>
      </c>
      <c r="N12" t="n">
        <v>500</v>
      </c>
    </row>
    <row r="13">
      <c r="A13" t="n">
        <v>8918</v>
      </c>
      <c r="B13" s="27" t="n">
        <v>46037</v>
      </c>
      <c r="C13" t="n">
        <v>148</v>
      </c>
      <c r="D13" t="inlineStr">
        <is>
          <t>Bar Brahma - Granja</t>
        </is>
      </c>
      <c r="E13" t="n">
        <v>164</v>
      </c>
      <c r="F13" t="inlineStr">
        <is>
          <t>Bar Brahma Granja - FDB Filial - Kamino</t>
        </is>
      </c>
      <c r="G13" t="n">
        <v>148</v>
      </c>
      <c r="H13" t="inlineStr">
        <is>
          <t>Bar Brahma - Granja</t>
        </is>
      </c>
      <c r="I13" t="n">
        <v>148</v>
      </c>
      <c r="J13" t="inlineStr">
        <is>
          <t>Bar Brahma Granja - Tutum Filial - Kamino</t>
        </is>
      </c>
      <c r="K13" t="n">
        <v>0</v>
      </c>
      <c r="L13" t="inlineStr">
        <is>
          <t>MUTUO</t>
        </is>
      </c>
      <c r="M13" t="n">
        <v>19100</v>
      </c>
      <c r="N13" t="n">
        <v>19100</v>
      </c>
    </row>
    <row r="14">
      <c r="A14" t="n">
        <v>8896</v>
      </c>
      <c r="B14" s="27" t="n">
        <v>46035</v>
      </c>
      <c r="C14" t="n">
        <v>148</v>
      </c>
      <c r="D14" t="inlineStr">
        <is>
          <t>Bar Brahma - Granja</t>
        </is>
      </c>
      <c r="E14" t="n">
        <v>164</v>
      </c>
      <c r="F14" t="inlineStr">
        <is>
          <t>Bar Brahma Granja - FDB Filial - Kamino</t>
        </is>
      </c>
      <c r="G14" t="n">
        <v>148</v>
      </c>
      <c r="H14" t="inlineStr">
        <is>
          <t>Bar Brahma - Granja</t>
        </is>
      </c>
      <c r="I14" t="n">
        <v>148</v>
      </c>
      <c r="J14" t="inlineStr">
        <is>
          <t>Bar Brahma Granja - Tutum Filial - Kamino</t>
        </is>
      </c>
      <c r="K14" t="n">
        <v>0</v>
      </c>
      <c r="L14" t="inlineStr">
        <is>
          <t>MUTUO</t>
        </is>
      </c>
      <c r="M14" t="n">
        <v>7500</v>
      </c>
      <c r="N14" t="n">
        <v>7500</v>
      </c>
    </row>
    <row r="15">
      <c r="A15" t="n">
        <v>8886</v>
      </c>
      <c r="B15" s="27" t="n">
        <v>46034</v>
      </c>
      <c r="C15" t="n">
        <v>148</v>
      </c>
      <c r="D15" t="inlineStr">
        <is>
          <t>Bar Brahma - Granja</t>
        </is>
      </c>
      <c r="E15" t="n">
        <v>164</v>
      </c>
      <c r="F15" t="inlineStr">
        <is>
          <t>Bar Brahma Granja - FDB Filial - Kamino</t>
        </is>
      </c>
      <c r="G15" t="n">
        <v>148</v>
      </c>
      <c r="H15" t="inlineStr">
        <is>
          <t>Bar Brahma - Granja</t>
        </is>
      </c>
      <c r="I15" t="n">
        <v>148</v>
      </c>
      <c r="J15" t="inlineStr">
        <is>
          <t>Bar Brahma Granja - Tutum Filial - Kamino</t>
        </is>
      </c>
      <c r="K15" t="n">
        <v>0</v>
      </c>
      <c r="L15" t="inlineStr">
        <is>
          <t>MUTUO</t>
        </is>
      </c>
      <c r="M15" t="n">
        <v>800</v>
      </c>
      <c r="N15" t="n">
        <v>800</v>
      </c>
    </row>
    <row r="16">
      <c r="A16" t="n">
        <v>8826</v>
      </c>
      <c r="B16" s="27" t="n">
        <v>46028</v>
      </c>
      <c r="C16" t="n">
        <v>148</v>
      </c>
      <c r="D16" t="inlineStr">
        <is>
          <t>Bar Brahma - Granja</t>
        </is>
      </c>
      <c r="E16" t="n">
        <v>153</v>
      </c>
      <c r="F16" t="inlineStr">
        <is>
          <t>Bar Brahma Granja - FDB Novo - Banco do Brasil</t>
        </is>
      </c>
      <c r="G16" t="n">
        <v>143</v>
      </c>
      <c r="H16" t="inlineStr">
        <is>
          <t xml:space="preserve">Tempus Fugit  Ltda </t>
        </is>
      </c>
      <c r="I16" t="n">
        <v>129</v>
      </c>
      <c r="J16" t="inlineStr">
        <is>
          <t>Tempus - Kamino</t>
        </is>
      </c>
      <c r="K16" t="n">
        <v>0</v>
      </c>
      <c r="L16" t="inlineStr">
        <is>
          <t xml:space="preserve">MUTUO ELAINE </t>
        </is>
      </c>
      <c r="M16" t="n">
        <v>0</v>
      </c>
      <c r="N16" t="n">
        <v>45000</v>
      </c>
    </row>
    <row r="17">
      <c r="A17" t="n">
        <v>9094</v>
      </c>
      <c r="B17" s="27" t="n">
        <v>46052</v>
      </c>
      <c r="C17" t="n">
        <v>143</v>
      </c>
      <c r="D17" t="inlineStr">
        <is>
          <t xml:space="preserve">Tempus Fugit  Ltda </t>
        </is>
      </c>
      <c r="E17" t="n">
        <v>129</v>
      </c>
      <c r="F17" t="inlineStr">
        <is>
          <t>Tempus - Kamino</t>
        </is>
      </c>
      <c r="G17" t="n">
        <v>148</v>
      </c>
      <c r="H17" t="inlineStr">
        <is>
          <t>Bar Brahma - Granja</t>
        </is>
      </c>
      <c r="I17" t="n">
        <v>164</v>
      </c>
      <c r="J17" t="inlineStr">
        <is>
          <t>Bar Brahma Granja - FDB Filial - Kamino</t>
        </is>
      </c>
      <c r="K17" t="n">
        <v>0</v>
      </c>
      <c r="L17" t="inlineStr">
        <is>
          <t xml:space="preserve">MUTUO ELAINE </t>
        </is>
      </c>
      <c r="M17" t="n">
        <v>21800</v>
      </c>
      <c r="N17" t="n">
        <v>0</v>
      </c>
    </row>
    <row r="18">
      <c r="A18" t="n">
        <v>9077</v>
      </c>
      <c r="B18" s="27" t="n">
        <v>46051</v>
      </c>
      <c r="C18" t="n">
        <v>143</v>
      </c>
      <c r="D18" t="inlineStr">
        <is>
          <t xml:space="preserve">Tempus Fugit  Ltda </t>
        </is>
      </c>
      <c r="E18" t="n">
        <v>129</v>
      </c>
      <c r="F18" t="inlineStr">
        <is>
          <t>Tempus - Kamino</t>
        </is>
      </c>
      <c r="G18" t="n">
        <v>148</v>
      </c>
      <c r="H18" t="inlineStr">
        <is>
          <t>Bar Brahma - Granja</t>
        </is>
      </c>
      <c r="I18" t="n">
        <v>148</v>
      </c>
      <c r="J18" t="inlineStr">
        <is>
          <t>Bar Brahma Granja - Tutum Filial - Kamino</t>
        </is>
      </c>
      <c r="K18" t="n">
        <v>0</v>
      </c>
      <c r="L18" t="inlineStr">
        <is>
          <t xml:space="preserve">MUTUO ELAINE </t>
        </is>
      </c>
      <c r="M18" t="n">
        <v>3000</v>
      </c>
      <c r="N18" t="n">
        <v>0</v>
      </c>
    </row>
    <row r="19">
      <c r="A19" t="n">
        <v>9076</v>
      </c>
      <c r="B19" s="27" t="n">
        <v>46051</v>
      </c>
      <c r="C19" t="n">
        <v>143</v>
      </c>
      <c r="D19" t="inlineStr">
        <is>
          <t xml:space="preserve">Tempus Fugit  Ltda </t>
        </is>
      </c>
      <c r="E19" t="n">
        <v>129</v>
      </c>
      <c r="F19" t="inlineStr">
        <is>
          <t>Tempus - Kamino</t>
        </is>
      </c>
      <c r="G19" t="n">
        <v>148</v>
      </c>
      <c r="H19" t="inlineStr">
        <is>
          <t>Bar Brahma - Granja</t>
        </is>
      </c>
      <c r="I19" t="n">
        <v>164</v>
      </c>
      <c r="J19" t="inlineStr">
        <is>
          <t>Bar Brahma Granja - FDB Filial - Kamino</t>
        </is>
      </c>
      <c r="K19" t="n">
        <v>0</v>
      </c>
      <c r="L19" t="inlineStr">
        <is>
          <t xml:space="preserve">MUTUO ELAINE </t>
        </is>
      </c>
      <c r="M19" t="n">
        <v>3250</v>
      </c>
      <c r="N19" t="n">
        <v>0</v>
      </c>
    </row>
    <row r="20">
      <c r="A20" t="n">
        <v>9031</v>
      </c>
      <c r="B20" s="27" t="n">
        <v>46045</v>
      </c>
      <c r="C20" t="n">
        <v>143</v>
      </c>
      <c r="D20" t="inlineStr">
        <is>
          <t xml:space="preserve">Tempus Fugit  Ltda </t>
        </is>
      </c>
      <c r="E20" t="n">
        <v>129</v>
      </c>
      <c r="F20" t="inlineStr">
        <is>
          <t>Tempus - Kamino</t>
        </is>
      </c>
      <c r="G20" t="n">
        <v>148</v>
      </c>
      <c r="H20" t="inlineStr">
        <is>
          <t>Bar Brahma - Granja</t>
        </is>
      </c>
      <c r="I20" t="n">
        <v>164</v>
      </c>
      <c r="J20" t="inlineStr">
        <is>
          <t>Bar Brahma Granja - FDB Filial - Kamino</t>
        </is>
      </c>
      <c r="K20" t="n">
        <v>0</v>
      </c>
      <c r="L20" t="inlineStr">
        <is>
          <t xml:space="preserve">MUTUO ELAINE </t>
        </is>
      </c>
      <c r="M20" t="n">
        <v>41900</v>
      </c>
      <c r="N20" t="n">
        <v>0</v>
      </c>
    </row>
    <row r="21">
      <c r="A21" t="n">
        <v>9004</v>
      </c>
      <c r="B21" s="27" t="n">
        <v>46044</v>
      </c>
      <c r="C21" t="n">
        <v>143</v>
      </c>
      <c r="D21" t="inlineStr">
        <is>
          <t xml:space="preserve">Tempus Fugit  Ltda </t>
        </is>
      </c>
      <c r="E21" t="n">
        <v>129</v>
      </c>
      <c r="F21" t="inlineStr">
        <is>
          <t>Tempus - Kamino</t>
        </is>
      </c>
      <c r="G21" t="n">
        <v>148</v>
      </c>
      <c r="H21" t="inlineStr">
        <is>
          <t>Bar Brahma - Granja</t>
        </is>
      </c>
      <c r="I21" t="n">
        <v>164</v>
      </c>
      <c r="J21" t="inlineStr">
        <is>
          <t>Bar Brahma Granja - FDB Filial - Kamino</t>
        </is>
      </c>
      <c r="K21" t="n">
        <v>0</v>
      </c>
      <c r="L21" t="inlineStr">
        <is>
          <t xml:space="preserve">MUTUO ELAINE </t>
        </is>
      </c>
      <c r="M21" t="n">
        <v>3150</v>
      </c>
      <c r="N21" t="n">
        <v>0</v>
      </c>
    </row>
    <row r="22">
      <c r="A22" t="n">
        <v>9006</v>
      </c>
      <c r="B22" s="27" t="n">
        <v>46044</v>
      </c>
      <c r="C22" t="n">
        <v>143</v>
      </c>
      <c r="D22" t="inlineStr">
        <is>
          <t xml:space="preserve">Tempus Fugit  Ltda </t>
        </is>
      </c>
      <c r="E22" t="n">
        <v>129</v>
      </c>
      <c r="F22" t="inlineStr">
        <is>
          <t>Tempus - Kamino</t>
        </is>
      </c>
      <c r="G22" t="n">
        <v>148</v>
      </c>
      <c r="H22" t="inlineStr">
        <is>
          <t>Bar Brahma - Granja</t>
        </is>
      </c>
      <c r="I22" t="n">
        <v>148</v>
      </c>
      <c r="J22" t="inlineStr">
        <is>
          <t>Bar Brahma Granja - Tutum Filial - Kamino</t>
        </is>
      </c>
      <c r="K22" t="n">
        <v>0</v>
      </c>
      <c r="L22" t="inlineStr">
        <is>
          <t xml:space="preserve">MUTUO ELAINE </t>
        </is>
      </c>
      <c r="M22" t="n">
        <v>4800</v>
      </c>
      <c r="N22" t="n">
        <v>0</v>
      </c>
    </row>
    <row r="23">
      <c r="A23" t="n">
        <v>8976</v>
      </c>
      <c r="B23" s="27" t="n">
        <v>46042</v>
      </c>
      <c r="C23" t="n">
        <v>143</v>
      </c>
      <c r="D23" t="inlineStr">
        <is>
          <t xml:space="preserve">Tempus Fugit  Ltda </t>
        </is>
      </c>
      <c r="E23" t="n">
        <v>129</v>
      </c>
      <c r="F23" t="inlineStr">
        <is>
          <t>Tempus - Kamino</t>
        </is>
      </c>
      <c r="G23" t="n">
        <v>148</v>
      </c>
      <c r="H23" t="inlineStr">
        <is>
          <t>Bar Brahma - Granja</t>
        </is>
      </c>
      <c r="I23" t="n">
        <v>148</v>
      </c>
      <c r="J23" t="inlineStr">
        <is>
          <t>Bar Brahma Granja - Tutum Filial - Kamino</t>
        </is>
      </c>
      <c r="K23" t="n">
        <v>0</v>
      </c>
      <c r="L23" t="inlineStr">
        <is>
          <t xml:space="preserve">MUTUO ELAINE </t>
        </is>
      </c>
      <c r="M23" t="n">
        <v>35160</v>
      </c>
      <c r="N23" t="n">
        <v>0</v>
      </c>
    </row>
    <row r="24">
      <c r="A24" t="n">
        <v>8961</v>
      </c>
      <c r="B24" s="27" t="n">
        <v>46041</v>
      </c>
      <c r="C24" t="n">
        <v>143</v>
      </c>
      <c r="D24" t="inlineStr">
        <is>
          <t xml:space="preserve">Tempus Fugit  Ltda </t>
        </is>
      </c>
      <c r="E24" t="n">
        <v>129</v>
      </c>
      <c r="F24" t="inlineStr">
        <is>
          <t>Tempus - Kamino</t>
        </is>
      </c>
      <c r="G24" t="n">
        <v>148</v>
      </c>
      <c r="H24" t="inlineStr">
        <is>
          <t>Bar Brahma - Granja</t>
        </is>
      </c>
      <c r="I24" t="n">
        <v>148</v>
      </c>
      <c r="J24" t="inlineStr">
        <is>
          <t>Bar Brahma Granja - Tutum Filial - Kamino</t>
        </is>
      </c>
      <c r="K24" t="n">
        <v>0</v>
      </c>
      <c r="L24" t="inlineStr">
        <is>
          <t xml:space="preserve">MUTUO ELAINE </t>
        </is>
      </c>
      <c r="M24" t="n">
        <v>300</v>
      </c>
      <c r="N24" t="n">
        <v>0</v>
      </c>
    </row>
    <row r="25">
      <c r="A25" t="n">
        <v>9103</v>
      </c>
      <c r="B25" s="27" t="n">
        <v>46038</v>
      </c>
      <c r="C25" t="n">
        <v>143</v>
      </c>
      <c r="D25" t="inlineStr">
        <is>
          <t xml:space="preserve">Tempus Fugit  Ltda </t>
        </is>
      </c>
      <c r="E25" t="n">
        <v>129</v>
      </c>
      <c r="F25" t="inlineStr">
        <is>
          <t>Tempus - Kamino</t>
        </is>
      </c>
      <c r="G25" t="n">
        <v>148</v>
      </c>
      <c r="H25" t="inlineStr">
        <is>
          <t>Bar Brahma - Granja</t>
        </is>
      </c>
      <c r="I25" t="n">
        <v>164</v>
      </c>
      <c r="J25" t="inlineStr">
        <is>
          <t>Bar Brahma Granja - FDB Filial - Kamino</t>
        </is>
      </c>
      <c r="K25" t="n">
        <v>0</v>
      </c>
      <c r="L25" t="inlineStr">
        <is>
          <t>MUTUO MARISA</t>
        </is>
      </c>
      <c r="M25" t="n">
        <v>37200</v>
      </c>
      <c r="N25" t="n">
        <v>0</v>
      </c>
    </row>
    <row r="26">
      <c r="A26" t="n">
        <v>8869</v>
      </c>
      <c r="B26" s="27" t="n">
        <v>46030</v>
      </c>
      <c r="C26" t="n">
        <v>143</v>
      </c>
      <c r="D26" t="inlineStr">
        <is>
          <t xml:space="preserve">Tempus Fugit  Ltda </t>
        </is>
      </c>
      <c r="E26" t="n">
        <v>129</v>
      </c>
      <c r="F26" t="inlineStr">
        <is>
          <t>Tempus - Kamino</t>
        </is>
      </c>
      <c r="G26" t="n">
        <v>148</v>
      </c>
      <c r="H26" t="inlineStr">
        <is>
          <t>Bar Brahma - Granja</t>
        </is>
      </c>
      <c r="I26" t="n">
        <v>164</v>
      </c>
      <c r="J26" t="inlineStr">
        <is>
          <t>Bar Brahma Granja - FDB Filial - Kamino</t>
        </is>
      </c>
      <c r="K26" t="n">
        <v>0</v>
      </c>
      <c r="L26" t="inlineStr">
        <is>
          <t>MUTUO</t>
        </is>
      </c>
      <c r="M26" t="n">
        <v>10000</v>
      </c>
      <c r="N26" t="n">
        <v>0</v>
      </c>
    </row>
    <row r="27">
      <c r="A27" t="n">
        <v>8866</v>
      </c>
      <c r="B27" s="27" t="n">
        <v>46030</v>
      </c>
      <c r="C27" t="n">
        <v>143</v>
      </c>
      <c r="D27" t="inlineStr">
        <is>
          <t xml:space="preserve">Tempus Fugit  Ltda </t>
        </is>
      </c>
      <c r="E27" t="n">
        <v>129</v>
      </c>
      <c r="F27" t="inlineStr">
        <is>
          <t>Tempus - Kamino</t>
        </is>
      </c>
      <c r="G27" t="n">
        <v>148</v>
      </c>
      <c r="H27" t="inlineStr">
        <is>
          <t>Bar Brahma - Granja</t>
        </is>
      </c>
      <c r="I27" t="n">
        <v>164</v>
      </c>
      <c r="J27" t="inlineStr">
        <is>
          <t>Bar Brahma Granja - FDB Filial - Kamino</t>
        </is>
      </c>
      <c r="K27" t="n">
        <v>0</v>
      </c>
      <c r="L27" t="inlineStr">
        <is>
          <t>MUTUO</t>
        </is>
      </c>
      <c r="M27" t="n">
        <v>500</v>
      </c>
      <c r="N27" t="n">
        <v>0</v>
      </c>
    </row>
    <row r="28">
      <c r="A28" t="n">
        <v>8858</v>
      </c>
      <c r="B28" s="27" t="n">
        <v>46030</v>
      </c>
      <c r="C28" t="n">
        <v>143</v>
      </c>
      <c r="D28" t="inlineStr">
        <is>
          <t xml:space="preserve">Tempus Fugit  Ltda </t>
        </is>
      </c>
      <c r="E28" t="n">
        <v>129</v>
      </c>
      <c r="F28" t="inlineStr">
        <is>
          <t>Tempus - Kamino</t>
        </is>
      </c>
      <c r="G28" t="n">
        <v>148</v>
      </c>
      <c r="H28" t="inlineStr">
        <is>
          <t>Bar Brahma - Granja</t>
        </is>
      </c>
      <c r="I28" t="n">
        <v>148</v>
      </c>
      <c r="J28" t="inlineStr">
        <is>
          <t>Bar Brahma Granja - Tutum Filial - Kamino</t>
        </is>
      </c>
      <c r="K28" t="n">
        <v>0</v>
      </c>
      <c r="L28" t="inlineStr">
        <is>
          <t>MUTUO</t>
        </is>
      </c>
      <c r="M28" t="n">
        <v>5900</v>
      </c>
      <c r="N28" t="n">
        <v>0</v>
      </c>
    </row>
    <row r="29">
      <c r="A29" t="n">
        <v>8873</v>
      </c>
      <c r="B29" s="27" t="n">
        <v>46030</v>
      </c>
      <c r="C29" t="n">
        <v>143</v>
      </c>
      <c r="D29" t="inlineStr">
        <is>
          <t xml:space="preserve">Tempus Fugit  Ltda </t>
        </is>
      </c>
      <c r="E29" t="n">
        <v>129</v>
      </c>
      <c r="F29" t="inlineStr">
        <is>
          <t>Tempus - Kamino</t>
        </is>
      </c>
      <c r="G29" t="n">
        <v>148</v>
      </c>
      <c r="H29" t="inlineStr">
        <is>
          <t>Bar Brahma - Granja</t>
        </is>
      </c>
      <c r="I29" t="n">
        <v>148</v>
      </c>
      <c r="J29" t="inlineStr">
        <is>
          <t>Bar Brahma Granja - Tutum Filial - Kamino</t>
        </is>
      </c>
      <c r="K29" t="n">
        <v>0</v>
      </c>
      <c r="L29" t="inlineStr">
        <is>
          <t>MUTUO</t>
        </is>
      </c>
      <c r="M29" t="n">
        <v>600</v>
      </c>
      <c r="N29" t="n">
        <v>0</v>
      </c>
    </row>
    <row r="30">
      <c r="A30" t="n">
        <v>8834</v>
      </c>
      <c r="B30" s="27" t="n">
        <v>46028</v>
      </c>
      <c r="C30" t="n">
        <v>143</v>
      </c>
      <c r="D30" t="inlineStr">
        <is>
          <t xml:space="preserve">Tempus Fugit  Ltda </t>
        </is>
      </c>
      <c r="E30" t="n">
        <v>129</v>
      </c>
      <c r="F30" t="inlineStr">
        <is>
          <t>Tempus - Kamino</t>
        </is>
      </c>
      <c r="G30" t="n">
        <v>148</v>
      </c>
      <c r="H30" t="inlineStr">
        <is>
          <t>Bar Brahma - Granja</t>
        </is>
      </c>
      <c r="I30" t="n">
        <v>148</v>
      </c>
      <c r="J30" t="inlineStr">
        <is>
          <t>Bar Brahma Granja - Tutum Filial - Kamino</t>
        </is>
      </c>
      <c r="K30" t="n">
        <v>0</v>
      </c>
      <c r="L30" t="inlineStr">
        <is>
          <t xml:space="preserve">MUTUO ELAINE </t>
        </is>
      </c>
      <c r="M30" t="n">
        <v>52100</v>
      </c>
      <c r="N30" t="n">
        <v>0</v>
      </c>
    </row>
    <row r="31">
      <c r="A31" t="n">
        <v>8955</v>
      </c>
      <c r="B31" s="27" t="n">
        <v>46027</v>
      </c>
      <c r="C31" t="n">
        <v>143</v>
      </c>
      <c r="D31" t="inlineStr">
        <is>
          <t xml:space="preserve">Tempus Fugit  Ltda </t>
        </is>
      </c>
      <c r="E31" t="n">
        <v>129</v>
      </c>
      <c r="F31" t="inlineStr">
        <is>
          <t>Tempus - Kamino</t>
        </is>
      </c>
      <c r="G31" t="n">
        <v>148</v>
      </c>
      <c r="H31" t="inlineStr">
        <is>
          <t>Bar Brahma - Granja</t>
        </is>
      </c>
      <c r="I31" t="n">
        <v>164</v>
      </c>
      <c r="J31" t="inlineStr">
        <is>
          <t>Bar Brahma Granja - FDB Filial - Kamino</t>
        </is>
      </c>
      <c r="K31" t="n">
        <v>0</v>
      </c>
      <c r="L31" t="inlineStr">
        <is>
          <t xml:space="preserve">ID 173010 - TYPEFORM - PAGAMENTO CARTÃO DE CREDITO TEMPUS </t>
        </is>
      </c>
      <c r="M31" t="n">
        <v>23.81</v>
      </c>
      <c r="N31" t="n">
        <v>0</v>
      </c>
    </row>
    <row r="32">
      <c r="A32" t="n">
        <v>8797</v>
      </c>
      <c r="B32" s="27" t="n">
        <v>46024</v>
      </c>
      <c r="C32" t="n">
        <v>143</v>
      </c>
      <c r="D32" t="inlineStr">
        <is>
          <t xml:space="preserve">Tempus Fugit  Ltda </t>
        </is>
      </c>
      <c r="E32" t="n">
        <v>129</v>
      </c>
      <c r="F32" t="inlineStr">
        <is>
          <t>Tempus - Kamino</t>
        </is>
      </c>
      <c r="G32" t="n">
        <v>148</v>
      </c>
      <c r="H32" t="inlineStr">
        <is>
          <t>Bar Brahma - Granja</t>
        </is>
      </c>
      <c r="I32" t="n">
        <v>164</v>
      </c>
      <c r="J32" t="inlineStr">
        <is>
          <t>Bar Brahma Granja - FDB Filial - Kamino</t>
        </is>
      </c>
      <c r="K32" t="n">
        <v>0</v>
      </c>
      <c r="L32" t="inlineStr">
        <is>
          <t xml:space="preserve">MUTUO ELAINE </t>
        </is>
      </c>
      <c r="M32" t="n">
        <v>6000</v>
      </c>
      <c r="N32" t="n">
        <v>0</v>
      </c>
    </row>
    <row r="33">
      <c r="A33" t="n">
        <v>8801</v>
      </c>
      <c r="B33" s="27" t="n">
        <v>46024</v>
      </c>
      <c r="C33" t="n">
        <v>143</v>
      </c>
      <c r="D33" t="inlineStr">
        <is>
          <t xml:space="preserve">Tempus Fugit  Ltda </t>
        </is>
      </c>
      <c r="E33" t="n">
        <v>129</v>
      </c>
      <c r="F33" t="inlineStr">
        <is>
          <t>Tempus - Kamino</t>
        </is>
      </c>
      <c r="G33" t="n">
        <v>148</v>
      </c>
      <c r="H33" t="inlineStr">
        <is>
          <t>Bar Brahma - Granja</t>
        </is>
      </c>
      <c r="I33" t="n">
        <v>148</v>
      </c>
      <c r="J33" t="inlineStr">
        <is>
          <t>Bar Brahma Granja - Tutum Filial - Kamino</t>
        </is>
      </c>
      <c r="K33" t="n">
        <v>0</v>
      </c>
      <c r="L33" t="inlineStr">
        <is>
          <t xml:space="preserve">MUTUO ELAINE </t>
        </is>
      </c>
      <c r="M33" t="n">
        <v>12800</v>
      </c>
      <c r="N33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ID_Transacao_Tesouraria</t>
        </is>
      </c>
      <c r="B1" t="inlineStr">
        <is>
          <t>ID_Casa</t>
        </is>
      </c>
      <c r="C1" t="inlineStr">
        <is>
          <t>Casa</t>
        </is>
      </c>
      <c r="D1" t="inlineStr">
        <is>
          <t>ID_Empresa_Tesouraria</t>
        </is>
      </c>
      <c r="E1" t="inlineStr">
        <is>
          <t>Empresa_Tesouraria</t>
        </is>
      </c>
      <c r="F1" t="inlineStr">
        <is>
          <t>Data_Transacao</t>
        </is>
      </c>
      <c r="G1" t="inlineStr">
        <is>
          <t>Valor</t>
        </is>
      </c>
      <c r="H1" t="inlineStr">
        <is>
          <t>Descricao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Data_Ajuste</t>
        </is>
      </c>
      <c r="D1" t="inlineStr">
        <is>
          <t>Valor</t>
        </is>
      </c>
      <c r="E1" t="inlineStr">
        <is>
          <t>Categoria</t>
        </is>
      </c>
      <c r="F1" t="inlineStr">
        <is>
          <t>Descrição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ID_Bloqueio</t>
        </is>
      </c>
      <c r="B1" t="inlineStr">
        <is>
          <t>ID_Casa</t>
        </is>
      </c>
      <c r="C1" t="inlineStr">
        <is>
          <t>Casa</t>
        </is>
      </c>
      <c r="D1" t="inlineStr">
        <is>
          <t>Data_Transacao</t>
        </is>
      </c>
      <c r="E1" t="inlineStr">
        <is>
          <t>ID_Conta_Bancaria</t>
        </is>
      </c>
      <c r="F1" t="inlineStr">
        <is>
          <t>Nome da Conta</t>
        </is>
      </c>
      <c r="G1" t="inlineStr">
        <is>
          <t>Valor</t>
        </is>
      </c>
      <c r="H1" t="inlineStr">
        <is>
          <t>Observacao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Gabriel Gomes da Cunha</dc:creator>
  <dcterms:created xsi:type="dcterms:W3CDTF">2023-11-14T17:21:36Z</dcterms:created>
  <dcterms:modified xsi:type="dcterms:W3CDTF">2026-02-03T14:13:38Z</dcterms:modified>
  <cp:lastModifiedBy>Catarina Scabelli</cp:lastModifiedBy>
</cp:coreProperties>
</file>